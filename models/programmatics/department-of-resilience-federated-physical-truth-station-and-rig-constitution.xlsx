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ntrols" sheetId="2" state="visible" r:id="rId4"/>
    <sheet name="Alternatives" sheetId="3" state="visible" r:id="rId5"/>
    <sheet name="Substrate Law" sheetId="4" state="visible" r:id="rId6"/>
    <sheet name="Station Nuclei" sheetId="5" state="visible" r:id="rId7"/>
    <sheet name="State Bays" sheetId="6" state="visible" r:id="rId8"/>
    <sheet name="Method Realizations" sheetId="7" state="visible" r:id="rId9"/>
    <sheet name="Regeneration" sheetId="8" state="visible" r:id="rId10"/>
    <sheet name="Rig Families" sheetId="9" state="visible" r:id="rId11"/>
    <sheet name="ET Rig" sheetId="10" state="visible" r:id="rId12"/>
    <sheet name="CT Rig" sheetId="11" state="visible" r:id="rId13"/>
    <sheet name="HC Rig" sheetId="12" state="visible" r:id="rId14"/>
    <sheet name="LF Rig" sheetId="13" state="visible" r:id="rId15"/>
    <sheet name="HU Rig" sheetId="14" state="visible" r:id="rId16"/>
    <sheet name="RT Rig" sheetId="15" state="visible" r:id="rId17"/>
    <sheet name="Independence" sheetId="16" state="visible" r:id="rId18"/>
    <sheet name="Technology" sheetId="17" state="visible" r:id="rId19"/>
    <sheet name="Finance" sheetId="18" state="visible" r:id="rId20"/>
    <sheet name="Stress Tests" sheetId="19" state="visible" r:id="rId21"/>
    <sheet name="Mutations" sheetId="20" state="visible" r:id="rId22"/>
    <sheet name="Audit" sheetId="21" state="visible" r:id="rId23"/>
    <sheet name="Sources &amp; Limits" sheetId="22" state="visible" r:id="rId2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<sst xmlns="http://schemas.openxmlformats.org/spreadsheetml/2006/main" count="3470" uniqueCount="1076">
  <si>
    <t xml:space="preserve">A2C-2 Sovereign Truth Trains</t>
  </si>
  <si>
    <t xml:space="preserve">Verdict: CLOSE. Standardize eight nondecisive public boundaries; keep six physical truth systems sovereign across eighteen role-separated nuclei. No site, firm, serial, event, payment, capability or exterior form exists.</t>
  </si>
  <si>
    <t xml:space="preserve">Decision</t>
  </si>
  <si>
    <t xml:space="preserve">Result</t>
  </si>
  <si>
    <t xml:space="preserve">Unit</t>
  </si>
  <si>
    <t xml:space="preserve">State</t>
  </si>
  <si>
    <t xml:space="preserve">Why it matters</t>
  </si>
  <si>
    <t xml:space="preserve">Current authority</t>
  </si>
  <si>
    <t xml:space="preserve">Held conversion</t>
  </si>
  <si>
    <t xml:space="preserve">Next object</t>
  </si>
  <si>
    <t xml:space="preserve">selected architecture</t>
  </si>
  <si>
    <t xml:space="preserve">thin substrate + sovereign truth trains</t>
  </si>
  <si>
    <t xml:space="preserve">architecture</t>
  </si>
  <si>
    <t xml:space="preserve">CLOSE</t>
  </si>
  <si>
    <t xml:space="preserve">prevents common technical root</t>
  </si>
  <si>
    <t xml:space="preserve">functional configuration</t>
  </si>
  <si>
    <t xml:space="preserve">configuration to facility</t>
  </si>
  <si>
    <t xml:space="preserve">competition lots</t>
  </si>
  <si>
    <t xml:space="preserve">systems</t>
  </si>
  <si>
    <t xml:space="preserve">count</t>
  </si>
  <si>
    <t xml:space="preserve">FROZEN</t>
  </si>
  <si>
    <t xml:space="preserve">one truth train per sentinel</t>
  </si>
  <si>
    <t xml:space="preserve">six families</t>
  </si>
  <si>
    <t xml:space="preserve">family to supplier</t>
  </si>
  <si>
    <t xml:space="preserve">industrial firewall</t>
  </si>
  <si>
    <t xml:space="preserve">station nuclei</t>
  </si>
  <si>
    <t xml:space="preserve">challenge, control and reconstruction separated</t>
  </si>
  <si>
    <t xml:space="preserve">functional roles</t>
  </si>
  <si>
    <t xml:space="preserve">nucleus to site</t>
  </si>
  <si>
    <t xml:space="preserve">site warrants</t>
  </si>
  <si>
    <t xml:space="preserve">initial lanes</t>
  </si>
  <si>
    <t xml:space="preserve">one active and one regeneration lane per station</t>
  </si>
  <si>
    <t xml:space="preserve">functional lanes</t>
  </si>
  <si>
    <t xml:space="preserve">lane to serial</t>
  </si>
  <si>
    <t xml:space="preserve">build packets</t>
  </si>
  <si>
    <t xml:space="preserve">state bays</t>
  </si>
  <si>
    <t xml:space="preserve">four public worlds per active lane</t>
  </si>
  <si>
    <t xml:space="preserve">receiver worlds</t>
  </si>
  <si>
    <t xml:space="preserve">bay to constructed cell</t>
  </si>
  <si>
    <t xml:space="preserve">construction acceptance</t>
  </si>
  <si>
    <t xml:space="preserve">method realizations</t>
  </si>
  <si>
    <t xml:space="preserve">HELD</t>
  </si>
  <si>
    <t xml:space="preserve">two unlike lineages per bay</t>
  </si>
  <si>
    <t xml:space="preserve">allocation only</t>
  </si>
  <si>
    <t xml:space="preserve">allocation to acceptance</t>
  </si>
  <si>
    <t xml:space="preserve">lineage admission</t>
  </si>
  <si>
    <t xml:space="preserve">regeneration functions</t>
  </si>
  <si>
    <t xml:space="preserve">four recovery duties per station</t>
  </si>
  <si>
    <t xml:space="preserve">functional duties</t>
  </si>
  <si>
    <t xml:space="preserve">duty to tool identity</t>
  </si>
  <si>
    <t xml:space="preserve">tool ancestry</t>
  </si>
  <si>
    <t xml:space="preserve">public reserve</t>
  </si>
  <si>
    <t xml:space="preserve">USD B</t>
  </si>
  <si>
    <t xml:space="preserve">RESERVED</t>
  </si>
  <si>
    <t xml:space="preserve">USD 0.667B per nucleus</t>
  </si>
  <si>
    <t xml:space="preserve">ceiling only</t>
  </si>
  <si>
    <t xml:space="preserve">reserve to obligation</t>
  </si>
  <si>
    <t xml:space="preserve">lot competition</t>
  </si>
  <si>
    <t xml:space="preserve">private options</t>
  </si>
  <si>
    <t xml:space="preserve">GATED</t>
  </si>
  <si>
    <t xml:space="preserve">root-specific construction options</t>
  </si>
  <si>
    <t xml:space="preserve">option to award</t>
  </si>
  <si>
    <t xml:space="preserve">artifact gates</t>
  </si>
  <si>
    <t xml:space="preserve">combined wave</t>
  </si>
  <si>
    <t xml:space="preserve">CONSTITUTED</t>
  </si>
  <si>
    <t xml:space="preserve">no new money</t>
  </si>
  <si>
    <t xml:space="preserve">authority to spend</t>
  </si>
  <si>
    <t xml:space="preserve">current obligations</t>
  </si>
  <si>
    <t xml:space="preserve">no competition awarded</t>
  </si>
  <si>
    <t xml:space="preserve">none</t>
  </si>
  <si>
    <t xml:space="preserve">schedule to spend</t>
  </si>
  <si>
    <t xml:space="preserve">award warrant</t>
  </si>
  <si>
    <t xml:space="preserve">valid observations</t>
  </si>
  <si>
    <t xml:space="preserve">SOURCE EMPTY</t>
  </si>
  <si>
    <t xml:space="preserve">no physical event has run</t>
  </si>
  <si>
    <t xml:space="preserve">plan to evidence</t>
  </si>
  <si>
    <t xml:space="preserve">event warrant</t>
  </si>
  <si>
    <t xml:space="preserve">capability credit</t>
  </si>
  <si>
    <t xml:space="preserve">A2 cannot create production</t>
  </si>
  <si>
    <t xml:space="preserve">configuration to readiness</t>
  </si>
  <si>
    <t xml:space="preserve">complete-root proof</t>
  </si>
  <si>
    <t xml:space="preserve">rendering authority</t>
  </si>
  <si>
    <t xml:space="preserve">exterior follows stabilized requirements</t>
  </si>
  <si>
    <t xml:space="preserve">envelope to form</t>
  </si>
  <si>
    <t xml:space="preserve">post-requirement rendering</t>
  </si>
  <si>
    <t xml:space="preserve">Terminal test</t>
  </si>
  <si>
    <t xml:space="preserve">Observed</t>
  </si>
  <si>
    <t xml:space="preserve">Next competition object</t>
  </si>
  <si>
    <t xml:space="preserve">Present identity</t>
  </si>
  <si>
    <t xml:space="preserve">Authority</t>
  </si>
  <si>
    <t xml:space="preserve">eligible architecture</t>
  </si>
  <si>
    <t xml:space="preserve">civil substrate lots</t>
  </si>
  <si>
    <t xml:space="preserve">TO CONSTITUTE</t>
  </si>
  <si>
    <t xml:space="preserve">six truth-train lots</t>
  </si>
  <si>
    <t xml:space="preserve">eighteen station integration lots</t>
  </si>
  <si>
    <t xml:space="preserve">method-lineage lots</t>
  </si>
  <si>
    <t xml:space="preserve">regeneration-tool lots</t>
  </si>
  <si>
    <t xml:space="preserve">combined ceiling</t>
  </si>
  <si>
    <t xml:space="preserve">construction acceptance packets</t>
  </si>
  <si>
    <t xml:space="preserve">audit failures</t>
  </si>
  <si>
    <t xml:space="preserve">Authoritative A2C-2 controls</t>
  </si>
  <si>
    <t xml:space="preserve">Blue cells are the only mutable controls used by the audit. They are design ceilings and zero-state guards, not evidence or awards.</t>
  </si>
  <si>
    <t xml:space="preserve">Control</t>
  </si>
  <si>
    <t xml:space="preserve">Value</t>
  </si>
  <si>
    <t xml:space="preserve">Meaning</t>
  </si>
  <si>
    <t xml:space="preserve">public-method reserve</t>
  </si>
  <si>
    <t xml:space="preserve">A2C-1</t>
  </si>
  <si>
    <t xml:space="preserve">nested in enabling authority</t>
  </si>
  <si>
    <t xml:space="preserve">selected private options</t>
  </si>
  <si>
    <t xml:space="preserve">six root-specific option ceilings</t>
  </si>
  <si>
    <t xml:space="preserve">mission systems</t>
  </si>
  <si>
    <t xml:space="preserve">all six remain live</t>
  </si>
  <si>
    <t xml:space="preserve">station roles/system</t>
  </si>
  <si>
    <t xml:space="preserve">challenge, control, reconstruction</t>
  </si>
  <si>
    <t xml:space="preserve">receiver states/system</t>
  </si>
  <si>
    <t xml:space="preserve">PFP-4</t>
  </si>
  <si>
    <t xml:space="preserve">route-complete public states</t>
  </si>
  <si>
    <t xml:space="preserve">lineages/method card</t>
  </si>
  <si>
    <t xml:space="preserve">physically unlike</t>
  </si>
  <si>
    <t xml:space="preserve">active lanes/station</t>
  </si>
  <si>
    <t xml:space="preserve">sentinel lane only</t>
  </si>
  <si>
    <t xml:space="preserve">regeneration lanes/station</t>
  </si>
  <si>
    <t xml:space="preserve">A2C-2</t>
  </si>
  <si>
    <t xml:space="preserve">non-credit recovery</t>
  </si>
  <si>
    <t xml:space="preserve">held expansion lanes</t>
  </si>
  <si>
    <t xml:space="preserve">not built</t>
  </si>
  <si>
    <t xml:space="preserve">current sites</t>
  </si>
  <si>
    <t xml:space="preserve">source empty</t>
  </si>
  <si>
    <t xml:space="preserve">current firms</t>
  </si>
  <si>
    <t xml:space="preserve">current serials</t>
  </si>
  <si>
    <t xml:space="preserve">no construction award</t>
  </si>
  <si>
    <t xml:space="preserve">current payments</t>
  </si>
  <si>
    <t xml:space="preserve">no accepted artifact</t>
  </si>
  <si>
    <t xml:space="preserve">no physical result</t>
  </si>
  <si>
    <t xml:space="preserve">exterior form held</t>
  </si>
  <si>
    <t xml:space="preserve">Physical proving architecture hard-gate test</t>
  </si>
  <si>
    <t xml:space="preserve">All twelve gates are conjunctive. Physical independence cannot be recovered by a weighted score.</t>
  </si>
  <si>
    <t xml:space="preserve">Architecture</t>
  </si>
  <si>
    <t xml:space="preserve">role separation</t>
  </si>
  <si>
    <t xml:space="preserve">plural physical methods</t>
  </si>
  <si>
    <t xml:space="preserve">no common decisive utility</t>
  </si>
  <si>
    <t xml:space="preserve">full causal interface</t>
  </si>
  <si>
    <t xml:space="preserve">receiver states</t>
  </si>
  <si>
    <t xml:space="preserve">regeneration</t>
  </si>
  <si>
    <t xml:space="preserve">portable evidence</t>
  </si>
  <si>
    <t xml:space="preserve">source-empty identity</t>
  </si>
  <si>
    <t xml:space="preserve">bounded authority</t>
  </si>
  <si>
    <t xml:space="preserve">expansion path</t>
  </si>
  <si>
    <t xml:space="preserve">public safe stop only</t>
  </si>
  <si>
    <t xml:space="preserve">no production inference</t>
  </si>
  <si>
    <t xml:space="preserve">Passes</t>
  </si>
  <si>
    <t xml:space="preserve">Eligible</t>
  </si>
  <si>
    <t xml:space="preserve">Thin substrate + sovereign truth trains</t>
  </si>
  <si>
    <t xml:space="preserve">Universal national station shell</t>
  </si>
  <si>
    <t xml:space="preserve">Six integrated system campuses</t>
  </si>
  <si>
    <t xml:space="preserve">Eighteen unrelated monoliths</t>
  </si>
  <si>
    <t xml:space="preserve">Simulation-first digital range</t>
  </si>
  <si>
    <t xml:space="preserve">Thin public substrate: eight nondecisive boundaries</t>
  </si>
  <si>
    <t xml:space="preserve">If a common element can improve, measure, control or safe the candidate, it crosses the substrate boundary and must split.</t>
  </si>
  <si>
    <t xml:space="preserve">ID</t>
  </si>
  <si>
    <t xml:space="preserve">Public boundary</t>
  </si>
  <si>
    <t xml:space="preserve">Common physical content</t>
  </si>
  <si>
    <t xml:space="preserve">May do</t>
  </si>
  <si>
    <t xml:space="preserve">May not do</t>
  </si>
  <si>
    <t xml:space="preserve">Failure consequence</t>
  </si>
  <si>
    <t xml:space="preserve">Common allowed</t>
  </si>
  <si>
    <t xml:space="preserve">SUB-01</t>
  </si>
  <si>
    <t xml:space="preserve">surveyed datum field</t>
  </si>
  <si>
    <t xml:space="preserve">geodetic marks and externally witnessed reference</t>
  </si>
  <si>
    <t xml:space="preserve">locate articles and observations</t>
  </si>
  <si>
    <t xml:space="preserve">estimate candidate state</t>
  </si>
  <si>
    <t xml:space="preserve">invalidate location chain</t>
  </si>
  <si>
    <t xml:space="preserve">SUB-02</t>
  </si>
  <si>
    <t xml:space="preserve">reversible hardpoints</t>
  </si>
  <si>
    <t xml:space="preserve">civil anchors with declared envelopes</t>
  </si>
  <si>
    <t xml:space="preserve">protect neighboring property</t>
  </si>
  <si>
    <t xml:space="preserve">carry candidate force without native measurement</t>
  </si>
  <si>
    <t xml:space="preserve">halt or invalidate event</t>
  </si>
  <si>
    <t xml:space="preserve">SUB-03</t>
  </si>
  <si>
    <t xml:space="preserve">raw-service entries</t>
  </si>
  <si>
    <t xml:space="preserve">upstream water, power and data portals with double isolation</t>
  </si>
  <si>
    <t xml:space="preserve">offer an unconditioned input boundary</t>
  </si>
  <si>
    <t xml:space="preserve">condition, control or safe candidate service</t>
  </si>
  <si>
    <t xml:space="preserve">isolate and halt event</t>
  </si>
  <si>
    <t xml:space="preserve">SUB-04</t>
  </si>
  <si>
    <t xml:space="preserve">refuge and rescue ingress</t>
  </si>
  <si>
    <t xml:space="preserve">protected human shelter and independent rescue route</t>
  </si>
  <si>
    <t xml:space="preserve">protect people and remove them</t>
  </si>
  <si>
    <t xml:space="preserve">complete candidate safeing</t>
  </si>
  <si>
    <t xml:space="preserve">halt event</t>
  </si>
  <si>
    <t xml:space="preserve">SUB-05</t>
  </si>
  <si>
    <t xml:space="preserve">custody portals</t>
  </si>
  <si>
    <t xml:space="preserve">material, sample and native-data transfer boundary</t>
  </si>
  <si>
    <t xml:space="preserve">receive sealed custody objects</t>
  </si>
  <si>
    <t xml:space="preserve">interpret or transform decisive evidence</t>
  </si>
  <si>
    <t xml:space="preserve">hold evidence</t>
  </si>
  <si>
    <t xml:space="preserve">SUB-06</t>
  </si>
  <si>
    <t xml:space="preserve">environmental containment</t>
  </si>
  <si>
    <t xml:space="preserve">property-edge capture and monitoring</t>
  </si>
  <si>
    <t xml:space="preserve">prevent offsite harm</t>
  </si>
  <si>
    <t xml:space="preserve">improve candidate residual score</t>
  </si>
  <si>
    <t xml:space="preserve">abort and invalidate</t>
  </si>
  <si>
    <t xml:space="preserve">SUB-07</t>
  </si>
  <si>
    <t xml:space="preserve">residual quarantine</t>
  </si>
  <si>
    <t xml:space="preserve">isolated post-event holding boundary</t>
  </si>
  <si>
    <t xml:space="preserve">contain rejected material</t>
  </si>
  <si>
    <t xml:space="preserve">treat candidate residuals for credit</t>
  </si>
  <si>
    <t xml:space="preserve">hold return</t>
  </si>
  <si>
    <t xml:space="preserve">SUB-08</t>
  </si>
  <si>
    <t xml:space="preserve">emergency energy removal</t>
  </si>
  <si>
    <t xml:space="preserve">independent public energy isolation</t>
  </si>
  <si>
    <t xml:space="preserve">stop escalating public harm</t>
  </si>
  <si>
    <t xml:space="preserve">place candidate in claimed safe state</t>
  </si>
  <si>
    <t xml:space="preserve">invalidate outcome</t>
  </si>
  <si>
    <t xml:space="preserve">Eighteen separated station nuclei</t>
  </si>
  <si>
    <t xml:space="preserve">Role separation is physical. Site and operator identities remain source empty.</t>
  </si>
  <si>
    <t xml:space="preserve">Station</t>
  </si>
  <si>
    <t xml:space="preserve">System</t>
  </si>
  <si>
    <t xml:space="preserve">Root</t>
  </si>
  <si>
    <t xml:space="preserve">Role</t>
  </si>
  <si>
    <t xml:space="preserve">Owned inquiry</t>
  </si>
  <si>
    <t xml:space="preserve">Physical duty</t>
  </si>
  <si>
    <t xml:space="preserve">Site</t>
  </si>
  <si>
    <t xml:space="preserve">Operator</t>
  </si>
  <si>
    <t xml:space="preserve">Active lanes</t>
  </si>
  <si>
    <t xml:space="preserve">Regen lanes</t>
  </si>
  <si>
    <t xml:space="preserve">State bays</t>
  </si>
  <si>
    <t xml:space="preserve">Realizations</t>
  </si>
  <si>
    <t xml:space="preserve">Public reserve USD B</t>
  </si>
  <si>
    <t xml:space="preserve">ST-ET-CHA</t>
  </si>
  <si>
    <t xml:space="preserve">MS-ET</t>
  </si>
  <si>
    <t xml:space="preserve">ET-A</t>
  </si>
  <si>
    <t xml:space="preserve">CHALLENGE</t>
  </si>
  <si>
    <t xml:space="preserve">DENIED CONDITION</t>
  </si>
  <si>
    <t xml:space="preserve">inject governing loss without supplying candidate control</t>
  </si>
  <si>
    <t xml:space="preserve">WARRANT-CONSTITUTED</t>
  </si>
  <si>
    <t xml:space="preserve">ST-ET-CON</t>
  </si>
  <si>
    <t xml:space="preserve">CONTROL</t>
  </si>
  <si>
    <t xml:space="preserve">LOAD AND QUALITY</t>
  </si>
  <si>
    <t xml:space="preserve">measure useful load and background burden in a matched independent world</t>
  </si>
  <si>
    <t xml:space="preserve">ST-ET-REC</t>
  </si>
  <si>
    <t xml:space="preserve">RECONSTRUCTION</t>
  </si>
  <si>
    <t xml:space="preserve">RECOVERY AND BURDEN</t>
  </si>
  <si>
    <t xml:space="preserve">cold-build, recalibrate and replay from frozen public records</t>
  </si>
  <si>
    <t xml:space="preserve">ST-CT-CHA</t>
  </si>
  <si>
    <t xml:space="preserve">MS-CT</t>
  </si>
  <si>
    <t xml:space="preserve">CT-C</t>
  </si>
  <si>
    <t xml:space="preserve">ST-CT-CON</t>
  </si>
  <si>
    <t xml:space="preserve">ST-CT-REC</t>
  </si>
  <si>
    <t xml:space="preserve">ST-HC-CHA</t>
  </si>
  <si>
    <t xml:space="preserve">MS-HC</t>
  </si>
  <si>
    <t xml:space="preserve">HC-A</t>
  </si>
  <si>
    <t xml:space="preserve">ST-HC-CON</t>
  </si>
  <si>
    <t xml:space="preserve">ST-HC-REC</t>
  </si>
  <si>
    <t xml:space="preserve">ST-LF-CHA</t>
  </si>
  <si>
    <t xml:space="preserve">MS-LF</t>
  </si>
  <si>
    <t xml:space="preserve">LF-B</t>
  </si>
  <si>
    <t xml:space="preserve">ST-LF-CON</t>
  </si>
  <si>
    <t xml:space="preserve">ST-LF-REC</t>
  </si>
  <si>
    <t xml:space="preserve">ST-HU-CHA</t>
  </si>
  <si>
    <t xml:space="preserve">MS-HU</t>
  </si>
  <si>
    <t xml:space="preserve">HU-A</t>
  </si>
  <si>
    <t xml:space="preserve">ST-HU-CON</t>
  </si>
  <si>
    <t xml:space="preserve">ST-HU-REC</t>
  </si>
  <si>
    <t xml:space="preserve">ST-RT-CHA</t>
  </si>
  <si>
    <t xml:space="preserve">MS-RT</t>
  </si>
  <si>
    <t xml:space="preserve">RT-B</t>
  </si>
  <si>
    <t xml:space="preserve">ST-RT-CON</t>
  </si>
  <si>
    <t xml:space="preserve">ST-RT-REC</t>
  </si>
  <si>
    <t xml:space="preserve">Seventy-two receiver-state bays</t>
  </si>
  <si>
    <t xml:space="preserve">Four receiver worlds per station prevent a machine-boundary pass from substituting for public handoff.</t>
  </si>
  <si>
    <t xml:space="preserve">Bay</t>
  </si>
  <si>
    <t xml:space="preserve">Receiver state</t>
  </si>
  <si>
    <t xml:space="preserve">Physical world</t>
  </si>
  <si>
    <t xml:space="preserve">Inquiry</t>
  </si>
  <si>
    <t xml:space="preserve">Lineages</t>
  </si>
  <si>
    <t xml:space="preserve">Realization identities</t>
  </si>
  <si>
    <t xml:space="preserve">BAY-ET-CHA-1</t>
  </si>
  <si>
    <t xml:space="preserve">ET-RS1</t>
  </si>
  <si>
    <t xml:space="preserve">Moving interface</t>
  </si>
  <si>
    <t xml:space="preserve">BAY-ET-CHA-2</t>
  </si>
  <si>
    <t xml:space="preserve">ET-RS2</t>
  </si>
  <si>
    <t xml:space="preserve">Shore transition</t>
  </si>
  <si>
    <t xml:space="preserve">BAY-ET-CHA-3</t>
  </si>
  <si>
    <t xml:space="preserve">ET-RS3</t>
  </si>
  <si>
    <t xml:space="preserve">Dry staging</t>
  </si>
  <si>
    <t xml:space="preserve">BAY-ET-CHA-4</t>
  </si>
  <si>
    <t xml:space="preserve">ET-RS4</t>
  </si>
  <si>
    <t xml:space="preserve">Onward handoff</t>
  </si>
  <si>
    <t xml:space="preserve">BAY-ET-CON-1</t>
  </si>
  <si>
    <t xml:space="preserve">BAY-ET-CON-2</t>
  </si>
  <si>
    <t xml:space="preserve">BAY-ET-CON-3</t>
  </si>
  <si>
    <t xml:space="preserve">BAY-ET-CON-4</t>
  </si>
  <si>
    <t xml:space="preserve">BAY-ET-REC-1</t>
  </si>
  <si>
    <t xml:space="preserve">BAY-ET-REC-2</t>
  </si>
  <si>
    <t xml:space="preserve">BAY-ET-REC-3</t>
  </si>
  <si>
    <t xml:space="preserve">BAY-ET-REC-4</t>
  </si>
  <si>
    <t xml:space="preserve">BAY-CT-CHA-1</t>
  </si>
  <si>
    <t xml:space="preserve">CT-RS1</t>
  </si>
  <si>
    <t xml:space="preserve">District approach</t>
  </si>
  <si>
    <t xml:space="preserve">BAY-CT-CHA-2</t>
  </si>
  <si>
    <t xml:space="preserve">CT-RS2</t>
  </si>
  <si>
    <t xml:space="preserve">Occupied low-rise</t>
  </si>
  <si>
    <t xml:space="preserve">BAY-CT-CHA-3</t>
  </si>
  <si>
    <t xml:space="preserve">CT-RS3</t>
  </si>
  <si>
    <t xml:space="preserve">High-rise vertical</t>
  </si>
  <si>
    <t xml:space="preserve">BAY-CT-CHA-4</t>
  </si>
  <si>
    <t xml:space="preserve">CT-RS4</t>
  </si>
  <si>
    <t xml:space="preserve">Refuge and egress</t>
  </si>
  <si>
    <t xml:space="preserve">BAY-CT-CON-1</t>
  </si>
  <si>
    <t xml:space="preserve">BAY-CT-CON-2</t>
  </si>
  <si>
    <t xml:space="preserve">BAY-CT-CON-3</t>
  </si>
  <si>
    <t xml:space="preserve">BAY-CT-CON-4</t>
  </si>
  <si>
    <t xml:space="preserve">BAY-CT-REC-1</t>
  </si>
  <si>
    <t xml:space="preserve">BAY-CT-REC-2</t>
  </si>
  <si>
    <t xml:space="preserve">BAY-CT-REC-3</t>
  </si>
  <si>
    <t xml:space="preserve">BAY-CT-REC-4</t>
  </si>
  <si>
    <t xml:space="preserve">BAY-HC-CHA-1</t>
  </si>
  <si>
    <t xml:space="preserve">HC-RS1</t>
  </si>
  <si>
    <t xml:space="preserve">Advancing edge</t>
  </si>
  <si>
    <t xml:space="preserve">BAY-HC-CHA-2</t>
  </si>
  <si>
    <t xml:space="preserve">HC-RS2</t>
  </si>
  <si>
    <t xml:space="preserve">Ember and interface</t>
  </si>
  <si>
    <t xml:space="preserve">BAY-HC-CHA-3</t>
  </si>
  <si>
    <t xml:space="preserve">HC-RS3</t>
  </si>
  <si>
    <t xml:space="preserve">Plume and airspace</t>
  </si>
  <si>
    <t xml:space="preserve">BAY-HC-CHA-4</t>
  </si>
  <si>
    <t xml:space="preserve">HC-RS4</t>
  </si>
  <si>
    <t xml:space="preserve">Residual and re-ignition</t>
  </si>
  <si>
    <t xml:space="preserve">BAY-HC-CON-1</t>
  </si>
  <si>
    <t xml:space="preserve">BAY-HC-CON-2</t>
  </si>
  <si>
    <t xml:space="preserve">BAY-HC-CON-3</t>
  </si>
  <si>
    <t xml:space="preserve">BAY-HC-CON-4</t>
  </si>
  <si>
    <t xml:space="preserve">BAY-HC-REC-1</t>
  </si>
  <si>
    <t xml:space="preserve">BAY-HC-REC-2</t>
  </si>
  <si>
    <t xml:space="preserve">BAY-HC-REC-3</t>
  </si>
  <si>
    <t xml:space="preserve">BAY-HC-REC-4</t>
  </si>
  <si>
    <t xml:space="preserve">BAY-LF-CHA-1</t>
  </si>
  <si>
    <t xml:space="preserve">LF-RS1</t>
  </si>
  <si>
    <t xml:space="preserve">Source admission</t>
  </si>
  <si>
    <t xml:space="preserve">BAY-LF-CHA-2</t>
  </si>
  <si>
    <t xml:space="preserve">LF-RS2</t>
  </si>
  <si>
    <t xml:space="preserve">Multi-product conversion</t>
  </si>
  <si>
    <t xml:space="preserve">BAY-LF-CHA-3</t>
  </si>
  <si>
    <t xml:space="preserve">LF-RS3</t>
  </si>
  <si>
    <t xml:space="preserve">Corridor and storage</t>
  </si>
  <si>
    <t xml:space="preserve">BAY-LF-CHA-4</t>
  </si>
  <si>
    <t xml:space="preserve">LF-RS4</t>
  </si>
  <si>
    <t xml:space="preserve">Point of use and residual</t>
  </si>
  <si>
    <t xml:space="preserve">BAY-LF-CON-1</t>
  </si>
  <si>
    <t xml:space="preserve">BAY-LF-CON-2</t>
  </si>
  <si>
    <t xml:space="preserve">BAY-LF-CON-3</t>
  </si>
  <si>
    <t xml:space="preserve">BAY-LF-CON-4</t>
  </si>
  <si>
    <t xml:space="preserve">BAY-LF-REC-1</t>
  </si>
  <si>
    <t xml:space="preserve">BAY-LF-REC-2</t>
  </si>
  <si>
    <t xml:space="preserve">BAY-LF-REC-3</t>
  </si>
  <si>
    <t xml:space="preserve">BAY-LF-REC-4</t>
  </si>
  <si>
    <t xml:space="preserve">BAY-HU-CHA-1</t>
  </si>
  <si>
    <t xml:space="preserve">HU-RS1</t>
  </si>
  <si>
    <t xml:space="preserve">Reception and triage</t>
  </si>
  <si>
    <t xml:space="preserve">BAY-HU-CHA-2</t>
  </si>
  <si>
    <t xml:space="preserve">HU-RS2</t>
  </si>
  <si>
    <t xml:space="preserve">Acute and critical care</t>
  </si>
  <si>
    <t xml:space="preserve">BAY-HU-CHA-3</t>
  </si>
  <si>
    <t xml:space="preserve">HU-RS3</t>
  </si>
  <si>
    <t xml:space="preserve">Specialty dependency</t>
  </si>
  <si>
    <t xml:space="preserve">BAY-HU-CHA-4</t>
  </si>
  <si>
    <t xml:space="preserve">HU-RS4</t>
  </si>
  <si>
    <t xml:space="preserve">Discharge and continuity</t>
  </si>
  <si>
    <t xml:space="preserve">BAY-HU-CON-1</t>
  </si>
  <si>
    <t xml:space="preserve">BAY-HU-CON-2</t>
  </si>
  <si>
    <t xml:space="preserve">BAY-HU-CON-3</t>
  </si>
  <si>
    <t xml:space="preserve">BAY-HU-CON-4</t>
  </si>
  <si>
    <t xml:space="preserve">BAY-HU-REC-1</t>
  </si>
  <si>
    <t xml:space="preserve">BAY-HU-REC-2</t>
  </si>
  <si>
    <t xml:space="preserve">BAY-HU-REC-3</t>
  </si>
  <si>
    <t xml:space="preserve">BAY-HU-REC-4</t>
  </si>
  <si>
    <t xml:space="preserve">BAY-RT-CHA-1</t>
  </si>
  <si>
    <t xml:space="preserve">RT-RS1</t>
  </si>
  <si>
    <t xml:space="preserve">Dirty return</t>
  </si>
  <si>
    <t xml:space="preserve">BAY-RT-CHA-2</t>
  </si>
  <si>
    <t xml:space="preserve">RT-RS2</t>
  </si>
  <si>
    <t xml:space="preserve">Diagnosis and disassembly</t>
  </si>
  <si>
    <t xml:space="preserve">BAY-RT-CHA-3</t>
  </si>
  <si>
    <t xml:space="preserve">RT-RS3</t>
  </si>
  <si>
    <t xml:space="preserve">Repair and remanufacture</t>
  </si>
  <si>
    <t xml:space="preserve">BAY-RT-CHA-4</t>
  </si>
  <si>
    <t xml:space="preserve">RT-RS4</t>
  </si>
  <si>
    <t xml:space="preserve">Calibration and release</t>
  </si>
  <si>
    <t xml:space="preserve">BAY-RT-CON-1</t>
  </si>
  <si>
    <t xml:space="preserve">BAY-RT-CON-2</t>
  </si>
  <si>
    <t xml:space="preserve">BAY-RT-CON-3</t>
  </si>
  <si>
    <t xml:space="preserve">BAY-RT-CON-4</t>
  </si>
  <si>
    <t xml:space="preserve">BAY-RT-REC-1</t>
  </si>
  <si>
    <t xml:space="preserve">BAY-RT-REC-2</t>
  </si>
  <si>
    <t xml:space="preserve">BAY-RT-REC-3</t>
  </si>
  <si>
    <t xml:space="preserve">BAY-RT-REC-4</t>
  </si>
  <si>
    <t xml:space="preserve">One hundred forty-four unlike method realization paths</t>
  </si>
  <si>
    <t xml:space="preserve">Every state bay has two unlike physical lineages. Identity, ancestry, calibration and observations remain empty until later warrants.</t>
  </si>
  <si>
    <t xml:space="preserve">Realization</t>
  </si>
  <si>
    <t xml:space="preserve">Lineage</t>
  </si>
  <si>
    <t xml:space="preserve">Decisive ancestry</t>
  </si>
  <si>
    <t xml:space="preserve">Calibration identity</t>
  </si>
  <si>
    <t xml:space="preserve">Accepted</t>
  </si>
  <si>
    <t xml:space="preserve">L1</t>
  </si>
  <si>
    <t xml:space="preserve">L2</t>
  </si>
  <si>
    <t xml:space="preserve">Seventy-two regeneration functions in eighteen non-credit lanes</t>
  </si>
  <si>
    <t xml:space="preserve">A regeneration lane must recover its own station after one destructive event and may not serve as an alternate event lane.</t>
  </si>
  <si>
    <t xml:space="preserve">Function ID</t>
  </si>
  <si>
    <t xml:space="preserve">Function</t>
  </si>
  <si>
    <t xml:space="preserve">Paths recoverable</t>
  </si>
  <si>
    <t xml:space="preserve">Event credit</t>
  </si>
  <si>
    <t xml:space="preserve">Tool ancestry</t>
  </si>
  <si>
    <t xml:space="preserve">RG-ET-CHA-ISOLATE</t>
  </si>
  <si>
    <t xml:space="preserve">ISOLATE</t>
  </si>
  <si>
    <t xml:space="preserve">isolate, decontaminate and establish safe work state</t>
  </si>
  <si>
    <t xml:space="preserve">NO</t>
  </si>
  <si>
    <t xml:space="preserve">RG-ET-CHA-DIAGNOSE</t>
  </si>
  <si>
    <t xml:space="preserve">DIAGNOSE</t>
  </si>
  <si>
    <t xml:space="preserve">disassemble, measure and identify damage without overwriting ancestry</t>
  </si>
  <si>
    <t xml:space="preserve">RG-ET-CHA-REBUILD</t>
  </si>
  <si>
    <t xml:space="preserve">REBUILD</t>
  </si>
  <si>
    <t xml:space="preserve">repair or reproduce the eight local realization paths and rig boundary</t>
  </si>
  <si>
    <t xml:space="preserve">RG-ET-CHA-RECERTIFY</t>
  </si>
  <si>
    <t xml:space="preserve">RECERTIFY</t>
  </si>
  <si>
    <t xml:space="preserve">recalibrate, independently witness and return to controlled custody</t>
  </si>
  <si>
    <t xml:space="preserve">RG-ET-CON-ISOLATE</t>
  </si>
  <si>
    <t xml:space="preserve">RG-ET-CON-DIAGNOSE</t>
  </si>
  <si>
    <t xml:space="preserve">RG-ET-CON-REBUILD</t>
  </si>
  <si>
    <t xml:space="preserve">RG-ET-CON-RECERTIFY</t>
  </si>
  <si>
    <t xml:space="preserve">RG-ET-REC-ISOLATE</t>
  </si>
  <si>
    <t xml:space="preserve">RG-ET-REC-DIAGNOSE</t>
  </si>
  <si>
    <t xml:space="preserve">RG-ET-REC-REBUILD</t>
  </si>
  <si>
    <t xml:space="preserve">RG-ET-REC-RECERTIFY</t>
  </si>
  <si>
    <t xml:space="preserve">RG-CT-CHA-ISOLATE</t>
  </si>
  <si>
    <t xml:space="preserve">RG-CT-CHA-DIAGNOSE</t>
  </si>
  <si>
    <t xml:space="preserve">RG-CT-CHA-REBUILD</t>
  </si>
  <si>
    <t xml:space="preserve">RG-CT-CHA-RECERTIFY</t>
  </si>
  <si>
    <t xml:space="preserve">RG-CT-CON-ISOLATE</t>
  </si>
  <si>
    <t xml:space="preserve">RG-CT-CON-DIAGNOSE</t>
  </si>
  <si>
    <t xml:space="preserve">RG-CT-CON-REBUILD</t>
  </si>
  <si>
    <t xml:space="preserve">RG-CT-CON-RECERTIFY</t>
  </si>
  <si>
    <t xml:space="preserve">RG-CT-REC-ISOLATE</t>
  </si>
  <si>
    <t xml:space="preserve">RG-CT-REC-DIAGNOSE</t>
  </si>
  <si>
    <t xml:space="preserve">RG-CT-REC-REBUILD</t>
  </si>
  <si>
    <t xml:space="preserve">RG-CT-REC-RECERTIFY</t>
  </si>
  <si>
    <t xml:space="preserve">RG-HC-CHA-ISOLATE</t>
  </si>
  <si>
    <t xml:space="preserve">RG-HC-CHA-DIAGNOSE</t>
  </si>
  <si>
    <t xml:space="preserve">RG-HC-CHA-REBUILD</t>
  </si>
  <si>
    <t xml:space="preserve">RG-HC-CHA-RECERTIFY</t>
  </si>
  <si>
    <t xml:space="preserve">RG-HC-CON-ISOLATE</t>
  </si>
  <si>
    <t xml:space="preserve">RG-HC-CON-DIAGNOSE</t>
  </si>
  <si>
    <t xml:space="preserve">RG-HC-CON-REBUILD</t>
  </si>
  <si>
    <t xml:space="preserve">RG-HC-CON-RECERTIFY</t>
  </si>
  <si>
    <t xml:space="preserve">RG-HC-REC-ISOLATE</t>
  </si>
  <si>
    <t xml:space="preserve">RG-HC-REC-DIAGNOSE</t>
  </si>
  <si>
    <t xml:space="preserve">RG-HC-REC-REBUILD</t>
  </si>
  <si>
    <t xml:space="preserve">RG-HC-REC-RECERTIFY</t>
  </si>
  <si>
    <t xml:space="preserve">RG-LF-CHA-ISOLATE</t>
  </si>
  <si>
    <t xml:space="preserve">RG-LF-CHA-DIAGNOSE</t>
  </si>
  <si>
    <t xml:space="preserve">RG-LF-CHA-REBUILD</t>
  </si>
  <si>
    <t xml:space="preserve">RG-LF-CHA-RECERTIFY</t>
  </si>
  <si>
    <t xml:space="preserve">RG-LF-CON-ISOLATE</t>
  </si>
  <si>
    <t xml:space="preserve">RG-LF-CON-DIAGNOSE</t>
  </si>
  <si>
    <t xml:space="preserve">RG-LF-CON-REBUILD</t>
  </si>
  <si>
    <t xml:space="preserve">RG-LF-CON-RECERTIFY</t>
  </si>
  <si>
    <t xml:space="preserve">RG-LF-REC-ISOLATE</t>
  </si>
  <si>
    <t xml:space="preserve">RG-LF-REC-DIAGNOSE</t>
  </si>
  <si>
    <t xml:space="preserve">RG-LF-REC-REBUILD</t>
  </si>
  <si>
    <t xml:space="preserve">RG-LF-REC-RECERTIFY</t>
  </si>
  <si>
    <t xml:space="preserve">RG-HU-CHA-ISOLATE</t>
  </si>
  <si>
    <t xml:space="preserve">RG-HU-CHA-DIAGNOSE</t>
  </si>
  <si>
    <t xml:space="preserve">RG-HU-CHA-REBUILD</t>
  </si>
  <si>
    <t xml:space="preserve">RG-HU-CHA-RECERTIFY</t>
  </si>
  <si>
    <t xml:space="preserve">RG-HU-CON-ISOLATE</t>
  </si>
  <si>
    <t xml:space="preserve">RG-HU-CON-DIAGNOSE</t>
  </si>
  <si>
    <t xml:space="preserve">RG-HU-CON-REBUILD</t>
  </si>
  <si>
    <t xml:space="preserve">RG-HU-CON-RECERTIFY</t>
  </si>
  <si>
    <t xml:space="preserve">RG-HU-REC-ISOLATE</t>
  </si>
  <si>
    <t xml:space="preserve">RG-HU-REC-DIAGNOSE</t>
  </si>
  <si>
    <t xml:space="preserve">RG-HU-REC-REBUILD</t>
  </si>
  <si>
    <t xml:space="preserve">RG-HU-REC-RECERTIFY</t>
  </si>
  <si>
    <t xml:space="preserve">RG-RT-CHA-ISOLATE</t>
  </si>
  <si>
    <t xml:space="preserve">RG-RT-CHA-DIAGNOSE</t>
  </si>
  <si>
    <t xml:space="preserve">RG-RT-CHA-REBUILD</t>
  </si>
  <si>
    <t xml:space="preserve">RG-RT-CHA-RECERTIFY</t>
  </si>
  <si>
    <t xml:space="preserve">RG-RT-CON-ISOLATE</t>
  </si>
  <si>
    <t xml:space="preserve">RG-RT-CON-DIAGNOSE</t>
  </si>
  <si>
    <t xml:space="preserve">RG-RT-CON-REBUILD</t>
  </si>
  <si>
    <t xml:space="preserve">RG-RT-CON-RECERTIFY</t>
  </si>
  <si>
    <t xml:space="preserve">RG-RT-REC-ISOLATE</t>
  </si>
  <si>
    <t xml:space="preserve">RG-RT-REC-DIAGNOSE</t>
  </si>
  <si>
    <t xml:space="preserve">RG-RT-REC-REBUILD</t>
  </si>
  <si>
    <t xml:space="preserve">RG-RT-REC-RECERTIFY</t>
  </si>
  <si>
    <t xml:space="preserve">Six sovereign truth-train families</t>
  </si>
  <si>
    <t xml:space="preserve">Full scale attaches to the causal interface. External loads may be emulated only when they do not scale away the physics being judged.</t>
  </si>
  <si>
    <t xml:space="preserve">Truth train</t>
  </si>
  <si>
    <t xml:space="preserve">Limiting account</t>
  </si>
  <si>
    <t xml:space="preserve">Full-scale boundary</t>
  </si>
  <si>
    <t xml:space="preserve">Challenge denial</t>
  </si>
  <si>
    <t xml:space="preserve">Stations</t>
  </si>
  <si>
    <t xml:space="preserve">Regen functions</t>
  </si>
  <si>
    <t xml:space="preserve">Public USD B</t>
  </si>
  <si>
    <t xml:space="preserve">Private USD B</t>
  </si>
  <si>
    <t xml:space="preserve">Combined USD B</t>
  </si>
  <si>
    <t xml:space="preserve">Build state</t>
  </si>
  <si>
    <t xml:space="preserve">Pelagic heavy bridge</t>
  </si>
  <si>
    <t xml:space="preserve">Route flow</t>
  </si>
  <si>
    <t xml:space="preserve">moving load exchange through dry custody</t>
  </si>
  <si>
    <t xml:space="preserve">largest connector removed</t>
  </si>
  <si>
    <t xml:space="preserve">FROZEN FOR COMPETITION</t>
  </si>
  <si>
    <t xml:space="preserve">Building utility spine</t>
  </si>
  <si>
    <t xml:space="preserve">Energy</t>
  </si>
  <si>
    <t xml:space="preserve">occupied-building connection and utility isolation</t>
  </si>
  <si>
    <t xml:space="preserve">one 7 MW cell plus propagation fault</t>
  </si>
  <si>
    <t xml:space="preserve">Atmospheric flux wing</t>
  </si>
  <si>
    <t xml:space="preserve">one-kilometre held atmospheric edge</t>
  </si>
  <si>
    <t xml:space="preserve">grid, water, communications and one intervention cell denied</t>
  </si>
  <si>
    <t xml:space="preserve">Inland geothermal train</t>
  </si>
  <si>
    <t xml:space="preserve">live subsurface source and closed multi-product train</t>
  </si>
  <si>
    <t xml:space="preserve">uncertain geology, source-path loss and receiver refusal</t>
  </si>
  <si>
    <t xml:space="preserve">Clinical continuity campus</t>
  </si>
  <si>
    <t xml:space="preserve">Mass</t>
  </si>
  <si>
    <t xml:space="preserve">complete clinical-island metabolism</t>
  </si>
  <si>
    <t xml:space="preserve">utility family, specialist cohort or destination removed</t>
  </si>
  <si>
    <t xml:space="preserve">Microfactory mesh</t>
  </si>
  <si>
    <t xml:space="preserve">coupon-to-qualified-part disconnected chain</t>
  </si>
  <si>
    <t xml:space="preserve">depot, network, calibration path and one process cell removed</t>
  </si>
  <si>
    <t xml:space="preserve">TOTAL</t>
  </si>
  <si>
    <t xml:space="preserve">six</t>
  </si>
  <si>
    <t xml:space="preserve">six sovereign families</t>
  </si>
  <si>
    <t xml:space="preserve">—</t>
  </si>
  <si>
    <t xml:space="preserve">ET sovereign physical truth system</t>
  </si>
  <si>
    <t xml:space="preserve">Functional envelope only: no site, supplier, serial, observed coefficient or exterior form is admitted.</t>
  </si>
  <si>
    <t xml:space="preserve">Zone</t>
  </si>
  <si>
    <t xml:space="preserve">Physical article</t>
  </si>
  <si>
    <t xml:space="preserve">Role variation</t>
  </si>
  <si>
    <t xml:space="preserve">Common implementation</t>
  </si>
  <si>
    <t xml:space="preserve">Decisive state</t>
  </si>
  <si>
    <t xml:space="preserve">Build status</t>
  </si>
  <si>
    <t xml:space="preserve">moving source</t>
  </si>
  <si>
    <t xml:space="preserve">programmable wave/current and source-motion field</t>
  </si>
  <si>
    <t xml:space="preserve">candidate load and motion envelope</t>
  </si>
  <si>
    <t xml:space="preserve">role-native forcing history</t>
  </si>
  <si>
    <t xml:space="preserve">motion and force</t>
  </si>
  <si>
    <t xml:space="preserve">BUILD REQUIRED</t>
  </si>
  <si>
    <t xml:space="preserve">exchange plane</t>
  </si>
  <si>
    <t xml:space="preserve">full-interface candidate connection with independent mass custody</t>
  </si>
  <si>
    <t xml:space="preserve">1:1 contact physics</t>
  </si>
  <si>
    <t xml:space="preserve">connector loss at challenge</t>
  </si>
  <si>
    <t xml:space="preserve">mass across plane</t>
  </si>
  <si>
    <t xml:space="preserve">transfer reach</t>
  </si>
  <si>
    <t xml:space="preserve">compliant floating reach and breakable section</t>
  </si>
  <si>
    <t xml:space="preserve">working geometry</t>
  </si>
  <si>
    <t xml:space="preserve">matched intact reach at control</t>
  </si>
  <si>
    <t xml:space="preserve">stability and throughput</t>
  </si>
  <si>
    <t xml:space="preserve">shore transition</t>
  </si>
  <si>
    <t xml:space="preserve">reconfigurable wet-to-dry ground reaction field</t>
  </si>
  <si>
    <t xml:space="preserve">1:1 bearing and articulation</t>
  </si>
  <si>
    <t xml:space="preserve">largest connector denial</t>
  </si>
  <si>
    <t xml:space="preserve">ground reaction</t>
  </si>
  <si>
    <t xml:space="preserve">dry custody</t>
  </si>
  <si>
    <t xml:space="preserve">sealed staging, manifest and onward handoff cells</t>
  </si>
  <si>
    <t xml:space="preserve">5,630 t/day denominator</t>
  </si>
  <si>
    <t xml:space="preserve">same public record grammar</t>
  </si>
  <si>
    <t xml:space="preserve">BOUNDARY ONLY</t>
  </si>
  <si>
    <t xml:space="preserve">accepted mass</t>
  </si>
  <si>
    <t xml:space="preserve">residual and safeing</t>
  </si>
  <si>
    <t xml:space="preserve">lost load, fluid and energy capture</t>
  </si>
  <si>
    <t xml:space="preserve">full consequence</t>
  </si>
  <si>
    <t xml:space="preserve">public abort cannot complete candidate safeing</t>
  </si>
  <si>
    <t xml:space="preserve">terminal state</t>
  </si>
  <si>
    <t xml:space="preserve">CT sovereign physical truth system</t>
  </si>
  <si>
    <t xml:space="preserve">building body</t>
  </si>
  <si>
    <t xml:space="preserve">reconfigurable full-scale sacrificial structural sector</t>
  </si>
  <si>
    <t xml:space="preserve">occupied geometry and damaged stiffness</t>
  </si>
  <si>
    <t xml:space="preserve">unlike body construction by role</t>
  </si>
  <si>
    <t xml:space="preserve">load path</t>
  </si>
  <si>
    <t xml:space="preserve">attachment field</t>
  </si>
  <si>
    <t xml:space="preserve">robotic reversible façade and interior anchors</t>
  </si>
  <si>
    <t xml:space="preserve">1:1 anchor mechanics</t>
  </si>
  <si>
    <t xml:space="preserve">propagation faults at challenge</t>
  </si>
  <si>
    <t xml:space="preserve">damage growth</t>
  </si>
  <si>
    <t xml:space="preserve">vertical service</t>
  </si>
  <si>
    <t xml:space="preserve">lift, stair and accessible movement loads</t>
  </si>
  <si>
    <t xml:space="preserve">human-scale routes</t>
  </si>
  <si>
    <t xml:space="preserve">synthetic occupancy only</t>
  </si>
  <si>
    <t xml:space="preserve">safe cases/hour</t>
  </si>
  <si>
    <t xml:space="preserve">utility trunks</t>
  </si>
  <si>
    <t xml:space="preserve">power, water, data and dirty-return trunks</t>
  </si>
  <si>
    <t xml:space="preserve">7 MW cell and 42 MW root boundary</t>
  </si>
  <si>
    <t xml:space="preserve">independent load banks</t>
  </si>
  <si>
    <t xml:space="preserve">isolation and delivered service</t>
  </si>
  <si>
    <t xml:space="preserve">hazard insertion</t>
  </si>
  <si>
    <t xml:space="preserve">smoke, water, contamination and electrical faults</t>
  </si>
  <si>
    <t xml:space="preserve">full interface consequence</t>
  </si>
  <si>
    <t xml:space="preserve">challenge-owned insertion</t>
  </si>
  <si>
    <t xml:space="preserve">cross-domain propagation</t>
  </si>
  <si>
    <t xml:space="preserve">receiver state</t>
  </si>
  <si>
    <t xml:space="preserve">low-rise, high-rise, refuge and egress emulators</t>
  </si>
  <si>
    <t xml:space="preserve">four complete worlds</t>
  </si>
  <si>
    <t xml:space="preserve">same public state grammar</t>
  </si>
  <si>
    <t xml:space="preserve">accepted disposition</t>
  </si>
  <si>
    <t xml:space="preserve">HC sovereign physical truth system</t>
  </si>
  <si>
    <t xml:space="preserve">boundary corridor</t>
  </si>
  <si>
    <t xml:space="preserve">instrumented one-kilometre fire-control edge</t>
  </si>
  <si>
    <t xml:space="preserve">1.00 km causal boundary</t>
  </si>
  <si>
    <t xml:space="preserve">unlike terrain and fuel beds</t>
  </si>
  <si>
    <t xml:space="preserve">held edge</t>
  </si>
  <si>
    <t xml:space="preserve">heat-plume field</t>
  </si>
  <si>
    <t xml:space="preserve">repeatable thermal, ember and smoke source</t>
  </si>
  <si>
    <t xml:space="preserve">full delivery environment</t>
  </si>
  <si>
    <t xml:space="preserve">challenge denial and matched control</t>
  </si>
  <si>
    <t xml:space="preserve">growth and flux</t>
  </si>
  <si>
    <t xml:space="preserve">flight duty cell</t>
  </si>
  <si>
    <t xml:space="preserve">high-cycle thermal aircraft and propulsion loading</t>
  </si>
  <si>
    <t xml:space="preserve">six-to-seventy-two-hour duty chain</t>
  </si>
  <si>
    <t xml:space="preserve">role-native control and maintenance</t>
  </si>
  <si>
    <t xml:space="preserve">availability and hidden fleet factor</t>
  </si>
  <si>
    <t xml:space="preserve">deposition field</t>
  </si>
  <si>
    <t xml:space="preserve">precision working-fluid delivery and reconstruction</t>
  </si>
  <si>
    <t xml:space="preserve">full droplet/particle path</t>
  </si>
  <si>
    <t xml:space="preserve">independent tomography lineages</t>
  </si>
  <si>
    <t xml:space="preserve">attributed effect</t>
  </si>
  <si>
    <t xml:space="preserve">denied services</t>
  </si>
  <si>
    <t xml:space="preserve">grid, water and communications isolation</t>
  </si>
  <si>
    <t xml:space="preserve">zero borrowed infrastructure</t>
  </si>
  <si>
    <t xml:space="preserve">challenge enforced</t>
  </si>
  <si>
    <t xml:space="preserve">root autonomy</t>
  </si>
  <si>
    <t xml:space="preserve">runoff and re-ignition</t>
  </si>
  <si>
    <t xml:space="preserve">closed water, residue and thermal return</t>
  </si>
  <si>
    <t xml:space="preserve">full counterflow</t>
  </si>
  <si>
    <t xml:space="preserve">public quarantine only</t>
  </si>
  <si>
    <t xml:space="preserve">terminal hold</t>
  </si>
  <si>
    <t xml:space="preserve">LF sovereign physical truth system</t>
  </si>
  <si>
    <t xml:space="preserve">subsurface truth body</t>
  </si>
  <si>
    <t xml:space="preserve">qualified geology with independent characterization</t>
  </si>
  <si>
    <t xml:space="preserve">live formation physics</t>
  </si>
  <si>
    <t xml:space="preserve">unlike characterization lineage</t>
  </si>
  <si>
    <t xml:space="preserve">formation state</t>
  </si>
  <si>
    <t xml:space="preserve">well pair</t>
  </si>
  <si>
    <t xml:space="preserve">production and injection bores with rapid construction</t>
  </si>
  <si>
    <t xml:space="preserve">one source position</t>
  </si>
  <si>
    <t xml:space="preserve">source-path denial</t>
  </si>
  <si>
    <t xml:space="preserve">drawdown and induced hazard</t>
  </si>
  <si>
    <t xml:space="preserve">firm bus</t>
  </si>
  <si>
    <t xml:space="preserve">root-native generation, black start and protection</t>
  </si>
  <si>
    <t xml:space="preserve">40 MW firm</t>
  </si>
  <si>
    <t xml:space="preserve">one source-cell loss</t>
  </si>
  <si>
    <t xml:space="preserve">net deliverable energy</t>
  </si>
  <si>
    <t xml:space="preserve">water train</t>
  </si>
  <si>
    <t xml:space="preserve">brackish separation, treatment and storage</t>
  </si>
  <si>
    <t xml:space="preserve">25,000 m3/day</t>
  </si>
  <si>
    <t xml:space="preserve">matched water chemistry</t>
  </si>
  <si>
    <t xml:space="preserve">accepted water</t>
  </si>
  <si>
    <t xml:space="preserve">thermal service</t>
  </si>
  <si>
    <t xml:space="preserve">recoverable heat delivery and rejection</t>
  </si>
  <si>
    <t xml:space="preserve">20 MWth at early service</t>
  </si>
  <si>
    <t xml:space="preserve">receiver refusal</t>
  </si>
  <si>
    <t xml:space="preserve">useful heat and sink</t>
  </si>
  <si>
    <t xml:space="preserve">corridor and residual</t>
  </si>
  <si>
    <t xml:space="preserve">robotic pipe/conductor build plus brine custody</t>
  </si>
  <si>
    <t xml:space="preserve">complete point-of-use chain</t>
  </si>
  <si>
    <t xml:space="preserve">unlike tools and calibration</t>
  </si>
  <si>
    <t xml:space="preserve">route and terminal brine</t>
  </si>
  <si>
    <t xml:space="preserve">HU sovereign physical truth system</t>
  </si>
  <si>
    <t xml:space="preserve">clinical island</t>
  </si>
  <si>
    <t xml:space="preserve">complete configurable clinical metabolism</t>
  </si>
  <si>
    <t xml:space="preserve">all ten care-line interfaces</t>
  </si>
  <si>
    <t xml:space="preserve">second-team cold build</t>
  </si>
  <si>
    <t xml:space="preserve">care-line continuity</t>
  </si>
  <si>
    <t xml:space="preserve">reception and triage</t>
  </si>
  <si>
    <t xml:space="preserve">identity-preserving inflow and acuity assignment</t>
  </si>
  <si>
    <t xml:space="preserve">physical patient-path loads</t>
  </si>
  <si>
    <t xml:space="preserve">standardized nonpatient loads</t>
  </si>
  <si>
    <t xml:space="preserve">accepted state transition</t>
  </si>
  <si>
    <t xml:space="preserve">acute and specialty</t>
  </si>
  <si>
    <t xml:space="preserve">critical environments and specialty dependencies</t>
  </si>
  <si>
    <t xml:space="preserve">human-scale treatment paths</t>
  </si>
  <si>
    <t xml:space="preserve">specialist cohort denial</t>
  </si>
  <si>
    <t xml:space="preserve">staffed supplied positions</t>
  </si>
  <si>
    <t xml:space="preserve">utility metabolism</t>
  </si>
  <si>
    <t xml:space="preserve">power, air, water, sterile supply and no-break state</t>
  </si>
  <si>
    <t xml:space="preserve">complete island demand</t>
  </si>
  <si>
    <t xml:space="preserve">utility-family denial</t>
  </si>
  <si>
    <t xml:space="preserve">safe clinical state</t>
  </si>
  <si>
    <t xml:space="preserve">transfer and discharge</t>
  </si>
  <si>
    <t xml:space="preserve">regulated destination and supported-release chain</t>
  </si>
  <si>
    <t xml:space="preserve">complete receiver burden</t>
  </si>
  <si>
    <t xml:space="preserve">destination denial</t>
  </si>
  <si>
    <t xml:space="preserve">accepted handoff</t>
  </si>
  <si>
    <t xml:space="preserve">dirty counterflow</t>
  </si>
  <si>
    <t xml:space="preserve">waste, decontamination and residual custody</t>
  </si>
  <si>
    <t xml:space="preserve">complete clinical return</t>
  </si>
  <si>
    <t xml:space="preserve">closed residual</t>
  </si>
  <si>
    <t xml:space="preserve">RT sovereign physical truth system</t>
  </si>
  <si>
    <t xml:space="preserve">dirty return</t>
  </si>
  <si>
    <t xml:space="preserve">sealed receipt and configuration-state capture</t>
  </si>
  <si>
    <t xml:space="preserve">complete returned article boundary</t>
  </si>
  <si>
    <t xml:space="preserve">depot denied</t>
  </si>
  <si>
    <t xml:space="preserve">accepted return</t>
  </si>
  <si>
    <t xml:space="preserve">diagnosis</t>
  </si>
  <si>
    <t xml:space="preserve">disassembly, damage imaging and material assay</t>
  </si>
  <si>
    <t xml:space="preserve">part-scale causal truth</t>
  </si>
  <si>
    <t xml:space="preserve">unlike measurement lineages</t>
  </si>
  <si>
    <t xml:space="preserve">damage state</t>
  </si>
  <si>
    <t xml:space="preserve">feedstock conversion</t>
  </si>
  <si>
    <t xml:space="preserve">controlled virgin, recycled and recovered inputs</t>
  </si>
  <si>
    <t xml:space="preserve">coupon-to-stock chain</t>
  </si>
  <si>
    <t xml:space="preserve">vendor key denied</t>
  </si>
  <si>
    <t xml:space="preserve">material ancestry</t>
  </si>
  <si>
    <t xml:space="preserve">process mesh</t>
  </si>
  <si>
    <t xml:space="preserve">islanded additive, subtractive, thermal and joining cells</t>
  </si>
  <si>
    <t xml:space="preserve">complete critical-class route</t>
  </si>
  <si>
    <t xml:space="preserve">one process cell denied</t>
  </si>
  <si>
    <t xml:space="preserve">qualified output/MWh</t>
  </si>
  <si>
    <t xml:space="preserve">metrology and calibration</t>
  </si>
  <si>
    <t xml:space="preserve">portable standards, inspection and witness</t>
  </si>
  <si>
    <t xml:space="preserve">release-level uncertainty</t>
  </si>
  <si>
    <t xml:space="preserve">primary route denied</t>
  </si>
  <si>
    <t xml:space="preserve">equivalence and uncertainty</t>
  </si>
  <si>
    <t xml:space="preserve">release and residual</t>
  </si>
  <si>
    <t xml:space="preserve">signed configuration release plus waste custody</t>
  </si>
  <si>
    <t xml:space="preserve">99 positions/168 h boundary</t>
  </si>
  <si>
    <t xml:space="preserve">network and receiver denied</t>
  </si>
  <si>
    <t xml:space="preserve">accepted replacement</t>
  </si>
  <si>
    <t xml:space="preserve">Decisive-domain firewall</t>
  </si>
  <si>
    <t xml:space="preserve">A common failure may invalidate an event. It may not create a valid outcome.</t>
  </si>
  <si>
    <t xml:space="preserve">Domain</t>
  </si>
  <si>
    <t xml:space="preserve">Publicly common</t>
  </si>
  <si>
    <t xml:space="preserve">Must split by system</t>
  </si>
  <si>
    <t xml:space="preserve">Must split by station role</t>
  </si>
  <si>
    <t xml:space="preserve">Must split by lineage</t>
  </si>
  <si>
    <t xml:space="preserve">Reason</t>
  </si>
  <si>
    <t xml:space="preserve">Violation result</t>
  </si>
  <si>
    <t xml:space="preserve">units and record fields</t>
  </si>
  <si>
    <t xml:space="preserve">YES</t>
  </si>
  <si>
    <t xml:space="preserve">meaning must remain portable</t>
  </si>
  <si>
    <t xml:space="preserve">public connection geometry</t>
  </si>
  <si>
    <t xml:space="preserve">BOUNDARY</t>
  </si>
  <si>
    <t xml:space="preserve">permits substitutable attachment</t>
  </si>
  <si>
    <t xml:space="preserve">review</t>
  </si>
  <si>
    <t xml:space="preserve">candidate-facing utilities</t>
  </si>
  <si>
    <t xml:space="preserve">conditioning can improve outcome</t>
  </si>
  <si>
    <t xml:space="preserve">HOLD</t>
  </si>
  <si>
    <t xml:space="preserve">load generation</t>
  </si>
  <si>
    <t xml:space="preserve">shared forcing creates correlated truth</t>
  </si>
  <si>
    <t xml:space="preserve">working fluid or source</t>
  </si>
  <si>
    <t xml:space="preserve">material state is causal</t>
  </si>
  <si>
    <t xml:space="preserve">actuation physics</t>
  </si>
  <si>
    <t xml:space="preserve">common actuation selects mechanism</t>
  </si>
  <si>
    <t xml:space="preserve">KILL LINEAGE</t>
  </si>
  <si>
    <t xml:space="preserve">decisive sensors</t>
  </si>
  <si>
    <t xml:space="preserve">one bias can govern all results</t>
  </si>
  <si>
    <t xml:space="preserve">calibration artifacts</t>
  </si>
  <si>
    <t xml:space="preserve">self-consistency is not validation</t>
  </si>
  <si>
    <t xml:space="preserve">clock and runtime</t>
  </si>
  <si>
    <t xml:space="preserve">common timing can align error</t>
  </si>
  <si>
    <t xml:space="preserve">safeing path</t>
  </si>
  <si>
    <t xml:space="preserve">public protection cannot complete candidate duty</t>
  </si>
  <si>
    <t xml:space="preserve">build compiler and signer</t>
  </si>
  <si>
    <t xml:space="preserve">software openness does not erase ancestry</t>
  </si>
  <si>
    <t xml:space="preserve">rebuild and recovery tooling</t>
  </si>
  <si>
    <t xml:space="preserve">regeneration must survive sibling loss</t>
  </si>
  <si>
    <t xml:space="preserve">Eighteen root-native technology campaigns</t>
  </si>
  <si>
    <t xml:space="preserve">These campaigns are physical discovery obligations inside existing authority; no technical success is presumed.</t>
  </si>
  <si>
    <t xml:space="preserve">Technology objective</t>
  </si>
  <si>
    <t xml:space="preserve">Physical embodiment</t>
  </si>
  <si>
    <t xml:space="preserve">Fatal result</t>
  </si>
  <si>
    <t xml:space="preserve">Authority state</t>
  </si>
  <si>
    <t xml:space="preserve">T-ET-1</t>
  </si>
  <si>
    <t xml:space="preserve">programmable wave-load and hydrostatic exchange</t>
  </si>
  <si>
    <t xml:space="preserve">moving-interface load field</t>
  </si>
  <si>
    <t xml:space="preserve">custody or stability breaks below service rate</t>
  </si>
  <si>
    <t xml:space="preserve">T-ET-2</t>
  </si>
  <si>
    <t xml:space="preserve">self-forming wet-to-dry terminal mechanics</t>
  </si>
  <si>
    <t xml:space="preserve">breakable shore and ground-bearing field</t>
  </si>
  <si>
    <t xml:space="preserve">connector loss defeats dry handoff</t>
  </si>
  <si>
    <t xml:space="preserve">T-ET-3</t>
  </si>
  <si>
    <t xml:space="preserve">machine-readable custody under motion</t>
  </si>
  <si>
    <t xml:space="preserve">independent physical manifest chain</t>
  </si>
  <si>
    <t xml:space="preserve">mass or ownership becomes untraceable</t>
  </si>
  <si>
    <t xml:space="preserve">T-CT-1</t>
  </si>
  <si>
    <t xml:space="preserve">reversible attachment to damaged façades</t>
  </si>
  <si>
    <t xml:space="preserve">full-scale reconfigurable building skin</t>
  </si>
  <si>
    <t xml:space="preserve">anchor load propagates damage</t>
  </si>
  <si>
    <t xml:space="preserve">T-CT-2</t>
  </si>
  <si>
    <t xml:space="preserve">robotic multi-utility insertion</t>
  </si>
  <si>
    <t xml:space="preserve">fault-insertable occupied utility block</t>
  </si>
  <si>
    <t xml:space="preserve">isolation cannot prevent casualty</t>
  </si>
  <si>
    <t xml:space="preserve">T-CT-3</t>
  </si>
  <si>
    <t xml:space="preserve">safe temporary lift and utility trunks</t>
  </si>
  <si>
    <t xml:space="preserve">instrumented vertical spine</t>
  </si>
  <si>
    <t xml:space="preserve">lawful access falls below threshold</t>
  </si>
  <si>
    <t xml:space="preserve">T-HC-1</t>
  </si>
  <si>
    <t xml:space="preserve">high-duty thermal structures and regenerative flight</t>
  </si>
  <si>
    <t xml:space="preserve">thermal-cycle wing and propulsion article</t>
  </si>
  <si>
    <t xml:space="preserve">duty requires hidden fleet multiplication</t>
  </si>
  <si>
    <t xml:space="preserve">T-HC-2</t>
  </si>
  <si>
    <t xml:space="preserve">sparse plume tomography without common autonomy</t>
  </si>
  <si>
    <t xml:space="preserve">independent atmospheric state fields</t>
  </si>
  <si>
    <t xml:space="preserve">state disagreement prevents attribution</t>
  </si>
  <si>
    <t xml:space="preserve">T-HC-3</t>
  </si>
  <si>
    <t xml:space="preserve">precision deposition reconstruction</t>
  </si>
  <si>
    <t xml:space="preserve">full-scale drop-field metrology</t>
  </si>
  <si>
    <t xml:space="preserve">fluid cannot be tied to held edge</t>
  </si>
  <si>
    <t xml:space="preserve">T-LF-1</t>
  </si>
  <si>
    <t xml:space="preserve">rapid-bore geothermal in uncertain geology</t>
  </si>
  <si>
    <t xml:space="preserve">multi-geology bore and circulation field</t>
  </si>
  <si>
    <t xml:space="preserve">day-21 output causes drawdown or hazard</t>
  </si>
  <si>
    <t xml:space="preserve">T-LF-2</t>
  </si>
  <si>
    <t xml:space="preserve">coupled heat-water-brine closure</t>
  </si>
  <si>
    <t xml:space="preserve">closed conversion and residual loop</t>
  </si>
  <si>
    <t xml:space="preserve">scaling or brine custody breaks service</t>
  </si>
  <si>
    <t xml:space="preserve">T-LF-3</t>
  </si>
  <si>
    <t xml:space="preserve">autonomous pipe and conductor construction</t>
  </si>
  <si>
    <t xml:space="preserve">robotic buried utility reach</t>
  </si>
  <si>
    <t xml:space="preserve">corridor burden dominates source</t>
  </si>
  <si>
    <t xml:space="preserve">T-HU-1</t>
  </si>
  <si>
    <t xml:space="preserve">reconfigurable sterile care metabolism</t>
  </si>
  <si>
    <t xml:space="preserve">acuity-state clinical process island</t>
  </si>
  <si>
    <t xml:space="preserve">mass reduction deletes care or safe state</t>
  </si>
  <si>
    <t xml:space="preserve">T-HU-2</t>
  </si>
  <si>
    <t xml:space="preserve">relationship-preserving identity and transfer</t>
  </si>
  <si>
    <t xml:space="preserve">distributed patient-path custody field</t>
  </si>
  <si>
    <t xml:space="preserve">therapy, identity or destination separates</t>
  </si>
  <si>
    <t xml:space="preserve">T-HU-3</t>
  </si>
  <si>
    <t xml:space="preserve">autonomous clinical counterflows</t>
  </si>
  <si>
    <t xml:space="preserve">closed supply, waste and discharge testbed</t>
  </si>
  <si>
    <t xml:space="preserve">burden remains external</t>
  </si>
  <si>
    <t xml:space="preserve">T-RT-1</t>
  </si>
  <si>
    <t xml:space="preserve">portable material-state qualification</t>
  </si>
  <si>
    <t xml:space="preserve">disconnected coupon-to-part cell</t>
  </si>
  <si>
    <t xml:space="preserve">output lacks equivalence evidence</t>
  </si>
  <si>
    <t xml:space="preserve">T-RT-2</t>
  </si>
  <si>
    <t xml:space="preserve">serial ancestry without vendor keys</t>
  </si>
  <si>
    <t xml:space="preserve">cold genealogy and calibration vault</t>
  </si>
  <si>
    <t xml:space="preserve">reproduction depends on hidden key</t>
  </si>
  <si>
    <t xml:space="preserve">T-RT-3</t>
  </si>
  <si>
    <t xml:space="preserve">adaptive islanded process control</t>
  </si>
  <si>
    <t xml:space="preserve">multi-process production mesh</t>
  </si>
  <si>
    <t xml:space="preserve">qualified output/MWh falls below threshold</t>
  </si>
  <si>
    <t xml:space="preserve">Public reserve allocation and first-wave ceilings</t>
  </si>
  <si>
    <t xml:space="preserve">All values are authority reservations in USD billions. Equal station shares contain correlated loss; they are not predicted construction prices.</t>
  </si>
  <si>
    <t xml:space="preserve">Public reserve object</t>
  </si>
  <si>
    <t xml:space="preserve">Total USD B</t>
  </si>
  <si>
    <t xml:space="preserve">Per system</t>
  </si>
  <si>
    <t xml:space="preserve">Per station</t>
  </si>
  <si>
    <t xml:space="preserve">Per state bay</t>
  </si>
  <si>
    <t xml:space="preserve">Per realization</t>
  </si>
  <si>
    <t xml:space="preserve">A0 method packages</t>
  </si>
  <si>
    <t xml:space="preserve">receiver-state lines</t>
  </si>
  <si>
    <t xml:space="preserve">physical method realizations</t>
  </si>
  <si>
    <t xml:space="preserve">calibration chains</t>
  </si>
  <si>
    <t xml:space="preserve">reset and forensics</t>
  </si>
  <si>
    <t xml:space="preserve">rights and public safety</t>
  </si>
  <si>
    <t xml:space="preserve">replay and cold reconstruction</t>
  </si>
  <si>
    <t xml:space="preserve">controlled uncertainty</t>
  </si>
  <si>
    <t xml:space="preserve">Public reserve</t>
  </si>
  <si>
    <t xml:space="preserve">Private option</t>
  </si>
  <si>
    <t xml:space="preserve">Combined ceiling</t>
  </si>
  <si>
    <t xml:space="preserve">Share of wave</t>
  </si>
  <si>
    <t xml:space="preserve">Current obligation</t>
  </si>
  <si>
    <t xml:space="preserve">Architecture and authority stress cases</t>
  </si>
  <si>
    <t xml:space="preserve">A pass preserves both action and the prohibition on manufacturing evidence from authority.</t>
  </si>
  <si>
    <t xml:space="preserve">Disturbance</t>
  </si>
  <si>
    <t xml:space="preserve">Required response</t>
  </si>
  <si>
    <t xml:space="preserve">Forbidden conversion</t>
  </si>
  <si>
    <t xml:space="preserve">Disposition</t>
  </si>
  <si>
    <t xml:space="preserve">S01</t>
  </si>
  <si>
    <t xml:space="preserve">common utility can improve result</t>
  </si>
  <si>
    <t xml:space="preserve">reclassify and split utility</t>
  </si>
  <si>
    <t xml:space="preserve">substrate to technical root</t>
  </si>
  <si>
    <t xml:space="preserve">PASS</t>
  </si>
  <si>
    <t xml:space="preserve">S02</t>
  </si>
  <si>
    <t xml:space="preserve">common safeing completes candidate duty</t>
  </si>
  <si>
    <t xml:space="preserve">invalidate and split safeing</t>
  </si>
  <si>
    <t xml:space="preserve">public protection to candidate credit</t>
  </si>
  <si>
    <t xml:space="preserve">S03</t>
  </si>
  <si>
    <t xml:space="preserve">challenge and control share site casualty</t>
  </si>
  <si>
    <t xml:space="preserve">reject station topology</t>
  </si>
  <si>
    <t xml:space="preserve">campus count to independence</t>
  </si>
  <si>
    <t xml:space="preserve">REJECT</t>
  </si>
  <si>
    <t xml:space="preserve">S04</t>
  </si>
  <si>
    <t xml:space="preserve">two method lineages share calibration artifact</t>
  </si>
  <si>
    <t xml:space="preserve">hold method card</t>
  </si>
  <si>
    <t xml:space="preserve">self-consistency to plurality</t>
  </si>
  <si>
    <t xml:space="preserve">S05</t>
  </si>
  <si>
    <t xml:space="preserve">lineages disagree</t>
  </si>
  <si>
    <t xml:space="preserve">investigate both physical chains</t>
  </si>
  <si>
    <t xml:space="preserve">average to truth</t>
  </si>
  <si>
    <t xml:space="preserve">S06</t>
  </si>
  <si>
    <t xml:space="preserve">regeneration borrows sibling tooling</t>
  </si>
  <si>
    <t xml:space="preserve">deny return credit</t>
  </si>
  <si>
    <t xml:space="preserve">shared repair to independent recovery</t>
  </si>
  <si>
    <t xml:space="preserve">S07</t>
  </si>
  <si>
    <t xml:space="preserve">one station consumes excess reserve</t>
  </si>
  <si>
    <t xml:space="preserve">stop issue and return variance</t>
  </si>
  <si>
    <t xml:space="preserve">schedule pressure to cross-system borrowing</t>
  </si>
  <si>
    <t xml:space="preserve">STOP</t>
  </si>
  <si>
    <t xml:space="preserve">S08</t>
  </si>
  <si>
    <t xml:space="preserve">site identity is proposed</t>
  </si>
  <si>
    <t xml:space="preserve">require later site warrant</t>
  </si>
  <si>
    <t xml:space="preserve">functional envelope to location</t>
  </si>
  <si>
    <t xml:space="preserve">S09</t>
  </si>
  <si>
    <t xml:space="preserve">operator identity is proposed</t>
  </si>
  <si>
    <t xml:space="preserve">require later control admission</t>
  </si>
  <si>
    <t xml:space="preserve">role description to firm</t>
  </si>
  <si>
    <t xml:space="preserve">S10</t>
  </si>
  <si>
    <t xml:space="preserve">digital twin matches all expected values</t>
  </si>
  <si>
    <t xml:space="preserve">retain physical events</t>
  </si>
  <si>
    <t xml:space="preserve">simulation to observation</t>
  </si>
  <si>
    <t xml:space="preserve">NO CREDIT</t>
  </si>
  <si>
    <t xml:space="preserve">S11</t>
  </si>
  <si>
    <t xml:space="preserve">one root survives both endpoints</t>
  </si>
  <si>
    <t xml:space="preserve">retain other three roots and G4 proof</t>
  </si>
  <si>
    <t xml:space="preserve">A2 success to production</t>
  </si>
  <si>
    <t xml:space="preserve">NO PRODUCTION</t>
  </si>
  <si>
    <t xml:space="preserve">S12</t>
  </si>
  <si>
    <t xml:space="preserve">public emergency stop fires</t>
  </si>
  <si>
    <t xml:space="preserve">protect people and invalidate outcome</t>
  </si>
  <si>
    <t xml:space="preserve">safe stop to candidate safe state</t>
  </si>
  <si>
    <t xml:space="preserve">INVALID</t>
  </si>
  <si>
    <t xml:space="preserve">S13</t>
  </si>
  <si>
    <t xml:space="preserve">cold team uses candidate runtime</t>
  </si>
  <si>
    <t xml:space="preserve">reject reconstruction</t>
  </si>
  <si>
    <t xml:space="preserve">data disclosure to executable identity</t>
  </si>
  <si>
    <t xml:space="preserve">S14</t>
  </si>
  <si>
    <t xml:space="preserve">receiver emulator omits residual refusal</t>
  </si>
  <si>
    <t xml:space="preserve">reject state bay</t>
  </si>
  <si>
    <t xml:space="preserve">machine output to public service</t>
  </si>
  <si>
    <t xml:space="preserve">S15</t>
  </si>
  <si>
    <t xml:space="preserve">all six candidates die validly</t>
  </si>
  <si>
    <t xml:space="preserve">retain public estate and unused authority</t>
  </si>
  <si>
    <t xml:space="preserve">failure to program collapse</t>
  </si>
  <si>
    <t xml:space="preserve">RETURN</t>
  </si>
  <si>
    <t xml:space="preserve">S16</t>
  </si>
  <si>
    <t xml:space="preserve">rendering requested before build records</t>
  </si>
  <si>
    <t xml:space="preserve">retain functional geometry only</t>
  </si>
  <si>
    <t xml:space="preserve">envelope to exterior design</t>
  </si>
  <si>
    <t xml:space="preserve">Live mutation and restoration log</t>
  </si>
  <si>
    <t xml:space="preserve">Each mutation changes one authoritative control, trips one or more terminal audits and restores the baseline before export.</t>
  </si>
  <si>
    <t xml:space="preserve">Control cell</t>
  </si>
  <si>
    <t xml:space="preserve">Baseline</t>
  </si>
  <si>
    <t xml:space="preserve">Mutated</t>
  </si>
  <si>
    <t xml:space="preserve">Audit failures</t>
  </si>
  <si>
    <t xml:space="preserve">Mutation detected</t>
  </si>
  <si>
    <t xml:space="preserve">Baseline restored</t>
  </si>
  <si>
    <t xml:space="preserve">M01</t>
  </si>
  <si>
    <t xml:space="preserve">Controls!B7</t>
  </si>
  <si>
    <t xml:space="preserve">M02</t>
  </si>
  <si>
    <t xml:space="preserve">Controls!B8</t>
  </si>
  <si>
    <t xml:space="preserve">M03</t>
  </si>
  <si>
    <t xml:space="preserve">Controls!B9</t>
  </si>
  <si>
    <t xml:space="preserve">M04</t>
  </si>
  <si>
    <t xml:space="preserve">Controls!B10</t>
  </si>
  <si>
    <t xml:space="preserve">M05</t>
  </si>
  <si>
    <t xml:space="preserve">Controls!B11</t>
  </si>
  <si>
    <t xml:space="preserve">M06</t>
  </si>
  <si>
    <t xml:space="preserve">Controls!B12</t>
  </si>
  <si>
    <t xml:space="preserve">M07</t>
  </si>
  <si>
    <t xml:space="preserve">Controls!B13</t>
  </si>
  <si>
    <t xml:space="preserve">M08</t>
  </si>
  <si>
    <t xml:space="preserve">Controls!B14</t>
  </si>
  <si>
    <t xml:space="preserve">M09</t>
  </si>
  <si>
    <t xml:space="preserve">Controls!B15</t>
  </si>
  <si>
    <t xml:space="preserve">M10</t>
  </si>
  <si>
    <t xml:space="preserve">Controls!B16</t>
  </si>
  <si>
    <t xml:space="preserve">M11</t>
  </si>
  <si>
    <t xml:space="preserve">Controls!B17</t>
  </si>
  <si>
    <t xml:space="preserve">M12</t>
  </si>
  <si>
    <t xml:space="preserve">Controls!B18</t>
  </si>
  <si>
    <t xml:space="preserve">M13</t>
  </si>
  <si>
    <t xml:space="preserve">Controls!B19</t>
  </si>
  <si>
    <t xml:space="preserve">M14</t>
  </si>
  <si>
    <t xml:space="preserve">Controls!B20</t>
  </si>
  <si>
    <t xml:space="preserve">M15</t>
  </si>
  <si>
    <t xml:space="preserve">Controls!B22</t>
  </si>
  <si>
    <t xml:space="preserve">M16</t>
  </si>
  <si>
    <t xml:space="preserve">Controls!B23</t>
  </si>
  <si>
    <t xml:space="preserve">Terminal structural and numerical audit</t>
  </si>
  <si>
    <t xml:space="preserve">The audit tests the model but creates no physical, contractual or capability authority.</t>
  </si>
  <si>
    <t xml:space="preserve">Audit</t>
  </si>
  <si>
    <t xml:space="preserve">Expected</t>
  </si>
  <si>
    <t xml:space="preserve">Difference</t>
  </si>
  <si>
    <t xml:space="preserve">roles per system</t>
  </si>
  <si>
    <t xml:space="preserve">lineages</t>
  </si>
  <si>
    <t xml:space="preserve">station register rows</t>
  </si>
  <si>
    <t xml:space="preserve">active lanes</t>
  </si>
  <si>
    <t xml:space="preserve">regeneration lanes</t>
  </si>
  <si>
    <t xml:space="preserve">all-six estate lanes</t>
  </si>
  <si>
    <t xml:space="preserve">state-bay arithmetic</t>
  </si>
  <si>
    <t xml:space="preserve">state-bay rows</t>
  </si>
  <si>
    <t xml:space="preserve">method realization arithmetic</t>
  </si>
  <si>
    <t xml:space="preserve">method realization rows</t>
  </si>
  <si>
    <t xml:space="preserve">accepted realizations</t>
  </si>
  <si>
    <t xml:space="preserve">source-empty ancestry</t>
  </si>
  <si>
    <t xml:space="preserve">source-empty calibration</t>
  </si>
  <si>
    <t xml:space="preserve">no regeneration credit</t>
  </si>
  <si>
    <t xml:space="preserve">independence domains</t>
  </si>
  <si>
    <t xml:space="preserve">substrate boundaries</t>
  </si>
  <si>
    <t xml:space="preserve">selected architectures</t>
  </si>
  <si>
    <t xml:space="preserve">selected architecture gates</t>
  </si>
  <si>
    <t xml:space="preserve">rejected architectures</t>
  </si>
  <si>
    <t xml:space="preserve">rig families</t>
  </si>
  <si>
    <t xml:space="preserve">rig family stations</t>
  </si>
  <si>
    <t xml:space="preserve">rig family state bays</t>
  </si>
  <si>
    <t xml:space="preserve">rig family realizations</t>
  </si>
  <si>
    <t xml:space="preserve">rig family regeneration functions</t>
  </si>
  <si>
    <t xml:space="preserve">rig public total</t>
  </si>
  <si>
    <t xml:space="preserve">rig private total</t>
  </si>
  <si>
    <t xml:space="preserve">rig combined total</t>
  </si>
  <si>
    <t xml:space="preserve">finance public total</t>
  </si>
  <si>
    <t xml:space="preserve">finance per-system total</t>
  </si>
  <si>
    <t xml:space="preserve">finance per-station total</t>
  </si>
  <si>
    <t xml:space="preserve">finance per-state-bay total</t>
  </si>
  <si>
    <t xml:space="preserve">finance per-realization total</t>
  </si>
  <si>
    <t xml:space="preserve">finance system combined</t>
  </si>
  <si>
    <t xml:space="preserve">finance shares</t>
  </si>
  <si>
    <t xml:space="preserve">current obligation</t>
  </si>
  <si>
    <t xml:space="preserve">technology campaigns</t>
  </si>
  <si>
    <t xml:space="preserve">ET rig zones</t>
  </si>
  <si>
    <t xml:space="preserve">CT rig zones</t>
  </si>
  <si>
    <t xml:space="preserve">HC rig zones</t>
  </si>
  <si>
    <t xml:space="preserve">LF rig zones</t>
  </si>
  <si>
    <t xml:space="preserve">HU rig zones</t>
  </si>
  <si>
    <t xml:space="preserve">RT rig zones</t>
  </si>
  <si>
    <t xml:space="preserve">stress tests</t>
  </si>
  <si>
    <t xml:space="preserve">stress passes</t>
  </si>
  <si>
    <t xml:space="preserve">sites zero</t>
  </si>
  <si>
    <t xml:space="preserve">firms zero</t>
  </si>
  <si>
    <t xml:space="preserve">serials zero</t>
  </si>
  <si>
    <t xml:space="preserve">observations zero</t>
  </si>
  <si>
    <t xml:space="preserve">obligations zero</t>
  </si>
  <si>
    <t xml:space="preserve">payments zero</t>
  </si>
  <si>
    <t xml:space="preserve">capability credit zero</t>
  </si>
  <si>
    <t xml:space="preserve">rendering authority zero</t>
  </si>
  <si>
    <t xml:space="preserve">Internal sources and model limits</t>
  </si>
  <si>
    <t xml:space="preserve">The workbook composes prior internal authorities and explicit design judgments. It does not claim empirical performance for unbuilt systems.</t>
  </si>
  <si>
    <t xml:space="preserve">Source</t>
  </si>
  <si>
    <t xml:space="preserve">Repository artifact</t>
  </si>
  <si>
    <t xml:space="preserve">Access</t>
  </si>
  <si>
    <t xml:space="preserve">Limitation</t>
  </si>
  <si>
    <t xml:space="preserve">six-root sentinel wave and cancellation constitution</t>
  </si>
  <si>
    <t xml:space="preserve">selected roots, endpoints, estate and authority</t>
  </si>
  <si>
    <t xml:space="preserve">internal repository</t>
  </si>
  <si>
    <t xml:space="preserve">no site, firm, article or observation</t>
  </si>
  <si>
    <t xml:space="preserve">federated public-method grid</t>
  </si>
  <si>
    <t xml:space="preserve">states, cards, unlike lineages and public seams</t>
  </si>
  <si>
    <t xml:space="preserve">no accepted physical realization</t>
  </si>
  <si>
    <t xml:space="preserve">PFP-3</t>
  </si>
  <si>
    <t xml:space="preserve">first six-system requirement cohort</t>
  </si>
  <si>
    <t xml:space="preserve">public-service vectors and technology fields</t>
  </si>
  <si>
    <t xml:space="preserve">mechanism hypotheses only</t>
  </si>
  <si>
    <t xml:space="preserve">C3-SPW-3</t>
  </si>
  <si>
    <t xml:space="preserve">twenty non-lifeline physical balances</t>
  </si>
  <si>
    <t xml:space="preserve">selected root balances and fatal accounts</t>
  </si>
  <si>
    <t xml:space="preserve">paper design values, not observations</t>
  </si>
  <si>
    <t xml:space="preserve">C3-LFG3-1</t>
  </si>
  <si>
    <t xml:space="preserve">lifeline four-root physical configuration</t>
  </si>
  <si>
    <t xml:space="preserve">LF-B source, bus, water and residual chain</t>
  </si>
  <si>
    <t xml:space="preserve">site and subsurface state unresolved</t>
  </si>
  <si>
    <t xml:space="preserve">Model boundary</t>
  </si>
  <si>
    <t xml:space="preserve">this workbook</t>
  </si>
  <si>
    <t xml:space="preserve">formula, structural, mutation and rendering checks</t>
  </si>
  <si>
    <t xml:space="preserve">no external sites used</t>
  </si>
  <si>
    <t xml:space="preserve">Evidence boundary</t>
  </si>
  <si>
    <t xml:space="preserve">all implementation records</t>
  </si>
  <si>
    <t xml:space="preserve">identities and observations remain source empty</t>
  </si>
  <si>
    <t xml:space="preserve">not available</t>
  </si>
  <si>
    <t xml:space="preserve">zero is deliberate</t>
  </si>
  <si>
    <t xml:space="preserve">Rendering boundary</t>
  </si>
  <si>
    <t xml:space="preserve">exterior form</t>
  </si>
  <si>
    <t xml:space="preserve">held until physical requirements stabilize</t>
  </si>
  <si>
    <t xml:space="preserve">not applicable</t>
  </si>
  <si>
    <t xml:space="preserve">no renderings in this pass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</si>
</sst>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"/>
    <numFmt numFmtId="166" formatCode="#,##0.000000"/>
    <numFmt numFmtId="167" formatCode="\$0.000"/>
    <numFmt numFmtId="168" formatCode="\$0.0\B"/>
    <numFmt numFmtId="169" formatCode="0.0%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7365D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0070C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9"/>
      <color rgb="FF000000"/>
      <name val="Arial"/>
      <family val="2"/>
    </font>
    <font>
      <sz val="6.75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FFF2CC"/>
        <bgColor rgb="FFFCE8E6"/>
      </patternFill>
    </fill>
    <fill>
      <patternFill patternType="solid">
        <fgColor rgb="FF0F6B78"/>
        <bgColor rgb="FF008080"/>
      </patternFill>
    </fill>
    <fill>
      <patternFill patternType="solid">
        <fgColor rgb="FFFCE8E6"/>
        <bgColor rgb="FFFFF2CC"/>
      </patternFill>
    </fill>
    <fill>
      <patternFill patternType="solid">
        <fgColor rgb="FFEAF2F8"/>
        <bgColor rgb="FFE2F0D9"/>
      </patternFill>
    </fill>
    <fill>
      <patternFill patternType="solid">
        <fgColor rgb="FFE2F0D9"/>
        <bgColor rgb="FFEAF2F8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7365D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/>
      <right/>
      <top/>
      <bottom style="thin">
        <color rgb="FFD6DFEA"/>
      </bottom>
      <diagonal/>
    </border>
    <border diagonalUp="false" diagonalDown="false">
      <left/>
      <right/>
      <top style="thin">
        <color rgb="FFD6DFEA"/>
      </top>
      <bottom style="thin">
        <color rgb="FFD6DFEA"/>
      </bottom>
      <diagonal/>
    </border>
    <border diagonalUp="false" diagonalDown="false">
      <left/>
      <right/>
      <top style="thin">
        <color rgb="FFD6DFEA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6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6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6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3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F6B78"/>
      <rgbColor rgb="FFCCCCCC"/>
      <rgbColor rgb="FF8B8B8B"/>
      <rgbColor rgb="FF9999FF"/>
      <rgbColor rgb="FF993366"/>
      <rgbColor rgb="FFFFF2CC"/>
      <rgbColor rgb="FFEAF2F8"/>
      <rgbColor rgb="FF660066"/>
      <rgbColor rgb="FFFF8080"/>
      <rgbColor rgb="FF0070C0"/>
      <rgbColor rgb="FFD6DF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CE8E6"/>
      <rgbColor rgb="FF99CCFF"/>
      <rgbColor rgb="FFFF99CC"/>
      <rgbColor rgb="FFCC99FF"/>
      <rgbColor rgb="FFD9D9D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First-wave authority by truth train (USD 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'Rig Families'!$C$7:$C$12</c:f>
              <c:strCache>
                <c:ptCount val="6"/>
                <c:pt idx="0">
                  <c:v>Pelagic heavy bridge</c:v>
                </c:pt>
                <c:pt idx="1">
                  <c:v>Building utility spine</c:v>
                </c:pt>
                <c:pt idx="2">
                  <c:v>Atmospheric flux wing</c:v>
                </c:pt>
                <c:pt idx="3">
                  <c:v>Inland geothermal train</c:v>
                </c:pt>
                <c:pt idx="4">
                  <c:v>Clinical continuity campus</c:v>
                </c:pt>
                <c:pt idx="5">
                  <c:v>Microfactory mesh</c:v>
                </c:pt>
              </c:strCache>
            </c:strRef>
          </c:cat>
          <c:val>
            <c:numRef>
              <c:f>'Rig Families'!$M$7:$M$12</c:f>
              <c:numCache>
                <c:formatCode>\$0.000</c:formatCode>
                <c:ptCount val="6"/>
                <c:pt idx="0">
                  <c:v>2.50047461808185</c:v>
                </c:pt>
                <c:pt idx="1">
                  <c:v>2.51649348177396</c:v>
                </c:pt>
                <c:pt idx="2">
                  <c:v>2.30722165406713</c:v>
                </c:pt>
                <c:pt idx="3">
                  <c:v>2.89941281932057</c:v>
                </c:pt>
                <c:pt idx="4">
                  <c:v>2.86071245294109</c:v>
                </c:pt>
                <c:pt idx="5">
                  <c:v>2.50259779313596</c:v>
                </c:pt>
              </c:numCache>
            </c:numRef>
          </c:val>
        </c:ser>
        <c:gapWidth val="150"/>
        <c:overlap val="0"/>
        <c:axId val="29786850"/>
        <c:axId val="50545481"/>
      </c:barChart>
      <c:catAx>
        <c:axId val="2978685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0545481"/>
        <c:crosses val="autoZero"/>
        <c:auto val="1"/>
        <c:lblAlgn val="ctr"/>
        <c:lblOffset val="100"/>
        <c:noMultiLvlLbl val="0"/>
      </c:catAx>
      <c:valAx>
        <c:axId val="5054548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\$0.0\B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9786850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5</xdr:row>
      <xdr:rowOff>0</xdr:rowOff>
    </xdr:from>
    <xdr:to>
      <xdr:col>22</xdr:col>
      <xdr:colOff>611280</xdr:colOff>
      <xdr:row>20</xdr:row>
      <xdr:rowOff>190080</xdr:rowOff>
    </xdr:to>
    <xdr:graphicFrame>
      <xdr:nvGraphicFramePr>
        <xdr:cNvPr id="1" name="Chart"/>
        <xdr:cNvGraphicFramePr/>
      </xdr:nvGraphicFramePr>
      <xdr:xfrm>
        <a:off x="22602960" y="1066680"/>
        <a:ext cx="4891680" cy="325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1"/>
    <col collapsed="false" customWidth="true" hidden="false" outlineLevel="0" max="5" min="5" style="0" width="48"/>
    <col collapsed="false" customWidth="true" hidden="false" outlineLevel="0" max="6" min="6" style="0" width="32"/>
    <col collapsed="false" customWidth="true" hidden="false" outlineLevel="0" max="7" min="7" style="0" width="39"/>
    <col collapsed="false" customWidth="true" hidden="false" outlineLevel="0" max="8" min="8" style="0" width="34"/>
  </cols>
  <sheetData>
    <row r="2" customFormat="false" ht="24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3" hidden="false" customHeight="true" outlineLevel="0" collapsed="false">
      <c r="A6" s="5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7" t="s">
        <v>9</v>
      </c>
    </row>
    <row r="7" customFormat="false" ht="15" hidden="false" customHeight="false" outlineLevel="0" collapsed="false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H7" s="8" t="s">
        <v>17</v>
      </c>
    </row>
    <row r="8" customFormat="false" ht="15" hidden="false" customHeight="false" outlineLevel="0" collapsed="false">
      <c r="A8" s="9" t="s">
        <v>18</v>
      </c>
      <c r="B8" s="10" t="n">
        <v>6</v>
      </c>
      <c r="C8" s="9" t="s">
        <v>19</v>
      </c>
      <c r="D8" s="9" t="s">
        <v>20</v>
      </c>
      <c r="E8" s="9" t="s">
        <v>21</v>
      </c>
      <c r="F8" s="9" t="s">
        <v>22</v>
      </c>
      <c r="G8" s="9" t="s">
        <v>23</v>
      </c>
      <c r="H8" s="9" t="s">
        <v>24</v>
      </c>
    </row>
    <row r="9" customFormat="false" ht="15" hidden="false" customHeight="false" outlineLevel="0" collapsed="false">
      <c r="A9" s="9" t="s">
        <v>25</v>
      </c>
      <c r="B9" s="10" t="n">
        <v>18</v>
      </c>
      <c r="C9" s="9" t="s">
        <v>19</v>
      </c>
      <c r="D9" s="9" t="s">
        <v>20</v>
      </c>
      <c r="E9" s="9" t="s">
        <v>26</v>
      </c>
      <c r="F9" s="9" t="s">
        <v>27</v>
      </c>
      <c r="G9" s="9" t="s">
        <v>28</v>
      </c>
      <c r="H9" s="9" t="s">
        <v>29</v>
      </c>
    </row>
    <row r="10" customFormat="false" ht="15" hidden="false" customHeight="false" outlineLevel="0" collapsed="false">
      <c r="A10" s="9" t="s">
        <v>30</v>
      </c>
      <c r="B10" s="10" t="n">
        <v>36</v>
      </c>
      <c r="C10" s="9" t="s">
        <v>19</v>
      </c>
      <c r="D10" s="9" t="s">
        <v>20</v>
      </c>
      <c r="E10" s="9" t="s">
        <v>31</v>
      </c>
      <c r="F10" s="9" t="s">
        <v>32</v>
      </c>
      <c r="G10" s="9" t="s">
        <v>33</v>
      </c>
      <c r="H10" s="9" t="s">
        <v>34</v>
      </c>
    </row>
    <row r="11" customFormat="false" ht="15" hidden="false" customHeight="false" outlineLevel="0" collapsed="false">
      <c r="A11" s="9" t="s">
        <v>35</v>
      </c>
      <c r="B11" s="10" t="n">
        <v>72</v>
      </c>
      <c r="C11" s="9" t="s">
        <v>19</v>
      </c>
      <c r="D11" s="9" t="s">
        <v>20</v>
      </c>
      <c r="E11" s="9" t="s">
        <v>36</v>
      </c>
      <c r="F11" s="9" t="s">
        <v>37</v>
      </c>
      <c r="G11" s="9" t="s">
        <v>38</v>
      </c>
      <c r="H11" s="9" t="s">
        <v>39</v>
      </c>
    </row>
    <row r="12" customFormat="false" ht="15" hidden="false" customHeight="false" outlineLevel="0" collapsed="false">
      <c r="A12" s="9" t="s">
        <v>40</v>
      </c>
      <c r="B12" s="10" t="n">
        <v>144</v>
      </c>
      <c r="C12" s="9" t="s">
        <v>19</v>
      </c>
      <c r="D12" s="11" t="s">
        <v>41</v>
      </c>
      <c r="E12" s="9" t="s">
        <v>42</v>
      </c>
      <c r="F12" s="9" t="s">
        <v>43</v>
      </c>
      <c r="G12" s="9" t="s">
        <v>44</v>
      </c>
      <c r="H12" s="9" t="s">
        <v>45</v>
      </c>
    </row>
    <row r="13" customFormat="false" ht="15" hidden="false" customHeight="false" outlineLevel="0" collapsed="false">
      <c r="A13" s="9" t="s">
        <v>46</v>
      </c>
      <c r="B13" s="10" t="n">
        <v>72</v>
      </c>
      <c r="C13" s="9" t="s">
        <v>19</v>
      </c>
      <c r="D13" s="11" t="s">
        <v>20</v>
      </c>
      <c r="E13" s="9" t="s">
        <v>47</v>
      </c>
      <c r="F13" s="9" t="s">
        <v>48</v>
      </c>
      <c r="G13" s="9" t="s">
        <v>49</v>
      </c>
      <c r="H13" s="9" t="s">
        <v>50</v>
      </c>
    </row>
    <row r="14" customFormat="false" ht="15" hidden="false" customHeight="false" outlineLevel="0" collapsed="false">
      <c r="A14" s="9" t="s">
        <v>51</v>
      </c>
      <c r="B14" s="10" t="n">
        <v>12</v>
      </c>
      <c r="C14" s="9" t="s">
        <v>52</v>
      </c>
      <c r="D14" s="11" t="s">
        <v>53</v>
      </c>
      <c r="E14" s="9" t="s">
        <v>54</v>
      </c>
      <c r="F14" s="9" t="s">
        <v>55</v>
      </c>
      <c r="G14" s="9" t="s">
        <v>56</v>
      </c>
      <c r="H14" s="9" t="s">
        <v>57</v>
      </c>
    </row>
    <row r="15" customFormat="false" ht="15" hidden="false" customHeight="false" outlineLevel="0" collapsed="false">
      <c r="A15" s="9" t="s">
        <v>58</v>
      </c>
      <c r="B15" s="10" t="n">
        <v>3.58691281932057</v>
      </c>
      <c r="C15" s="9" t="s">
        <v>52</v>
      </c>
      <c r="D15" s="11" t="s">
        <v>59</v>
      </c>
      <c r="E15" s="9" t="s">
        <v>60</v>
      </c>
      <c r="F15" s="9" t="s">
        <v>55</v>
      </c>
      <c r="G15" s="9" t="s">
        <v>61</v>
      </c>
      <c r="H15" s="9" t="s">
        <v>62</v>
      </c>
    </row>
    <row r="16" customFormat="false" ht="15" hidden="false" customHeight="false" outlineLevel="0" collapsed="false">
      <c r="A16" s="9" t="s">
        <v>63</v>
      </c>
      <c r="B16" s="10" t="n">
        <v>15.5869128193206</v>
      </c>
      <c r="C16" s="9" t="s">
        <v>52</v>
      </c>
      <c r="D16" s="11" t="s">
        <v>64</v>
      </c>
      <c r="E16" s="9" t="s">
        <v>65</v>
      </c>
      <c r="F16" s="9" t="s">
        <v>55</v>
      </c>
      <c r="G16" s="9" t="s">
        <v>66</v>
      </c>
      <c r="H16" s="9" t="s">
        <v>39</v>
      </c>
    </row>
    <row r="17" customFormat="false" ht="15" hidden="false" customHeight="false" outlineLevel="0" collapsed="false">
      <c r="A17" s="9" t="s">
        <v>67</v>
      </c>
      <c r="B17" s="10" t="n">
        <v>0</v>
      </c>
      <c r="C17" s="9" t="s">
        <v>52</v>
      </c>
      <c r="D17" s="11" t="s">
        <v>41</v>
      </c>
      <c r="E17" s="9" t="s">
        <v>68</v>
      </c>
      <c r="F17" s="9" t="s">
        <v>69</v>
      </c>
      <c r="G17" s="9" t="s">
        <v>70</v>
      </c>
      <c r="H17" s="9" t="s">
        <v>71</v>
      </c>
    </row>
    <row r="18" customFormat="false" ht="15" hidden="false" customHeight="false" outlineLevel="0" collapsed="false">
      <c r="A18" s="9" t="s">
        <v>72</v>
      </c>
      <c r="B18" s="10" t="n">
        <v>0</v>
      </c>
      <c r="C18" s="9" t="s">
        <v>19</v>
      </c>
      <c r="D18" s="11" t="s">
        <v>73</v>
      </c>
      <c r="E18" s="9" t="s">
        <v>74</v>
      </c>
      <c r="F18" s="9" t="s">
        <v>69</v>
      </c>
      <c r="G18" s="9" t="s">
        <v>75</v>
      </c>
      <c r="H18" s="9" t="s">
        <v>76</v>
      </c>
    </row>
    <row r="19" customFormat="false" ht="15" hidden="false" customHeight="false" outlineLevel="0" collapsed="false">
      <c r="A19" s="9" t="s">
        <v>77</v>
      </c>
      <c r="B19" s="10" t="n">
        <v>0</v>
      </c>
      <c r="C19" s="9" t="s">
        <v>19</v>
      </c>
      <c r="D19" s="11" t="s">
        <v>41</v>
      </c>
      <c r="E19" s="9" t="s">
        <v>78</v>
      </c>
      <c r="F19" s="9" t="s">
        <v>69</v>
      </c>
      <c r="G19" s="9" t="s">
        <v>79</v>
      </c>
      <c r="H19" s="9" t="s">
        <v>80</v>
      </c>
    </row>
    <row r="20" customFormat="false" ht="15" hidden="false" customHeight="false" outlineLevel="0" collapsed="false">
      <c r="A20" s="12" t="s">
        <v>81</v>
      </c>
      <c r="B20" s="13" t="n">
        <v>0</v>
      </c>
      <c r="C20" s="12" t="s">
        <v>19</v>
      </c>
      <c r="D20" s="14" t="s">
        <v>41</v>
      </c>
      <c r="E20" s="12" t="s">
        <v>82</v>
      </c>
      <c r="F20" s="12" t="s">
        <v>69</v>
      </c>
      <c r="G20" s="12" t="s">
        <v>83</v>
      </c>
      <c r="H20" s="12" t="s">
        <v>84</v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23" hidden="false" customHeight="true" outlineLevel="0" collapsed="false">
      <c r="A24" s="15" t="s">
        <v>85</v>
      </c>
      <c r="B24" s="16" t="s">
        <v>86</v>
      </c>
      <c r="C24" s="17" t="s">
        <v>5</v>
      </c>
      <c r="D24" s="4"/>
      <c r="E24" s="15" t="s">
        <v>87</v>
      </c>
      <c r="F24" s="16" t="s">
        <v>5</v>
      </c>
      <c r="G24" s="16" t="s">
        <v>88</v>
      </c>
      <c r="H24" s="17" t="s">
        <v>89</v>
      </c>
    </row>
    <row r="25" customFormat="false" ht="15" hidden="false" customHeight="false" outlineLevel="0" collapsed="false">
      <c r="A25" s="8" t="s">
        <v>90</v>
      </c>
      <c r="B25" s="18" t="n">
        <f aca="false">COUNTIF(Alternatives!P7:P11,"SELECT")</f>
        <v>1</v>
      </c>
      <c r="C25" s="18" t="str">
        <f aca="false">IF(B25=1,"PASS","FAIL")</f>
        <v>PASS</v>
      </c>
      <c r="D25" s="4"/>
      <c r="E25" s="8" t="s">
        <v>91</v>
      </c>
      <c r="F25" s="8" t="s">
        <v>92</v>
      </c>
      <c r="G25" s="19" t="s">
        <v>73</v>
      </c>
      <c r="H25" s="19" t="n">
        <v>0</v>
      </c>
    </row>
    <row r="26" customFormat="false" ht="15" hidden="false" customHeight="false" outlineLevel="0" collapsed="false">
      <c r="A26" s="9" t="s">
        <v>25</v>
      </c>
      <c r="B26" s="20" t="n">
        <f aca="false">COUNTA('Station Nuclei'!A7:A24)</f>
        <v>18</v>
      </c>
      <c r="C26" s="20" t="str">
        <f aca="false">IF(B26=18,"PASS","FAIL")</f>
        <v>PASS</v>
      </c>
      <c r="D26" s="4"/>
      <c r="E26" s="9" t="s">
        <v>93</v>
      </c>
      <c r="F26" s="9" t="s">
        <v>92</v>
      </c>
      <c r="G26" s="21" t="s">
        <v>73</v>
      </c>
      <c r="H26" s="21" t="n">
        <v>0</v>
      </c>
    </row>
    <row r="27" customFormat="false" ht="15" hidden="false" customHeight="false" outlineLevel="0" collapsed="false">
      <c r="A27" s="9" t="s">
        <v>35</v>
      </c>
      <c r="B27" s="20" t="n">
        <f aca="false">COUNTA('State Bays'!A7:A78)</f>
        <v>72</v>
      </c>
      <c r="C27" s="20" t="str">
        <f aca="false">IF(B27=72,"PASS","FAIL")</f>
        <v>PASS</v>
      </c>
      <c r="D27" s="4"/>
      <c r="E27" s="9" t="s">
        <v>94</v>
      </c>
      <c r="F27" s="9" t="s">
        <v>92</v>
      </c>
      <c r="G27" s="21" t="s">
        <v>73</v>
      </c>
      <c r="H27" s="21" t="n">
        <v>0</v>
      </c>
    </row>
    <row r="28" customFormat="false" ht="15" hidden="false" customHeight="false" outlineLevel="0" collapsed="false">
      <c r="A28" s="9" t="s">
        <v>40</v>
      </c>
      <c r="B28" s="20" t="n">
        <f aca="false">COUNTA('Method Realizations'!A7:A150)</f>
        <v>144</v>
      </c>
      <c r="C28" s="20" t="str">
        <f aca="false">IF(B28=144,"PASS","FAIL")</f>
        <v>PASS</v>
      </c>
      <c r="D28" s="4"/>
      <c r="E28" s="9" t="s">
        <v>95</v>
      </c>
      <c r="F28" s="9" t="s">
        <v>92</v>
      </c>
      <c r="G28" s="21" t="s">
        <v>73</v>
      </c>
      <c r="H28" s="21" t="n">
        <v>0</v>
      </c>
    </row>
    <row r="29" customFormat="false" ht="15" hidden="false" customHeight="false" outlineLevel="0" collapsed="false">
      <c r="A29" s="9" t="s">
        <v>51</v>
      </c>
      <c r="B29" s="20" t="n">
        <f aca="false">Finance!B15</f>
        <v>12</v>
      </c>
      <c r="C29" s="20" t="str">
        <f aca="false">IF(B29=12,"PASS","FAIL")</f>
        <v>PASS</v>
      </c>
      <c r="D29" s="4"/>
      <c r="E29" s="9" t="s">
        <v>96</v>
      </c>
      <c r="F29" s="9" t="s">
        <v>92</v>
      </c>
      <c r="G29" s="21" t="s">
        <v>73</v>
      </c>
      <c r="H29" s="21" t="n">
        <v>0</v>
      </c>
    </row>
    <row r="30" customFormat="false" ht="15" hidden="false" customHeight="false" outlineLevel="0" collapsed="false">
      <c r="A30" s="9" t="s">
        <v>97</v>
      </c>
      <c r="B30" s="20" t="n">
        <f aca="false">Finance!E26</f>
        <v>15.5869128193206</v>
      </c>
      <c r="C30" s="20" t="str">
        <f aca="false">IF(ABS(B30-15.5869128193206)&lt;0.000001,"PASS","FAIL")</f>
        <v>PASS</v>
      </c>
      <c r="D30" s="4"/>
      <c r="E30" s="12" t="s">
        <v>98</v>
      </c>
      <c r="F30" s="12" t="s">
        <v>92</v>
      </c>
      <c r="G30" s="22" t="s">
        <v>73</v>
      </c>
      <c r="H30" s="22" t="n">
        <v>0</v>
      </c>
    </row>
    <row r="31" customFormat="false" ht="15" hidden="false" customHeight="false" outlineLevel="0" collapsed="false">
      <c r="A31" s="9" t="s">
        <v>99</v>
      </c>
      <c r="B31" s="20" t="n">
        <f aca="false">COUNTIF(Audit!E7:E67,"FAIL")</f>
        <v>0</v>
      </c>
      <c r="C31" s="20" t="str">
        <f aca="false">IF(B31=0,"PASS","FAIL")</f>
        <v>PASS</v>
      </c>
      <c r="D31" s="4"/>
      <c r="E31" s="4"/>
      <c r="F31" s="4"/>
      <c r="G31" s="4"/>
      <c r="H31" s="4"/>
    </row>
    <row r="32" customFormat="false" ht="15" hidden="false" customHeight="false" outlineLevel="0" collapsed="false">
      <c r="A32" s="12" t="s">
        <v>81</v>
      </c>
      <c r="B32" s="23" t="n">
        <f aca="false">Controls!B23</f>
        <v>0</v>
      </c>
      <c r="C32" s="23" t="str">
        <f aca="false">IF(B32=0,"PASS","FAIL")</f>
        <v>PASS</v>
      </c>
      <c r="D32" s="4"/>
      <c r="E32" s="4"/>
      <c r="F32" s="4"/>
      <c r="G32" s="4"/>
      <c r="H32" s="4"/>
    </row>
  </sheetData>
  <mergeCells count="2">
    <mergeCell ref="A2:H2"/>
    <mergeCell ref="A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51"/>
  </cols>
  <sheetData>
    <row r="2" customFormat="false" ht="24" hidden="false" customHeight="true" outlineLevel="0" collapsed="false">
      <c r="A2" s="1" t="s">
        <v>100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101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102</v>
      </c>
      <c r="B6" s="6" t="s">
        <v>103</v>
      </c>
      <c r="C6" s="6" t="s">
        <v>4</v>
      </c>
      <c r="D6" s="6" t="s">
        <v>89</v>
      </c>
      <c r="E6" s="7" t="s">
        <v>104</v>
      </c>
    </row>
    <row r="7" customFormat="false" ht="15" hidden="false" customHeight="false" outlineLevel="0" collapsed="false">
      <c r="A7" s="8" t="s">
        <v>105</v>
      </c>
      <c r="B7" s="24" t="n">
        <v>12</v>
      </c>
      <c r="C7" s="8" t="s">
        <v>52</v>
      </c>
      <c r="D7" s="8" t="s">
        <v>106</v>
      </c>
      <c r="E7" s="8" t="s">
        <v>107</v>
      </c>
    </row>
    <row r="8" customFormat="false" ht="15" hidden="false" customHeight="false" outlineLevel="0" collapsed="false">
      <c r="A8" s="9" t="s">
        <v>108</v>
      </c>
      <c r="B8" s="25" t="n">
        <v>3.58691281932057</v>
      </c>
      <c r="C8" s="9" t="s">
        <v>52</v>
      </c>
      <c r="D8" s="9" t="s">
        <v>106</v>
      </c>
      <c r="E8" s="9" t="s">
        <v>109</v>
      </c>
    </row>
    <row r="9" customFormat="false" ht="15" hidden="false" customHeight="false" outlineLevel="0" collapsed="false">
      <c r="A9" s="9" t="s">
        <v>110</v>
      </c>
      <c r="B9" s="25" t="n">
        <v>6</v>
      </c>
      <c r="C9" s="9" t="s">
        <v>19</v>
      </c>
      <c r="D9" s="9" t="s">
        <v>106</v>
      </c>
      <c r="E9" s="9" t="s">
        <v>111</v>
      </c>
    </row>
    <row r="10" customFormat="false" ht="15" hidden="false" customHeight="false" outlineLevel="0" collapsed="false">
      <c r="A10" s="9" t="s">
        <v>112</v>
      </c>
      <c r="B10" s="25" t="n">
        <v>3</v>
      </c>
      <c r="C10" s="9" t="s">
        <v>19</v>
      </c>
      <c r="D10" s="9" t="s">
        <v>106</v>
      </c>
      <c r="E10" s="9" t="s">
        <v>113</v>
      </c>
    </row>
    <row r="11" customFormat="false" ht="15" hidden="false" customHeight="false" outlineLevel="0" collapsed="false">
      <c r="A11" s="9" t="s">
        <v>114</v>
      </c>
      <c r="B11" s="25" t="n">
        <v>4</v>
      </c>
      <c r="C11" s="9" t="s">
        <v>19</v>
      </c>
      <c r="D11" s="9" t="s">
        <v>115</v>
      </c>
      <c r="E11" s="9" t="s">
        <v>116</v>
      </c>
    </row>
    <row r="12" customFormat="false" ht="15" hidden="false" customHeight="false" outlineLevel="0" collapsed="false">
      <c r="A12" s="9" t="s">
        <v>117</v>
      </c>
      <c r="B12" s="25" t="n">
        <v>2</v>
      </c>
      <c r="C12" s="9" t="s">
        <v>19</v>
      </c>
      <c r="D12" s="9" t="s">
        <v>115</v>
      </c>
      <c r="E12" s="9" t="s">
        <v>118</v>
      </c>
    </row>
    <row r="13" customFormat="false" ht="15" hidden="false" customHeight="false" outlineLevel="0" collapsed="false">
      <c r="A13" s="9" t="s">
        <v>119</v>
      </c>
      <c r="B13" s="25" t="n">
        <v>1</v>
      </c>
      <c r="C13" s="9" t="s">
        <v>19</v>
      </c>
      <c r="D13" s="9" t="s">
        <v>106</v>
      </c>
      <c r="E13" s="9" t="s">
        <v>120</v>
      </c>
    </row>
    <row r="14" customFormat="false" ht="15" hidden="false" customHeight="false" outlineLevel="0" collapsed="false">
      <c r="A14" s="9" t="s">
        <v>121</v>
      </c>
      <c r="B14" s="25" t="n">
        <v>1</v>
      </c>
      <c r="C14" s="9" t="s">
        <v>19</v>
      </c>
      <c r="D14" s="9" t="s">
        <v>122</v>
      </c>
      <c r="E14" s="9" t="s">
        <v>123</v>
      </c>
    </row>
    <row r="15" customFormat="false" ht="15" hidden="false" customHeight="false" outlineLevel="0" collapsed="false">
      <c r="A15" s="9" t="s">
        <v>124</v>
      </c>
      <c r="B15" s="25" t="n">
        <v>54</v>
      </c>
      <c r="C15" s="9" t="s">
        <v>19</v>
      </c>
      <c r="D15" s="9" t="s">
        <v>106</v>
      </c>
      <c r="E15" s="9" t="s">
        <v>125</v>
      </c>
    </row>
    <row r="16" customFormat="false" ht="15" hidden="false" customHeight="false" outlineLevel="0" collapsed="false">
      <c r="A16" s="9" t="s">
        <v>126</v>
      </c>
      <c r="B16" s="25" t="n">
        <v>0</v>
      </c>
      <c r="C16" s="9" t="s">
        <v>19</v>
      </c>
      <c r="D16" s="9" t="s">
        <v>122</v>
      </c>
      <c r="E16" s="9" t="s">
        <v>127</v>
      </c>
    </row>
    <row r="17" customFormat="false" ht="15" hidden="false" customHeight="false" outlineLevel="0" collapsed="false">
      <c r="A17" s="9" t="s">
        <v>128</v>
      </c>
      <c r="B17" s="25" t="n">
        <v>0</v>
      </c>
      <c r="C17" s="9" t="s">
        <v>19</v>
      </c>
      <c r="D17" s="9" t="s">
        <v>122</v>
      </c>
      <c r="E17" s="9" t="s">
        <v>127</v>
      </c>
    </row>
    <row r="18" customFormat="false" ht="15" hidden="false" customHeight="false" outlineLevel="0" collapsed="false">
      <c r="A18" s="9" t="s">
        <v>129</v>
      </c>
      <c r="B18" s="25" t="n">
        <v>0</v>
      </c>
      <c r="C18" s="9" t="s">
        <v>19</v>
      </c>
      <c r="D18" s="9" t="s">
        <v>122</v>
      </c>
      <c r="E18" s="9" t="s">
        <v>127</v>
      </c>
    </row>
    <row r="19" customFormat="false" ht="15" hidden="false" customHeight="false" outlineLevel="0" collapsed="false">
      <c r="A19" s="9" t="s">
        <v>72</v>
      </c>
      <c r="B19" s="25" t="n">
        <v>0</v>
      </c>
      <c r="C19" s="9" t="s">
        <v>19</v>
      </c>
      <c r="D19" s="9" t="s">
        <v>122</v>
      </c>
      <c r="E19" s="9" t="s">
        <v>127</v>
      </c>
    </row>
    <row r="20" customFormat="false" ht="15" hidden="false" customHeight="false" outlineLevel="0" collapsed="false">
      <c r="A20" s="9" t="s">
        <v>67</v>
      </c>
      <c r="B20" s="25" t="n">
        <v>0</v>
      </c>
      <c r="C20" s="9" t="s">
        <v>52</v>
      </c>
      <c r="D20" s="9" t="s">
        <v>122</v>
      </c>
      <c r="E20" s="9" t="s">
        <v>130</v>
      </c>
    </row>
    <row r="21" customFormat="false" ht="15" hidden="false" customHeight="false" outlineLevel="0" collapsed="false">
      <c r="A21" s="9" t="s">
        <v>131</v>
      </c>
      <c r="B21" s="25" t="n">
        <v>0</v>
      </c>
      <c r="C21" s="9" t="s">
        <v>52</v>
      </c>
      <c r="D21" s="9" t="s">
        <v>122</v>
      </c>
      <c r="E21" s="9" t="s">
        <v>132</v>
      </c>
    </row>
    <row r="22" customFormat="false" ht="15" hidden="false" customHeight="false" outlineLevel="0" collapsed="false">
      <c r="A22" s="9" t="s">
        <v>77</v>
      </c>
      <c r="B22" s="25" t="n">
        <v>0</v>
      </c>
      <c r="C22" s="9" t="s">
        <v>19</v>
      </c>
      <c r="D22" s="9" t="s">
        <v>122</v>
      </c>
      <c r="E22" s="9" t="s">
        <v>133</v>
      </c>
    </row>
    <row r="23" customFormat="false" ht="15" hidden="false" customHeight="false" outlineLevel="0" collapsed="false">
      <c r="A23" s="12" t="s">
        <v>81</v>
      </c>
      <c r="B23" s="26" t="n">
        <v>0</v>
      </c>
      <c r="C23" s="12" t="s">
        <v>19</v>
      </c>
      <c r="D23" s="12" t="s">
        <v>122</v>
      </c>
      <c r="E23" s="12" t="s">
        <v>134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9" min="8" style="0" width="18"/>
    <col collapsed="false" customWidth="true" hidden="false" outlineLevel="0" max="10" min="10" style="0" width="17"/>
    <col collapsed="false" customWidth="true" hidden="false" outlineLevel="0" max="11" min="11" style="0" width="16"/>
    <col collapsed="false" customWidth="true" hidden="false" outlineLevel="0" max="12" min="12" style="0" width="20"/>
    <col collapsed="false" customWidth="true" hidden="false" outlineLevel="0" max="13" min="13" style="0" width="21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4"/>
  </cols>
  <sheetData>
    <row r="2" customFormat="false" ht="24" hidden="false" customHeight="true" outlineLevel="0" collapsed="false">
      <c r="A2" s="1" t="s">
        <v>135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3" t="s">
        <v>136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customFormat="false" ht="23" hidden="false" customHeight="true" outlineLevel="0" collapsed="false">
      <c r="A6" s="5" t="s">
        <v>137</v>
      </c>
      <c r="B6" s="6" t="s">
        <v>138</v>
      </c>
      <c r="C6" s="6" t="s">
        <v>139</v>
      </c>
      <c r="D6" s="6" t="s">
        <v>140</v>
      </c>
      <c r="E6" s="6" t="s">
        <v>141</v>
      </c>
      <c r="F6" s="6" t="s">
        <v>142</v>
      </c>
      <c r="G6" s="6" t="s">
        <v>143</v>
      </c>
      <c r="H6" s="6" t="s">
        <v>144</v>
      </c>
      <c r="I6" s="6" t="s">
        <v>145</v>
      </c>
      <c r="J6" s="6" t="s">
        <v>146</v>
      </c>
      <c r="K6" s="6" t="s">
        <v>147</v>
      </c>
      <c r="L6" s="6" t="s">
        <v>148</v>
      </c>
      <c r="M6" s="6" t="s">
        <v>149</v>
      </c>
      <c r="N6" s="6" t="s">
        <v>150</v>
      </c>
      <c r="O6" s="6" t="s">
        <v>151</v>
      </c>
      <c r="P6" s="7" t="s">
        <v>2</v>
      </c>
    </row>
    <row r="7" customFormat="false" ht="15" hidden="false" customHeight="false" outlineLevel="0" collapsed="false">
      <c r="A7" s="8" t="s">
        <v>152</v>
      </c>
      <c r="B7" s="8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>
        <v>1</v>
      </c>
      <c r="J7" s="8" t="n">
        <v>1</v>
      </c>
      <c r="K7" s="8" t="n">
        <v>1</v>
      </c>
      <c r="L7" s="8" t="n">
        <v>1</v>
      </c>
      <c r="M7" s="8" t="n">
        <v>1</v>
      </c>
      <c r="N7" s="18" t="n">
        <f aca="false">SUM(B7:M7)</f>
        <v>12</v>
      </c>
      <c r="O7" s="27" t="str">
        <f aca="false">IF(N7=12,"YES","NO")</f>
        <v>YES</v>
      </c>
      <c r="P7" s="27" t="str">
        <f aca="false">IF(O7="YES","SELECT","REJECT")</f>
        <v>SELECT</v>
      </c>
    </row>
    <row r="8" customFormat="false" ht="15" hidden="false" customHeight="false" outlineLevel="0" collapsed="false">
      <c r="A8" s="9" t="s">
        <v>153</v>
      </c>
      <c r="B8" s="9" t="n">
        <v>1</v>
      </c>
      <c r="C8" s="9" t="n">
        <v>0</v>
      </c>
      <c r="D8" s="9" t="n">
        <v>0</v>
      </c>
      <c r="E8" s="9" t="n">
        <v>1</v>
      </c>
      <c r="F8" s="9" t="n">
        <v>1</v>
      </c>
      <c r="G8" s="9" t="n">
        <v>1</v>
      </c>
      <c r="H8" s="9" t="n">
        <v>1</v>
      </c>
      <c r="I8" s="9" t="n">
        <v>1</v>
      </c>
      <c r="J8" s="9" t="n">
        <v>1</v>
      </c>
      <c r="K8" s="9" t="n">
        <v>1</v>
      </c>
      <c r="L8" s="9" t="n">
        <v>0</v>
      </c>
      <c r="M8" s="9" t="n">
        <v>1</v>
      </c>
      <c r="N8" s="20" t="n">
        <f aca="false">SUM(B8:M8)</f>
        <v>9</v>
      </c>
      <c r="O8" s="28" t="str">
        <f aca="false">IF(N8=12,"YES","NO")</f>
        <v>NO</v>
      </c>
      <c r="P8" s="28" t="str">
        <f aca="false">IF(O8="YES","SELECT","REJECT")</f>
        <v>REJECT</v>
      </c>
    </row>
    <row r="9" customFormat="false" ht="15" hidden="false" customHeight="false" outlineLevel="0" collapsed="false">
      <c r="A9" s="9" t="s">
        <v>154</v>
      </c>
      <c r="B9" s="9" t="n">
        <v>0</v>
      </c>
      <c r="C9" s="9" t="n">
        <v>1</v>
      </c>
      <c r="D9" s="9" t="n">
        <v>0</v>
      </c>
      <c r="E9" s="9" t="n">
        <v>1</v>
      </c>
      <c r="F9" s="9" t="n">
        <v>1</v>
      </c>
      <c r="G9" s="9" t="n">
        <v>1</v>
      </c>
      <c r="H9" s="9" t="n">
        <v>1</v>
      </c>
      <c r="I9" s="9" t="n">
        <v>1</v>
      </c>
      <c r="J9" s="9" t="n">
        <v>1</v>
      </c>
      <c r="K9" s="9" t="n">
        <v>1</v>
      </c>
      <c r="L9" s="9" t="n">
        <v>0</v>
      </c>
      <c r="M9" s="9" t="n">
        <v>1</v>
      </c>
      <c r="N9" s="20" t="n">
        <f aca="false">SUM(B9:M9)</f>
        <v>9</v>
      </c>
      <c r="O9" s="28" t="str">
        <f aca="false">IF(N9=12,"YES","NO")</f>
        <v>NO</v>
      </c>
      <c r="P9" s="28" t="str">
        <f aca="false">IF(O9="YES","SELECT","REJECT")</f>
        <v>REJECT</v>
      </c>
    </row>
    <row r="10" customFormat="false" ht="15" hidden="false" customHeight="false" outlineLevel="0" collapsed="false">
      <c r="A10" s="9" t="s">
        <v>155</v>
      </c>
      <c r="B10" s="9" t="n">
        <v>1</v>
      </c>
      <c r="C10" s="9" t="n">
        <v>1</v>
      </c>
      <c r="D10" s="9" t="n">
        <v>1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1</v>
      </c>
      <c r="M10" s="9" t="n">
        <v>1</v>
      </c>
      <c r="N10" s="20" t="n">
        <f aca="false">SUM(B10:M10)</f>
        <v>9</v>
      </c>
      <c r="O10" s="28" t="str">
        <f aca="false">IF(N10=12,"YES","NO")</f>
        <v>NO</v>
      </c>
      <c r="P10" s="28" t="str">
        <f aca="false">IF(O10="YES","SELECT","REJECT")</f>
        <v>REJECT</v>
      </c>
    </row>
    <row r="11" customFormat="false" ht="15" hidden="false" customHeight="false" outlineLevel="0" collapsed="false">
      <c r="A11" s="12" t="s">
        <v>156</v>
      </c>
      <c r="B11" s="12" t="n">
        <v>1</v>
      </c>
      <c r="C11" s="12" t="n">
        <v>0</v>
      </c>
      <c r="D11" s="12" t="n">
        <v>1</v>
      </c>
      <c r="E11" s="12" t="n">
        <v>0</v>
      </c>
      <c r="F11" s="12" t="n">
        <v>1</v>
      </c>
      <c r="G11" s="12" t="n">
        <v>0</v>
      </c>
      <c r="H11" s="12" t="n">
        <v>1</v>
      </c>
      <c r="I11" s="12" t="n">
        <v>1</v>
      </c>
      <c r="J11" s="12" t="n">
        <v>1</v>
      </c>
      <c r="K11" s="12" t="n">
        <v>1</v>
      </c>
      <c r="L11" s="12" t="n">
        <v>1</v>
      </c>
      <c r="M11" s="12" t="n">
        <v>0</v>
      </c>
      <c r="N11" s="23" t="n">
        <f aca="false">SUM(B11:M11)</f>
        <v>8</v>
      </c>
      <c r="O11" s="29" t="str">
        <f aca="false">IF(N11=12,"YES","NO")</f>
        <v>NO</v>
      </c>
      <c r="P11" s="29" t="str">
        <f aca="false">IF(O11="YES","SELECT","REJECT")</f>
        <v>REJECT</v>
      </c>
    </row>
  </sheetData>
  <mergeCells count="2">
    <mergeCell ref="A2:P2"/>
    <mergeCell ref="A4:P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43"/>
    <col collapsed="false" customWidth="true" hidden="false" outlineLevel="0" max="4" min="4" style="0" width="39"/>
    <col collapsed="false" customWidth="true" hidden="false" outlineLevel="0" max="5" min="5" style="0" width="49"/>
    <col collapsed="false" customWidth="true" hidden="false" outlineLevel="0" max="6" min="6" style="0" width="27"/>
    <col collapsed="false" customWidth="true" hidden="false" outlineLevel="0" max="7" min="7" style="0" width="18"/>
    <col collapsed="false" customWidth="true" hidden="false" outlineLevel="0" max="8" min="8" style="0" width="15"/>
  </cols>
  <sheetData>
    <row r="2" customFormat="false" ht="24" hidden="false" customHeight="true" outlineLevel="0" collapsed="false">
      <c r="A2" s="1" t="s">
        <v>157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158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3" hidden="false" customHeight="true" outlineLevel="0" collapsed="false">
      <c r="A6" s="5" t="s">
        <v>159</v>
      </c>
      <c r="B6" s="6" t="s">
        <v>160</v>
      </c>
      <c r="C6" s="6" t="s">
        <v>161</v>
      </c>
      <c r="D6" s="6" t="s">
        <v>162</v>
      </c>
      <c r="E6" s="6" t="s">
        <v>163</v>
      </c>
      <c r="F6" s="6" t="s">
        <v>164</v>
      </c>
      <c r="G6" s="6" t="s">
        <v>165</v>
      </c>
      <c r="H6" s="7" t="s">
        <v>5</v>
      </c>
    </row>
    <row r="7" customFormat="false" ht="15" hidden="false" customHeight="false" outlineLevel="0" collapsed="false">
      <c r="A7" s="8" t="s">
        <v>166</v>
      </c>
      <c r="B7" s="8" t="s">
        <v>167</v>
      </c>
      <c r="C7" s="8" t="s">
        <v>168</v>
      </c>
      <c r="D7" s="8" t="s">
        <v>169</v>
      </c>
      <c r="E7" s="8" t="s">
        <v>170</v>
      </c>
      <c r="F7" s="8" t="s">
        <v>171</v>
      </c>
      <c r="G7" s="8" t="n">
        <v>1</v>
      </c>
      <c r="H7" s="8" t="s">
        <v>20</v>
      </c>
    </row>
    <row r="8" customFormat="false" ht="15" hidden="false" customHeight="false" outlineLevel="0" collapsed="false">
      <c r="A8" s="9" t="s">
        <v>172</v>
      </c>
      <c r="B8" s="9" t="s">
        <v>173</v>
      </c>
      <c r="C8" s="9" t="s">
        <v>174</v>
      </c>
      <c r="D8" s="9" t="s">
        <v>175</v>
      </c>
      <c r="E8" s="9" t="s">
        <v>176</v>
      </c>
      <c r="F8" s="9" t="s">
        <v>177</v>
      </c>
      <c r="G8" s="9" t="n">
        <v>1</v>
      </c>
      <c r="H8" s="9" t="s">
        <v>20</v>
      </c>
    </row>
    <row r="9" customFormat="false" ht="15" hidden="false" customHeight="false" outlineLevel="0" collapsed="false">
      <c r="A9" s="9" t="s">
        <v>178</v>
      </c>
      <c r="B9" s="9" t="s">
        <v>179</v>
      </c>
      <c r="C9" s="9" t="s">
        <v>180</v>
      </c>
      <c r="D9" s="9" t="s">
        <v>181</v>
      </c>
      <c r="E9" s="9" t="s">
        <v>182</v>
      </c>
      <c r="F9" s="9" t="s">
        <v>183</v>
      </c>
      <c r="G9" s="9" t="n">
        <v>1</v>
      </c>
      <c r="H9" s="9" t="s">
        <v>20</v>
      </c>
    </row>
    <row r="10" customFormat="false" ht="15" hidden="false" customHeight="false" outlineLevel="0" collapsed="false">
      <c r="A10" s="9" t="s">
        <v>184</v>
      </c>
      <c r="B10" s="9" t="s">
        <v>185</v>
      </c>
      <c r="C10" s="9" t="s">
        <v>186</v>
      </c>
      <c r="D10" s="9" t="s">
        <v>187</v>
      </c>
      <c r="E10" s="9" t="s">
        <v>188</v>
      </c>
      <c r="F10" s="9" t="s">
        <v>189</v>
      </c>
      <c r="G10" s="9" t="n">
        <v>1</v>
      </c>
      <c r="H10" s="9" t="s">
        <v>20</v>
      </c>
    </row>
    <row r="11" customFormat="false" ht="15" hidden="false" customHeight="false" outlineLevel="0" collapsed="false">
      <c r="A11" s="9" t="s">
        <v>190</v>
      </c>
      <c r="B11" s="9" t="s">
        <v>191</v>
      </c>
      <c r="C11" s="9" t="s">
        <v>192</v>
      </c>
      <c r="D11" s="9" t="s">
        <v>193</v>
      </c>
      <c r="E11" s="9" t="s">
        <v>194</v>
      </c>
      <c r="F11" s="9" t="s">
        <v>195</v>
      </c>
      <c r="G11" s="9" t="n">
        <v>1</v>
      </c>
      <c r="H11" s="9" t="s">
        <v>20</v>
      </c>
    </row>
    <row r="12" customFormat="false" ht="15" hidden="false" customHeight="false" outlineLevel="0" collapsed="false">
      <c r="A12" s="9" t="s">
        <v>196</v>
      </c>
      <c r="B12" s="9" t="s">
        <v>197</v>
      </c>
      <c r="C12" s="9" t="s">
        <v>198</v>
      </c>
      <c r="D12" s="9" t="s">
        <v>199</v>
      </c>
      <c r="E12" s="9" t="s">
        <v>200</v>
      </c>
      <c r="F12" s="9" t="s">
        <v>201</v>
      </c>
      <c r="G12" s="9" t="n">
        <v>1</v>
      </c>
      <c r="H12" s="9" t="s">
        <v>20</v>
      </c>
    </row>
    <row r="13" customFormat="false" ht="15" hidden="false" customHeight="false" outlineLevel="0" collapsed="false">
      <c r="A13" s="9" t="s">
        <v>202</v>
      </c>
      <c r="B13" s="9" t="s">
        <v>203</v>
      </c>
      <c r="C13" s="9" t="s">
        <v>204</v>
      </c>
      <c r="D13" s="9" t="s">
        <v>205</v>
      </c>
      <c r="E13" s="9" t="s">
        <v>206</v>
      </c>
      <c r="F13" s="9" t="s">
        <v>207</v>
      </c>
      <c r="G13" s="9" t="n">
        <v>1</v>
      </c>
      <c r="H13" s="9" t="s">
        <v>20</v>
      </c>
    </row>
    <row r="14" customFormat="false" ht="15" hidden="false" customHeight="false" outlineLevel="0" collapsed="false">
      <c r="A14" s="12" t="s">
        <v>208</v>
      </c>
      <c r="B14" s="12" t="s">
        <v>209</v>
      </c>
      <c r="C14" s="12" t="s">
        <v>210</v>
      </c>
      <c r="D14" s="12" t="s">
        <v>211</v>
      </c>
      <c r="E14" s="12" t="s">
        <v>212</v>
      </c>
      <c r="F14" s="12" t="s">
        <v>213</v>
      </c>
      <c r="G14" s="12" t="n">
        <v>1</v>
      </c>
      <c r="H14" s="12" t="s">
        <v>20</v>
      </c>
    </row>
  </sheetData>
  <mergeCells count="2">
    <mergeCell ref="A2:H2"/>
    <mergeCell ref="A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9"/>
    <col collapsed="false" customWidth="true" hidden="false" outlineLevel="0" max="5" min="5" style="0" width="24"/>
    <col collapsed="false" customWidth="true" hidden="false" outlineLevel="0" max="6" min="6" style="0" width="55"/>
    <col collapsed="false" customWidth="true" hidden="false" outlineLevel="0" max="8" min="7" style="0" width="19"/>
    <col collapsed="false" customWidth="true" hidden="false" outlineLevel="0" max="11" min="9" style="0" width="14"/>
    <col collapsed="false" customWidth="true" hidden="false" outlineLevel="0" max="12" min="12" style="0" width="15"/>
    <col collapsed="false" customWidth="true" hidden="false" outlineLevel="0" max="13" min="13" style="0" width="22"/>
    <col collapsed="false" customWidth="true" hidden="false" outlineLevel="0" max="14" min="14" style="0" width="24"/>
  </cols>
  <sheetData>
    <row r="2" customFormat="false" ht="24" hidden="false" customHeight="true" outlineLevel="0" collapsed="false">
      <c r="A2" s="1" t="s">
        <v>214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215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23" hidden="false" customHeight="true" outlineLevel="0" collapsed="false">
      <c r="A6" s="5" t="s">
        <v>216</v>
      </c>
      <c r="B6" s="6" t="s">
        <v>217</v>
      </c>
      <c r="C6" s="6" t="s">
        <v>218</v>
      </c>
      <c r="D6" s="6" t="s">
        <v>219</v>
      </c>
      <c r="E6" s="6" t="s">
        <v>220</v>
      </c>
      <c r="F6" s="6" t="s">
        <v>221</v>
      </c>
      <c r="G6" s="6" t="s">
        <v>222</v>
      </c>
      <c r="H6" s="6" t="s">
        <v>223</v>
      </c>
      <c r="I6" s="6" t="s">
        <v>224</v>
      </c>
      <c r="J6" s="6" t="s">
        <v>225</v>
      </c>
      <c r="K6" s="6" t="s">
        <v>226</v>
      </c>
      <c r="L6" s="6" t="s">
        <v>227</v>
      </c>
      <c r="M6" s="6" t="s">
        <v>228</v>
      </c>
      <c r="N6" s="7" t="s">
        <v>5</v>
      </c>
    </row>
    <row r="7" customFormat="false" ht="15" hidden="false" customHeight="false" outlineLevel="0" collapsed="false">
      <c r="A7" s="8" t="s">
        <v>229</v>
      </c>
      <c r="B7" s="8" t="s">
        <v>230</v>
      </c>
      <c r="C7" s="8" t="s">
        <v>231</v>
      </c>
      <c r="D7" s="8" t="s">
        <v>232</v>
      </c>
      <c r="E7" s="8" t="s">
        <v>233</v>
      </c>
      <c r="F7" s="8" t="s">
        <v>234</v>
      </c>
      <c r="G7" s="30" t="s">
        <v>73</v>
      </c>
      <c r="H7" s="30" t="s">
        <v>73</v>
      </c>
      <c r="I7" s="18" t="n">
        <f aca="false">Controls!B13</f>
        <v>1</v>
      </c>
      <c r="J7" s="18" t="n">
        <f aca="false">Controls!B14</f>
        <v>1</v>
      </c>
      <c r="K7" s="18" t="n">
        <f aca="false">Controls!B11</f>
        <v>4</v>
      </c>
      <c r="L7" s="18" t="n">
        <f aca="false">K7*Controls!B12</f>
        <v>8</v>
      </c>
      <c r="M7" s="31" t="n">
        <f aca="false">Controls!B7/(Controls!B9*Controls!B10)</f>
        <v>0.666666666666667</v>
      </c>
      <c r="N7" s="8" t="s">
        <v>235</v>
      </c>
    </row>
    <row r="8" customFormat="false" ht="15" hidden="false" customHeight="false" outlineLevel="0" collapsed="false">
      <c r="A8" s="9" t="s">
        <v>236</v>
      </c>
      <c r="B8" s="9" t="s">
        <v>230</v>
      </c>
      <c r="C8" s="9" t="s">
        <v>231</v>
      </c>
      <c r="D8" s="9" t="s">
        <v>237</v>
      </c>
      <c r="E8" s="9" t="s">
        <v>238</v>
      </c>
      <c r="F8" s="9" t="s">
        <v>239</v>
      </c>
      <c r="G8" s="11" t="s">
        <v>73</v>
      </c>
      <c r="H8" s="11" t="s">
        <v>73</v>
      </c>
      <c r="I8" s="20" t="n">
        <f aca="false">Controls!B13</f>
        <v>1</v>
      </c>
      <c r="J8" s="20" t="n">
        <f aca="false">Controls!B14</f>
        <v>1</v>
      </c>
      <c r="K8" s="20" t="n">
        <f aca="false">Controls!B11</f>
        <v>4</v>
      </c>
      <c r="L8" s="20" t="n">
        <f aca="false">K8*Controls!B12</f>
        <v>8</v>
      </c>
      <c r="M8" s="32" t="n">
        <f aca="false">Controls!B7/(Controls!B9*Controls!B10)</f>
        <v>0.666666666666667</v>
      </c>
      <c r="N8" s="9" t="s">
        <v>235</v>
      </c>
    </row>
    <row r="9" customFormat="false" ht="15" hidden="false" customHeight="false" outlineLevel="0" collapsed="false">
      <c r="A9" s="9" t="s">
        <v>240</v>
      </c>
      <c r="B9" s="9" t="s">
        <v>230</v>
      </c>
      <c r="C9" s="9" t="s">
        <v>231</v>
      </c>
      <c r="D9" s="9" t="s">
        <v>241</v>
      </c>
      <c r="E9" s="9" t="s">
        <v>242</v>
      </c>
      <c r="F9" s="9" t="s">
        <v>243</v>
      </c>
      <c r="G9" s="11" t="s">
        <v>73</v>
      </c>
      <c r="H9" s="11" t="s">
        <v>73</v>
      </c>
      <c r="I9" s="20" t="n">
        <f aca="false">Controls!B13</f>
        <v>1</v>
      </c>
      <c r="J9" s="20" t="n">
        <f aca="false">Controls!B14</f>
        <v>1</v>
      </c>
      <c r="K9" s="20" t="n">
        <f aca="false">Controls!B11</f>
        <v>4</v>
      </c>
      <c r="L9" s="20" t="n">
        <f aca="false">K9*Controls!B12</f>
        <v>8</v>
      </c>
      <c r="M9" s="32" t="n">
        <f aca="false">Controls!B7/(Controls!B9*Controls!B10)</f>
        <v>0.666666666666667</v>
      </c>
      <c r="N9" s="9" t="s">
        <v>235</v>
      </c>
    </row>
    <row r="10" customFormat="false" ht="15" hidden="false" customHeight="false" outlineLevel="0" collapsed="false">
      <c r="A10" s="9" t="s">
        <v>244</v>
      </c>
      <c r="B10" s="9" t="s">
        <v>245</v>
      </c>
      <c r="C10" s="9" t="s">
        <v>246</v>
      </c>
      <c r="D10" s="9" t="s">
        <v>232</v>
      </c>
      <c r="E10" s="9" t="s">
        <v>233</v>
      </c>
      <c r="F10" s="9" t="s">
        <v>234</v>
      </c>
      <c r="G10" s="11" t="s">
        <v>73</v>
      </c>
      <c r="H10" s="11" t="s">
        <v>73</v>
      </c>
      <c r="I10" s="20" t="n">
        <f aca="false">Controls!B13</f>
        <v>1</v>
      </c>
      <c r="J10" s="20" t="n">
        <f aca="false">Controls!B14</f>
        <v>1</v>
      </c>
      <c r="K10" s="20" t="n">
        <f aca="false">Controls!B11</f>
        <v>4</v>
      </c>
      <c r="L10" s="20" t="n">
        <f aca="false">K10*Controls!B12</f>
        <v>8</v>
      </c>
      <c r="M10" s="32" t="n">
        <f aca="false">Controls!B7/(Controls!B9*Controls!B10)</f>
        <v>0.666666666666667</v>
      </c>
      <c r="N10" s="9" t="s">
        <v>235</v>
      </c>
    </row>
    <row r="11" customFormat="false" ht="15" hidden="false" customHeight="false" outlineLevel="0" collapsed="false">
      <c r="A11" s="9" t="s">
        <v>247</v>
      </c>
      <c r="B11" s="9" t="s">
        <v>245</v>
      </c>
      <c r="C11" s="9" t="s">
        <v>246</v>
      </c>
      <c r="D11" s="9" t="s">
        <v>237</v>
      </c>
      <c r="E11" s="9" t="s">
        <v>238</v>
      </c>
      <c r="F11" s="9" t="s">
        <v>239</v>
      </c>
      <c r="G11" s="11" t="s">
        <v>73</v>
      </c>
      <c r="H11" s="11" t="s">
        <v>73</v>
      </c>
      <c r="I11" s="20" t="n">
        <f aca="false">Controls!B13</f>
        <v>1</v>
      </c>
      <c r="J11" s="20" t="n">
        <f aca="false">Controls!B14</f>
        <v>1</v>
      </c>
      <c r="K11" s="20" t="n">
        <f aca="false">Controls!B11</f>
        <v>4</v>
      </c>
      <c r="L11" s="20" t="n">
        <f aca="false">K11*Controls!B12</f>
        <v>8</v>
      </c>
      <c r="M11" s="32" t="n">
        <f aca="false">Controls!B7/(Controls!B9*Controls!B10)</f>
        <v>0.666666666666667</v>
      </c>
      <c r="N11" s="9" t="s">
        <v>235</v>
      </c>
    </row>
    <row r="12" customFormat="false" ht="15" hidden="false" customHeight="false" outlineLevel="0" collapsed="false">
      <c r="A12" s="9" t="s">
        <v>248</v>
      </c>
      <c r="B12" s="9" t="s">
        <v>245</v>
      </c>
      <c r="C12" s="9" t="s">
        <v>246</v>
      </c>
      <c r="D12" s="9" t="s">
        <v>241</v>
      </c>
      <c r="E12" s="9" t="s">
        <v>242</v>
      </c>
      <c r="F12" s="9" t="s">
        <v>243</v>
      </c>
      <c r="G12" s="11" t="s">
        <v>73</v>
      </c>
      <c r="H12" s="11" t="s">
        <v>73</v>
      </c>
      <c r="I12" s="20" t="n">
        <f aca="false">Controls!B13</f>
        <v>1</v>
      </c>
      <c r="J12" s="20" t="n">
        <f aca="false">Controls!B14</f>
        <v>1</v>
      </c>
      <c r="K12" s="20" t="n">
        <f aca="false">Controls!B11</f>
        <v>4</v>
      </c>
      <c r="L12" s="20" t="n">
        <f aca="false">K12*Controls!B12</f>
        <v>8</v>
      </c>
      <c r="M12" s="32" t="n">
        <f aca="false">Controls!B7/(Controls!B9*Controls!B10)</f>
        <v>0.666666666666667</v>
      </c>
      <c r="N12" s="9" t="s">
        <v>235</v>
      </c>
    </row>
    <row r="13" customFormat="false" ht="15" hidden="false" customHeight="false" outlineLevel="0" collapsed="false">
      <c r="A13" s="9" t="s">
        <v>249</v>
      </c>
      <c r="B13" s="9" t="s">
        <v>250</v>
      </c>
      <c r="C13" s="9" t="s">
        <v>251</v>
      </c>
      <c r="D13" s="9" t="s">
        <v>232</v>
      </c>
      <c r="E13" s="9" t="s">
        <v>233</v>
      </c>
      <c r="F13" s="9" t="s">
        <v>234</v>
      </c>
      <c r="G13" s="11" t="s">
        <v>73</v>
      </c>
      <c r="H13" s="11" t="s">
        <v>73</v>
      </c>
      <c r="I13" s="20" t="n">
        <f aca="false">Controls!B13</f>
        <v>1</v>
      </c>
      <c r="J13" s="20" t="n">
        <f aca="false">Controls!B14</f>
        <v>1</v>
      </c>
      <c r="K13" s="20" t="n">
        <f aca="false">Controls!B11</f>
        <v>4</v>
      </c>
      <c r="L13" s="20" t="n">
        <f aca="false">K13*Controls!B12</f>
        <v>8</v>
      </c>
      <c r="M13" s="32" t="n">
        <f aca="false">Controls!B7/(Controls!B9*Controls!B10)</f>
        <v>0.666666666666667</v>
      </c>
      <c r="N13" s="9" t="s">
        <v>235</v>
      </c>
    </row>
    <row r="14" customFormat="false" ht="15" hidden="false" customHeight="false" outlineLevel="0" collapsed="false">
      <c r="A14" s="9" t="s">
        <v>252</v>
      </c>
      <c r="B14" s="9" t="s">
        <v>250</v>
      </c>
      <c r="C14" s="9" t="s">
        <v>251</v>
      </c>
      <c r="D14" s="9" t="s">
        <v>237</v>
      </c>
      <c r="E14" s="9" t="s">
        <v>238</v>
      </c>
      <c r="F14" s="9" t="s">
        <v>239</v>
      </c>
      <c r="G14" s="11" t="s">
        <v>73</v>
      </c>
      <c r="H14" s="11" t="s">
        <v>73</v>
      </c>
      <c r="I14" s="20" t="n">
        <f aca="false">Controls!B13</f>
        <v>1</v>
      </c>
      <c r="J14" s="20" t="n">
        <f aca="false">Controls!B14</f>
        <v>1</v>
      </c>
      <c r="K14" s="20" t="n">
        <f aca="false">Controls!B11</f>
        <v>4</v>
      </c>
      <c r="L14" s="20" t="n">
        <f aca="false">K14*Controls!B12</f>
        <v>8</v>
      </c>
      <c r="M14" s="32" t="n">
        <f aca="false">Controls!B7/(Controls!B9*Controls!B10)</f>
        <v>0.666666666666667</v>
      </c>
      <c r="N14" s="9" t="s">
        <v>235</v>
      </c>
    </row>
    <row r="15" customFormat="false" ht="15" hidden="false" customHeight="false" outlineLevel="0" collapsed="false">
      <c r="A15" s="9" t="s">
        <v>253</v>
      </c>
      <c r="B15" s="9" t="s">
        <v>250</v>
      </c>
      <c r="C15" s="9" t="s">
        <v>251</v>
      </c>
      <c r="D15" s="9" t="s">
        <v>241</v>
      </c>
      <c r="E15" s="9" t="s">
        <v>242</v>
      </c>
      <c r="F15" s="9" t="s">
        <v>243</v>
      </c>
      <c r="G15" s="11" t="s">
        <v>73</v>
      </c>
      <c r="H15" s="11" t="s">
        <v>73</v>
      </c>
      <c r="I15" s="20" t="n">
        <f aca="false">Controls!B13</f>
        <v>1</v>
      </c>
      <c r="J15" s="20" t="n">
        <f aca="false">Controls!B14</f>
        <v>1</v>
      </c>
      <c r="K15" s="20" t="n">
        <f aca="false">Controls!B11</f>
        <v>4</v>
      </c>
      <c r="L15" s="20" t="n">
        <f aca="false">K15*Controls!B12</f>
        <v>8</v>
      </c>
      <c r="M15" s="32" t="n">
        <f aca="false">Controls!B7/(Controls!B9*Controls!B10)</f>
        <v>0.666666666666667</v>
      </c>
      <c r="N15" s="9" t="s">
        <v>235</v>
      </c>
    </row>
    <row r="16" customFormat="false" ht="15" hidden="false" customHeight="false" outlineLevel="0" collapsed="false">
      <c r="A16" s="9" t="s">
        <v>254</v>
      </c>
      <c r="B16" s="9" t="s">
        <v>255</v>
      </c>
      <c r="C16" s="9" t="s">
        <v>256</v>
      </c>
      <c r="D16" s="9" t="s">
        <v>232</v>
      </c>
      <c r="E16" s="9" t="s">
        <v>233</v>
      </c>
      <c r="F16" s="9" t="s">
        <v>234</v>
      </c>
      <c r="G16" s="11" t="s">
        <v>73</v>
      </c>
      <c r="H16" s="11" t="s">
        <v>73</v>
      </c>
      <c r="I16" s="20" t="n">
        <f aca="false">Controls!B13</f>
        <v>1</v>
      </c>
      <c r="J16" s="20" t="n">
        <f aca="false">Controls!B14</f>
        <v>1</v>
      </c>
      <c r="K16" s="20" t="n">
        <f aca="false">Controls!B11</f>
        <v>4</v>
      </c>
      <c r="L16" s="20" t="n">
        <f aca="false">K16*Controls!B12</f>
        <v>8</v>
      </c>
      <c r="M16" s="32" t="n">
        <f aca="false">Controls!B7/(Controls!B9*Controls!B10)</f>
        <v>0.666666666666667</v>
      </c>
      <c r="N16" s="9" t="s">
        <v>235</v>
      </c>
    </row>
    <row r="17" customFormat="false" ht="15" hidden="false" customHeight="false" outlineLevel="0" collapsed="false">
      <c r="A17" s="9" t="s">
        <v>257</v>
      </c>
      <c r="B17" s="9" t="s">
        <v>255</v>
      </c>
      <c r="C17" s="9" t="s">
        <v>256</v>
      </c>
      <c r="D17" s="9" t="s">
        <v>237</v>
      </c>
      <c r="E17" s="9" t="s">
        <v>238</v>
      </c>
      <c r="F17" s="9" t="s">
        <v>239</v>
      </c>
      <c r="G17" s="11" t="s">
        <v>73</v>
      </c>
      <c r="H17" s="11" t="s">
        <v>73</v>
      </c>
      <c r="I17" s="20" t="n">
        <f aca="false">Controls!B13</f>
        <v>1</v>
      </c>
      <c r="J17" s="20" t="n">
        <f aca="false">Controls!B14</f>
        <v>1</v>
      </c>
      <c r="K17" s="20" t="n">
        <f aca="false">Controls!B11</f>
        <v>4</v>
      </c>
      <c r="L17" s="20" t="n">
        <f aca="false">K17*Controls!B12</f>
        <v>8</v>
      </c>
      <c r="M17" s="32" t="n">
        <f aca="false">Controls!B7/(Controls!B9*Controls!B10)</f>
        <v>0.666666666666667</v>
      </c>
      <c r="N17" s="9" t="s">
        <v>235</v>
      </c>
    </row>
    <row r="18" customFormat="false" ht="15" hidden="false" customHeight="false" outlineLevel="0" collapsed="false">
      <c r="A18" s="9" t="s">
        <v>258</v>
      </c>
      <c r="B18" s="9" t="s">
        <v>255</v>
      </c>
      <c r="C18" s="9" t="s">
        <v>256</v>
      </c>
      <c r="D18" s="9" t="s">
        <v>241</v>
      </c>
      <c r="E18" s="9" t="s">
        <v>242</v>
      </c>
      <c r="F18" s="9" t="s">
        <v>243</v>
      </c>
      <c r="G18" s="11" t="s">
        <v>73</v>
      </c>
      <c r="H18" s="11" t="s">
        <v>73</v>
      </c>
      <c r="I18" s="20" t="n">
        <f aca="false">Controls!B13</f>
        <v>1</v>
      </c>
      <c r="J18" s="20" t="n">
        <f aca="false">Controls!B14</f>
        <v>1</v>
      </c>
      <c r="K18" s="20" t="n">
        <f aca="false">Controls!B11</f>
        <v>4</v>
      </c>
      <c r="L18" s="20" t="n">
        <f aca="false">K18*Controls!B12</f>
        <v>8</v>
      </c>
      <c r="M18" s="32" t="n">
        <f aca="false">Controls!B7/(Controls!B9*Controls!B10)</f>
        <v>0.666666666666667</v>
      </c>
      <c r="N18" s="9" t="s">
        <v>235</v>
      </c>
    </row>
    <row r="19" customFormat="false" ht="15" hidden="false" customHeight="false" outlineLevel="0" collapsed="false">
      <c r="A19" s="9" t="s">
        <v>259</v>
      </c>
      <c r="B19" s="9" t="s">
        <v>260</v>
      </c>
      <c r="C19" s="9" t="s">
        <v>261</v>
      </c>
      <c r="D19" s="9" t="s">
        <v>232</v>
      </c>
      <c r="E19" s="9" t="s">
        <v>233</v>
      </c>
      <c r="F19" s="9" t="s">
        <v>234</v>
      </c>
      <c r="G19" s="11" t="s">
        <v>73</v>
      </c>
      <c r="H19" s="11" t="s">
        <v>73</v>
      </c>
      <c r="I19" s="20" t="n">
        <f aca="false">Controls!B13</f>
        <v>1</v>
      </c>
      <c r="J19" s="20" t="n">
        <f aca="false">Controls!B14</f>
        <v>1</v>
      </c>
      <c r="K19" s="20" t="n">
        <f aca="false">Controls!B11</f>
        <v>4</v>
      </c>
      <c r="L19" s="20" t="n">
        <f aca="false">K19*Controls!B12</f>
        <v>8</v>
      </c>
      <c r="M19" s="32" t="n">
        <f aca="false">Controls!B7/(Controls!B9*Controls!B10)</f>
        <v>0.666666666666667</v>
      </c>
      <c r="N19" s="9" t="s">
        <v>235</v>
      </c>
    </row>
    <row r="20" customFormat="false" ht="15" hidden="false" customHeight="false" outlineLevel="0" collapsed="false">
      <c r="A20" s="9" t="s">
        <v>262</v>
      </c>
      <c r="B20" s="9" t="s">
        <v>260</v>
      </c>
      <c r="C20" s="9" t="s">
        <v>261</v>
      </c>
      <c r="D20" s="9" t="s">
        <v>237</v>
      </c>
      <c r="E20" s="9" t="s">
        <v>238</v>
      </c>
      <c r="F20" s="9" t="s">
        <v>239</v>
      </c>
      <c r="G20" s="11" t="s">
        <v>73</v>
      </c>
      <c r="H20" s="11" t="s">
        <v>73</v>
      </c>
      <c r="I20" s="20" t="n">
        <f aca="false">Controls!B13</f>
        <v>1</v>
      </c>
      <c r="J20" s="20" t="n">
        <f aca="false">Controls!B14</f>
        <v>1</v>
      </c>
      <c r="K20" s="20" t="n">
        <f aca="false">Controls!B11</f>
        <v>4</v>
      </c>
      <c r="L20" s="20" t="n">
        <f aca="false">K20*Controls!B12</f>
        <v>8</v>
      </c>
      <c r="M20" s="32" t="n">
        <f aca="false">Controls!B7/(Controls!B9*Controls!B10)</f>
        <v>0.666666666666667</v>
      </c>
      <c r="N20" s="9" t="s">
        <v>235</v>
      </c>
    </row>
    <row r="21" customFormat="false" ht="15" hidden="false" customHeight="false" outlineLevel="0" collapsed="false">
      <c r="A21" s="9" t="s">
        <v>263</v>
      </c>
      <c r="B21" s="9" t="s">
        <v>260</v>
      </c>
      <c r="C21" s="9" t="s">
        <v>261</v>
      </c>
      <c r="D21" s="9" t="s">
        <v>241</v>
      </c>
      <c r="E21" s="9" t="s">
        <v>242</v>
      </c>
      <c r="F21" s="9" t="s">
        <v>243</v>
      </c>
      <c r="G21" s="11" t="s">
        <v>73</v>
      </c>
      <c r="H21" s="11" t="s">
        <v>73</v>
      </c>
      <c r="I21" s="20" t="n">
        <f aca="false">Controls!B13</f>
        <v>1</v>
      </c>
      <c r="J21" s="20" t="n">
        <f aca="false">Controls!B14</f>
        <v>1</v>
      </c>
      <c r="K21" s="20" t="n">
        <f aca="false">Controls!B11</f>
        <v>4</v>
      </c>
      <c r="L21" s="20" t="n">
        <f aca="false">K21*Controls!B12</f>
        <v>8</v>
      </c>
      <c r="M21" s="32" t="n">
        <f aca="false">Controls!B7/(Controls!B9*Controls!B10)</f>
        <v>0.666666666666667</v>
      </c>
      <c r="N21" s="9" t="s">
        <v>235</v>
      </c>
    </row>
    <row r="22" customFormat="false" ht="15" hidden="false" customHeight="false" outlineLevel="0" collapsed="false">
      <c r="A22" s="9" t="s">
        <v>264</v>
      </c>
      <c r="B22" s="9" t="s">
        <v>265</v>
      </c>
      <c r="C22" s="9" t="s">
        <v>266</v>
      </c>
      <c r="D22" s="9" t="s">
        <v>232</v>
      </c>
      <c r="E22" s="9" t="s">
        <v>233</v>
      </c>
      <c r="F22" s="9" t="s">
        <v>234</v>
      </c>
      <c r="G22" s="11" t="s">
        <v>73</v>
      </c>
      <c r="H22" s="11" t="s">
        <v>73</v>
      </c>
      <c r="I22" s="20" t="n">
        <f aca="false">Controls!B13</f>
        <v>1</v>
      </c>
      <c r="J22" s="20" t="n">
        <f aca="false">Controls!B14</f>
        <v>1</v>
      </c>
      <c r="K22" s="20" t="n">
        <f aca="false">Controls!B11</f>
        <v>4</v>
      </c>
      <c r="L22" s="20" t="n">
        <f aca="false">K22*Controls!B12</f>
        <v>8</v>
      </c>
      <c r="M22" s="32" t="n">
        <f aca="false">Controls!B7/(Controls!B9*Controls!B10)</f>
        <v>0.666666666666667</v>
      </c>
      <c r="N22" s="9" t="s">
        <v>235</v>
      </c>
    </row>
    <row r="23" customFormat="false" ht="15" hidden="false" customHeight="false" outlineLevel="0" collapsed="false">
      <c r="A23" s="9" t="s">
        <v>267</v>
      </c>
      <c r="B23" s="9" t="s">
        <v>265</v>
      </c>
      <c r="C23" s="9" t="s">
        <v>266</v>
      </c>
      <c r="D23" s="9" t="s">
        <v>237</v>
      </c>
      <c r="E23" s="9" t="s">
        <v>238</v>
      </c>
      <c r="F23" s="9" t="s">
        <v>239</v>
      </c>
      <c r="G23" s="11" t="s">
        <v>73</v>
      </c>
      <c r="H23" s="11" t="s">
        <v>73</v>
      </c>
      <c r="I23" s="20" t="n">
        <f aca="false">Controls!B13</f>
        <v>1</v>
      </c>
      <c r="J23" s="20" t="n">
        <f aca="false">Controls!B14</f>
        <v>1</v>
      </c>
      <c r="K23" s="20" t="n">
        <f aca="false">Controls!B11</f>
        <v>4</v>
      </c>
      <c r="L23" s="20" t="n">
        <f aca="false">K23*Controls!B12</f>
        <v>8</v>
      </c>
      <c r="M23" s="32" t="n">
        <f aca="false">Controls!B7/(Controls!B9*Controls!B10)</f>
        <v>0.666666666666667</v>
      </c>
      <c r="N23" s="9" t="s">
        <v>235</v>
      </c>
    </row>
    <row r="24" customFormat="false" ht="15" hidden="false" customHeight="false" outlineLevel="0" collapsed="false">
      <c r="A24" s="12" t="s">
        <v>268</v>
      </c>
      <c r="B24" s="12" t="s">
        <v>265</v>
      </c>
      <c r="C24" s="12" t="s">
        <v>266</v>
      </c>
      <c r="D24" s="12" t="s">
        <v>241</v>
      </c>
      <c r="E24" s="12" t="s">
        <v>242</v>
      </c>
      <c r="F24" s="12" t="s">
        <v>243</v>
      </c>
      <c r="G24" s="14" t="s">
        <v>73</v>
      </c>
      <c r="H24" s="14" t="s">
        <v>73</v>
      </c>
      <c r="I24" s="23" t="n">
        <f aca="false">Controls!B13</f>
        <v>1</v>
      </c>
      <c r="J24" s="23" t="n">
        <f aca="false">Controls!B14</f>
        <v>1</v>
      </c>
      <c r="K24" s="23" t="n">
        <f aca="false">Controls!B11</f>
        <v>4</v>
      </c>
      <c r="L24" s="23" t="n">
        <f aca="false">K24*Controls!B12</f>
        <v>8</v>
      </c>
      <c r="M24" s="33" t="n">
        <f aca="false">Controls!B7/(Controls!B9*Controls!B10)</f>
        <v>0.666666666666667</v>
      </c>
      <c r="N24" s="12" t="s">
        <v>235</v>
      </c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9"/>
    <col collapsed="false" customWidth="true" hidden="false" outlineLevel="0" max="6" min="6" style="0" width="18"/>
    <col collapsed="false" customWidth="true" hidden="false" outlineLevel="0" max="7" min="7" style="0" width="31"/>
    <col collapsed="false" customWidth="true" hidden="false" outlineLevel="0" max="8" min="8" style="0" width="25"/>
    <col collapsed="false" customWidth="true" hidden="false" outlineLevel="0" max="9" min="9" style="0" width="13"/>
    <col collapsed="false" customWidth="true" hidden="false" outlineLevel="0" max="10" min="10" style="0" width="24"/>
    <col collapsed="false" customWidth="true" hidden="false" outlineLevel="0" max="11" min="11" style="0" width="14"/>
  </cols>
  <sheetData>
    <row r="2" customFormat="false" ht="24" hidden="false" customHeight="true" outlineLevel="0" collapsed="false">
      <c r="A2" s="1" t="s">
        <v>269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3" t="s">
        <v>270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23" hidden="false" customHeight="true" outlineLevel="0" collapsed="false">
      <c r="A6" s="5" t="s">
        <v>271</v>
      </c>
      <c r="B6" s="6" t="s">
        <v>216</v>
      </c>
      <c r="C6" s="6" t="s">
        <v>217</v>
      </c>
      <c r="D6" s="6" t="s">
        <v>218</v>
      </c>
      <c r="E6" s="6" t="s">
        <v>219</v>
      </c>
      <c r="F6" s="6" t="s">
        <v>272</v>
      </c>
      <c r="G6" s="6" t="s">
        <v>273</v>
      </c>
      <c r="H6" s="6" t="s">
        <v>274</v>
      </c>
      <c r="I6" s="6" t="s">
        <v>275</v>
      </c>
      <c r="J6" s="6" t="s">
        <v>276</v>
      </c>
      <c r="K6" s="7" t="s">
        <v>5</v>
      </c>
    </row>
    <row r="7" customFormat="false" ht="15" hidden="false" customHeight="false" outlineLevel="0" collapsed="false">
      <c r="A7" s="8" t="s">
        <v>277</v>
      </c>
      <c r="B7" s="8" t="s">
        <v>229</v>
      </c>
      <c r="C7" s="8" t="s">
        <v>230</v>
      </c>
      <c r="D7" s="8" t="s">
        <v>231</v>
      </c>
      <c r="E7" s="8" t="s">
        <v>232</v>
      </c>
      <c r="F7" s="8" t="s">
        <v>278</v>
      </c>
      <c r="G7" s="8" t="s">
        <v>279</v>
      </c>
      <c r="H7" s="8" t="s">
        <v>233</v>
      </c>
      <c r="I7" s="18" t="n">
        <f aca="false">Controls!B12</f>
        <v>2</v>
      </c>
      <c r="J7" s="30" t="s">
        <v>73</v>
      </c>
      <c r="K7" s="30" t="s">
        <v>41</v>
      </c>
    </row>
    <row r="8" customFormat="false" ht="15" hidden="false" customHeight="false" outlineLevel="0" collapsed="false">
      <c r="A8" s="9" t="s">
        <v>280</v>
      </c>
      <c r="B8" s="9" t="s">
        <v>229</v>
      </c>
      <c r="C8" s="9" t="s">
        <v>230</v>
      </c>
      <c r="D8" s="9" t="s">
        <v>231</v>
      </c>
      <c r="E8" s="9" t="s">
        <v>232</v>
      </c>
      <c r="F8" s="9" t="s">
        <v>281</v>
      </c>
      <c r="G8" s="9" t="s">
        <v>282</v>
      </c>
      <c r="H8" s="9" t="s">
        <v>233</v>
      </c>
      <c r="I8" s="20" t="n">
        <f aca="false">Controls!B12</f>
        <v>2</v>
      </c>
      <c r="J8" s="11" t="s">
        <v>73</v>
      </c>
      <c r="K8" s="11" t="s">
        <v>41</v>
      </c>
    </row>
    <row r="9" customFormat="false" ht="15" hidden="false" customHeight="false" outlineLevel="0" collapsed="false">
      <c r="A9" s="9" t="s">
        <v>283</v>
      </c>
      <c r="B9" s="9" t="s">
        <v>229</v>
      </c>
      <c r="C9" s="9" t="s">
        <v>230</v>
      </c>
      <c r="D9" s="9" t="s">
        <v>231</v>
      </c>
      <c r="E9" s="9" t="s">
        <v>232</v>
      </c>
      <c r="F9" s="9" t="s">
        <v>284</v>
      </c>
      <c r="G9" s="9" t="s">
        <v>285</v>
      </c>
      <c r="H9" s="9" t="s">
        <v>233</v>
      </c>
      <c r="I9" s="20" t="n">
        <f aca="false">Controls!B12</f>
        <v>2</v>
      </c>
      <c r="J9" s="11" t="s">
        <v>73</v>
      </c>
      <c r="K9" s="11" t="s">
        <v>41</v>
      </c>
    </row>
    <row r="10" customFormat="false" ht="15" hidden="false" customHeight="false" outlineLevel="0" collapsed="false">
      <c r="A10" s="9" t="s">
        <v>286</v>
      </c>
      <c r="B10" s="9" t="s">
        <v>229</v>
      </c>
      <c r="C10" s="9" t="s">
        <v>230</v>
      </c>
      <c r="D10" s="9" t="s">
        <v>231</v>
      </c>
      <c r="E10" s="9" t="s">
        <v>232</v>
      </c>
      <c r="F10" s="9" t="s">
        <v>287</v>
      </c>
      <c r="G10" s="9" t="s">
        <v>288</v>
      </c>
      <c r="H10" s="9" t="s">
        <v>233</v>
      </c>
      <c r="I10" s="20" t="n">
        <f aca="false">Controls!B12</f>
        <v>2</v>
      </c>
      <c r="J10" s="11" t="s">
        <v>73</v>
      </c>
      <c r="K10" s="11" t="s">
        <v>41</v>
      </c>
    </row>
    <row r="11" customFormat="false" ht="15" hidden="false" customHeight="false" outlineLevel="0" collapsed="false">
      <c r="A11" s="9" t="s">
        <v>289</v>
      </c>
      <c r="B11" s="9" t="s">
        <v>236</v>
      </c>
      <c r="C11" s="9" t="s">
        <v>230</v>
      </c>
      <c r="D11" s="9" t="s">
        <v>231</v>
      </c>
      <c r="E11" s="9" t="s">
        <v>237</v>
      </c>
      <c r="F11" s="9" t="s">
        <v>278</v>
      </c>
      <c r="G11" s="9" t="s">
        <v>279</v>
      </c>
      <c r="H11" s="9" t="s">
        <v>238</v>
      </c>
      <c r="I11" s="20" t="n">
        <f aca="false">Controls!B12</f>
        <v>2</v>
      </c>
      <c r="J11" s="11" t="s">
        <v>73</v>
      </c>
      <c r="K11" s="11" t="s">
        <v>41</v>
      </c>
    </row>
    <row r="12" customFormat="false" ht="15" hidden="false" customHeight="false" outlineLevel="0" collapsed="false">
      <c r="A12" s="9" t="s">
        <v>290</v>
      </c>
      <c r="B12" s="9" t="s">
        <v>236</v>
      </c>
      <c r="C12" s="9" t="s">
        <v>230</v>
      </c>
      <c r="D12" s="9" t="s">
        <v>231</v>
      </c>
      <c r="E12" s="9" t="s">
        <v>237</v>
      </c>
      <c r="F12" s="9" t="s">
        <v>281</v>
      </c>
      <c r="G12" s="9" t="s">
        <v>282</v>
      </c>
      <c r="H12" s="9" t="s">
        <v>238</v>
      </c>
      <c r="I12" s="20" t="n">
        <f aca="false">Controls!B12</f>
        <v>2</v>
      </c>
      <c r="J12" s="11" t="s">
        <v>73</v>
      </c>
      <c r="K12" s="11" t="s">
        <v>41</v>
      </c>
    </row>
    <row r="13" customFormat="false" ht="15" hidden="false" customHeight="false" outlineLevel="0" collapsed="false">
      <c r="A13" s="9" t="s">
        <v>291</v>
      </c>
      <c r="B13" s="9" t="s">
        <v>236</v>
      </c>
      <c r="C13" s="9" t="s">
        <v>230</v>
      </c>
      <c r="D13" s="9" t="s">
        <v>231</v>
      </c>
      <c r="E13" s="9" t="s">
        <v>237</v>
      </c>
      <c r="F13" s="9" t="s">
        <v>284</v>
      </c>
      <c r="G13" s="9" t="s">
        <v>285</v>
      </c>
      <c r="H13" s="9" t="s">
        <v>238</v>
      </c>
      <c r="I13" s="20" t="n">
        <f aca="false">Controls!B12</f>
        <v>2</v>
      </c>
      <c r="J13" s="11" t="s">
        <v>73</v>
      </c>
      <c r="K13" s="11" t="s">
        <v>41</v>
      </c>
    </row>
    <row r="14" customFormat="false" ht="15" hidden="false" customHeight="false" outlineLevel="0" collapsed="false">
      <c r="A14" s="9" t="s">
        <v>292</v>
      </c>
      <c r="B14" s="9" t="s">
        <v>236</v>
      </c>
      <c r="C14" s="9" t="s">
        <v>230</v>
      </c>
      <c r="D14" s="9" t="s">
        <v>231</v>
      </c>
      <c r="E14" s="9" t="s">
        <v>237</v>
      </c>
      <c r="F14" s="9" t="s">
        <v>287</v>
      </c>
      <c r="G14" s="9" t="s">
        <v>288</v>
      </c>
      <c r="H14" s="9" t="s">
        <v>238</v>
      </c>
      <c r="I14" s="20" t="n">
        <f aca="false">Controls!B12</f>
        <v>2</v>
      </c>
      <c r="J14" s="11" t="s">
        <v>73</v>
      </c>
      <c r="K14" s="11" t="s">
        <v>41</v>
      </c>
    </row>
    <row r="15" customFormat="false" ht="15" hidden="false" customHeight="false" outlineLevel="0" collapsed="false">
      <c r="A15" s="9" t="s">
        <v>293</v>
      </c>
      <c r="B15" s="9" t="s">
        <v>240</v>
      </c>
      <c r="C15" s="9" t="s">
        <v>230</v>
      </c>
      <c r="D15" s="9" t="s">
        <v>231</v>
      </c>
      <c r="E15" s="9" t="s">
        <v>241</v>
      </c>
      <c r="F15" s="9" t="s">
        <v>278</v>
      </c>
      <c r="G15" s="9" t="s">
        <v>279</v>
      </c>
      <c r="H15" s="9" t="s">
        <v>242</v>
      </c>
      <c r="I15" s="20" t="n">
        <f aca="false">Controls!B12</f>
        <v>2</v>
      </c>
      <c r="J15" s="11" t="s">
        <v>73</v>
      </c>
      <c r="K15" s="11" t="s">
        <v>41</v>
      </c>
    </row>
    <row r="16" customFormat="false" ht="15" hidden="false" customHeight="false" outlineLevel="0" collapsed="false">
      <c r="A16" s="9" t="s">
        <v>294</v>
      </c>
      <c r="B16" s="9" t="s">
        <v>240</v>
      </c>
      <c r="C16" s="9" t="s">
        <v>230</v>
      </c>
      <c r="D16" s="9" t="s">
        <v>231</v>
      </c>
      <c r="E16" s="9" t="s">
        <v>241</v>
      </c>
      <c r="F16" s="9" t="s">
        <v>281</v>
      </c>
      <c r="G16" s="9" t="s">
        <v>282</v>
      </c>
      <c r="H16" s="9" t="s">
        <v>242</v>
      </c>
      <c r="I16" s="20" t="n">
        <f aca="false">Controls!B12</f>
        <v>2</v>
      </c>
      <c r="J16" s="11" t="s">
        <v>73</v>
      </c>
      <c r="K16" s="11" t="s">
        <v>41</v>
      </c>
    </row>
    <row r="17" customFormat="false" ht="15" hidden="false" customHeight="false" outlineLevel="0" collapsed="false">
      <c r="A17" s="9" t="s">
        <v>295</v>
      </c>
      <c r="B17" s="9" t="s">
        <v>240</v>
      </c>
      <c r="C17" s="9" t="s">
        <v>230</v>
      </c>
      <c r="D17" s="9" t="s">
        <v>231</v>
      </c>
      <c r="E17" s="9" t="s">
        <v>241</v>
      </c>
      <c r="F17" s="9" t="s">
        <v>284</v>
      </c>
      <c r="G17" s="9" t="s">
        <v>285</v>
      </c>
      <c r="H17" s="9" t="s">
        <v>242</v>
      </c>
      <c r="I17" s="20" t="n">
        <f aca="false">Controls!B12</f>
        <v>2</v>
      </c>
      <c r="J17" s="11" t="s">
        <v>73</v>
      </c>
      <c r="K17" s="11" t="s">
        <v>41</v>
      </c>
    </row>
    <row r="18" customFormat="false" ht="15" hidden="false" customHeight="false" outlineLevel="0" collapsed="false">
      <c r="A18" s="9" t="s">
        <v>296</v>
      </c>
      <c r="B18" s="9" t="s">
        <v>240</v>
      </c>
      <c r="C18" s="9" t="s">
        <v>230</v>
      </c>
      <c r="D18" s="9" t="s">
        <v>231</v>
      </c>
      <c r="E18" s="9" t="s">
        <v>241</v>
      </c>
      <c r="F18" s="9" t="s">
        <v>287</v>
      </c>
      <c r="G18" s="9" t="s">
        <v>288</v>
      </c>
      <c r="H18" s="9" t="s">
        <v>242</v>
      </c>
      <c r="I18" s="20" t="n">
        <f aca="false">Controls!B12</f>
        <v>2</v>
      </c>
      <c r="J18" s="11" t="s">
        <v>73</v>
      </c>
      <c r="K18" s="11" t="s">
        <v>41</v>
      </c>
    </row>
    <row r="19" customFormat="false" ht="15" hidden="false" customHeight="false" outlineLevel="0" collapsed="false">
      <c r="A19" s="9" t="s">
        <v>297</v>
      </c>
      <c r="B19" s="9" t="s">
        <v>244</v>
      </c>
      <c r="C19" s="9" t="s">
        <v>245</v>
      </c>
      <c r="D19" s="9" t="s">
        <v>246</v>
      </c>
      <c r="E19" s="9" t="s">
        <v>232</v>
      </c>
      <c r="F19" s="9" t="s">
        <v>298</v>
      </c>
      <c r="G19" s="9" t="s">
        <v>299</v>
      </c>
      <c r="H19" s="9" t="s">
        <v>233</v>
      </c>
      <c r="I19" s="20" t="n">
        <f aca="false">Controls!B12</f>
        <v>2</v>
      </c>
      <c r="J19" s="11" t="s">
        <v>73</v>
      </c>
      <c r="K19" s="11" t="s">
        <v>41</v>
      </c>
    </row>
    <row r="20" customFormat="false" ht="15" hidden="false" customHeight="false" outlineLevel="0" collapsed="false">
      <c r="A20" s="9" t="s">
        <v>300</v>
      </c>
      <c r="B20" s="9" t="s">
        <v>244</v>
      </c>
      <c r="C20" s="9" t="s">
        <v>245</v>
      </c>
      <c r="D20" s="9" t="s">
        <v>246</v>
      </c>
      <c r="E20" s="9" t="s">
        <v>232</v>
      </c>
      <c r="F20" s="9" t="s">
        <v>301</v>
      </c>
      <c r="G20" s="9" t="s">
        <v>302</v>
      </c>
      <c r="H20" s="9" t="s">
        <v>233</v>
      </c>
      <c r="I20" s="20" t="n">
        <f aca="false">Controls!B12</f>
        <v>2</v>
      </c>
      <c r="J20" s="11" t="s">
        <v>73</v>
      </c>
      <c r="K20" s="11" t="s">
        <v>41</v>
      </c>
    </row>
    <row r="21" customFormat="false" ht="15" hidden="false" customHeight="false" outlineLevel="0" collapsed="false">
      <c r="A21" s="9" t="s">
        <v>303</v>
      </c>
      <c r="B21" s="9" t="s">
        <v>244</v>
      </c>
      <c r="C21" s="9" t="s">
        <v>245</v>
      </c>
      <c r="D21" s="9" t="s">
        <v>246</v>
      </c>
      <c r="E21" s="9" t="s">
        <v>232</v>
      </c>
      <c r="F21" s="9" t="s">
        <v>304</v>
      </c>
      <c r="G21" s="9" t="s">
        <v>305</v>
      </c>
      <c r="H21" s="9" t="s">
        <v>233</v>
      </c>
      <c r="I21" s="20" t="n">
        <f aca="false">Controls!B12</f>
        <v>2</v>
      </c>
      <c r="J21" s="11" t="s">
        <v>73</v>
      </c>
      <c r="K21" s="11" t="s">
        <v>41</v>
      </c>
    </row>
    <row r="22" customFormat="false" ht="15" hidden="false" customHeight="false" outlineLevel="0" collapsed="false">
      <c r="A22" s="9" t="s">
        <v>306</v>
      </c>
      <c r="B22" s="9" t="s">
        <v>244</v>
      </c>
      <c r="C22" s="9" t="s">
        <v>245</v>
      </c>
      <c r="D22" s="9" t="s">
        <v>246</v>
      </c>
      <c r="E22" s="9" t="s">
        <v>232</v>
      </c>
      <c r="F22" s="9" t="s">
        <v>307</v>
      </c>
      <c r="G22" s="9" t="s">
        <v>308</v>
      </c>
      <c r="H22" s="9" t="s">
        <v>233</v>
      </c>
      <c r="I22" s="20" t="n">
        <f aca="false">Controls!B12</f>
        <v>2</v>
      </c>
      <c r="J22" s="11" t="s">
        <v>73</v>
      </c>
      <c r="K22" s="11" t="s">
        <v>41</v>
      </c>
    </row>
    <row r="23" customFormat="false" ht="15" hidden="false" customHeight="false" outlineLevel="0" collapsed="false">
      <c r="A23" s="9" t="s">
        <v>309</v>
      </c>
      <c r="B23" s="9" t="s">
        <v>247</v>
      </c>
      <c r="C23" s="9" t="s">
        <v>245</v>
      </c>
      <c r="D23" s="9" t="s">
        <v>246</v>
      </c>
      <c r="E23" s="9" t="s">
        <v>237</v>
      </c>
      <c r="F23" s="9" t="s">
        <v>298</v>
      </c>
      <c r="G23" s="9" t="s">
        <v>299</v>
      </c>
      <c r="H23" s="9" t="s">
        <v>238</v>
      </c>
      <c r="I23" s="20" t="n">
        <f aca="false">Controls!B12</f>
        <v>2</v>
      </c>
      <c r="J23" s="11" t="s">
        <v>73</v>
      </c>
      <c r="K23" s="11" t="s">
        <v>41</v>
      </c>
    </row>
    <row r="24" customFormat="false" ht="15" hidden="false" customHeight="false" outlineLevel="0" collapsed="false">
      <c r="A24" s="9" t="s">
        <v>310</v>
      </c>
      <c r="B24" s="9" t="s">
        <v>247</v>
      </c>
      <c r="C24" s="9" t="s">
        <v>245</v>
      </c>
      <c r="D24" s="9" t="s">
        <v>246</v>
      </c>
      <c r="E24" s="9" t="s">
        <v>237</v>
      </c>
      <c r="F24" s="9" t="s">
        <v>301</v>
      </c>
      <c r="G24" s="9" t="s">
        <v>302</v>
      </c>
      <c r="H24" s="9" t="s">
        <v>238</v>
      </c>
      <c r="I24" s="20" t="n">
        <f aca="false">Controls!B12</f>
        <v>2</v>
      </c>
      <c r="J24" s="11" t="s">
        <v>73</v>
      </c>
      <c r="K24" s="11" t="s">
        <v>41</v>
      </c>
    </row>
    <row r="25" customFormat="false" ht="15" hidden="false" customHeight="false" outlineLevel="0" collapsed="false">
      <c r="A25" s="9" t="s">
        <v>311</v>
      </c>
      <c r="B25" s="9" t="s">
        <v>247</v>
      </c>
      <c r="C25" s="9" t="s">
        <v>245</v>
      </c>
      <c r="D25" s="9" t="s">
        <v>246</v>
      </c>
      <c r="E25" s="9" t="s">
        <v>237</v>
      </c>
      <c r="F25" s="9" t="s">
        <v>304</v>
      </c>
      <c r="G25" s="9" t="s">
        <v>305</v>
      </c>
      <c r="H25" s="9" t="s">
        <v>238</v>
      </c>
      <c r="I25" s="20" t="n">
        <f aca="false">Controls!B12</f>
        <v>2</v>
      </c>
      <c r="J25" s="11" t="s">
        <v>73</v>
      </c>
      <c r="K25" s="11" t="s">
        <v>41</v>
      </c>
    </row>
    <row r="26" customFormat="false" ht="15" hidden="false" customHeight="false" outlineLevel="0" collapsed="false">
      <c r="A26" s="9" t="s">
        <v>312</v>
      </c>
      <c r="B26" s="9" t="s">
        <v>247</v>
      </c>
      <c r="C26" s="9" t="s">
        <v>245</v>
      </c>
      <c r="D26" s="9" t="s">
        <v>246</v>
      </c>
      <c r="E26" s="9" t="s">
        <v>237</v>
      </c>
      <c r="F26" s="9" t="s">
        <v>307</v>
      </c>
      <c r="G26" s="9" t="s">
        <v>308</v>
      </c>
      <c r="H26" s="9" t="s">
        <v>238</v>
      </c>
      <c r="I26" s="20" t="n">
        <f aca="false">Controls!B12</f>
        <v>2</v>
      </c>
      <c r="J26" s="11" t="s">
        <v>73</v>
      </c>
      <c r="K26" s="11" t="s">
        <v>41</v>
      </c>
    </row>
    <row r="27" customFormat="false" ht="15" hidden="false" customHeight="false" outlineLevel="0" collapsed="false">
      <c r="A27" s="9" t="s">
        <v>313</v>
      </c>
      <c r="B27" s="9" t="s">
        <v>248</v>
      </c>
      <c r="C27" s="9" t="s">
        <v>245</v>
      </c>
      <c r="D27" s="9" t="s">
        <v>246</v>
      </c>
      <c r="E27" s="9" t="s">
        <v>241</v>
      </c>
      <c r="F27" s="9" t="s">
        <v>298</v>
      </c>
      <c r="G27" s="9" t="s">
        <v>299</v>
      </c>
      <c r="H27" s="9" t="s">
        <v>242</v>
      </c>
      <c r="I27" s="20" t="n">
        <f aca="false">Controls!B12</f>
        <v>2</v>
      </c>
      <c r="J27" s="11" t="s">
        <v>73</v>
      </c>
      <c r="K27" s="11" t="s">
        <v>41</v>
      </c>
    </row>
    <row r="28" customFormat="false" ht="15" hidden="false" customHeight="false" outlineLevel="0" collapsed="false">
      <c r="A28" s="9" t="s">
        <v>314</v>
      </c>
      <c r="B28" s="9" t="s">
        <v>248</v>
      </c>
      <c r="C28" s="9" t="s">
        <v>245</v>
      </c>
      <c r="D28" s="9" t="s">
        <v>246</v>
      </c>
      <c r="E28" s="9" t="s">
        <v>241</v>
      </c>
      <c r="F28" s="9" t="s">
        <v>301</v>
      </c>
      <c r="G28" s="9" t="s">
        <v>302</v>
      </c>
      <c r="H28" s="9" t="s">
        <v>242</v>
      </c>
      <c r="I28" s="20" t="n">
        <f aca="false">Controls!B12</f>
        <v>2</v>
      </c>
      <c r="J28" s="11" t="s">
        <v>73</v>
      </c>
      <c r="K28" s="11" t="s">
        <v>41</v>
      </c>
    </row>
    <row r="29" customFormat="false" ht="15" hidden="false" customHeight="false" outlineLevel="0" collapsed="false">
      <c r="A29" s="9" t="s">
        <v>315</v>
      </c>
      <c r="B29" s="9" t="s">
        <v>248</v>
      </c>
      <c r="C29" s="9" t="s">
        <v>245</v>
      </c>
      <c r="D29" s="9" t="s">
        <v>246</v>
      </c>
      <c r="E29" s="9" t="s">
        <v>241</v>
      </c>
      <c r="F29" s="9" t="s">
        <v>304</v>
      </c>
      <c r="G29" s="9" t="s">
        <v>305</v>
      </c>
      <c r="H29" s="9" t="s">
        <v>242</v>
      </c>
      <c r="I29" s="20" t="n">
        <f aca="false">Controls!B12</f>
        <v>2</v>
      </c>
      <c r="J29" s="11" t="s">
        <v>73</v>
      </c>
      <c r="K29" s="11" t="s">
        <v>41</v>
      </c>
    </row>
    <row r="30" customFormat="false" ht="15" hidden="false" customHeight="false" outlineLevel="0" collapsed="false">
      <c r="A30" s="9" t="s">
        <v>316</v>
      </c>
      <c r="B30" s="9" t="s">
        <v>248</v>
      </c>
      <c r="C30" s="9" t="s">
        <v>245</v>
      </c>
      <c r="D30" s="9" t="s">
        <v>246</v>
      </c>
      <c r="E30" s="9" t="s">
        <v>241</v>
      </c>
      <c r="F30" s="9" t="s">
        <v>307</v>
      </c>
      <c r="G30" s="9" t="s">
        <v>308</v>
      </c>
      <c r="H30" s="9" t="s">
        <v>242</v>
      </c>
      <c r="I30" s="20" t="n">
        <f aca="false">Controls!B12</f>
        <v>2</v>
      </c>
      <c r="J30" s="11" t="s">
        <v>73</v>
      </c>
      <c r="K30" s="11" t="s">
        <v>41</v>
      </c>
    </row>
    <row r="31" customFormat="false" ht="15" hidden="false" customHeight="false" outlineLevel="0" collapsed="false">
      <c r="A31" s="9" t="s">
        <v>317</v>
      </c>
      <c r="B31" s="9" t="s">
        <v>249</v>
      </c>
      <c r="C31" s="9" t="s">
        <v>250</v>
      </c>
      <c r="D31" s="9" t="s">
        <v>251</v>
      </c>
      <c r="E31" s="9" t="s">
        <v>232</v>
      </c>
      <c r="F31" s="9" t="s">
        <v>318</v>
      </c>
      <c r="G31" s="9" t="s">
        <v>319</v>
      </c>
      <c r="H31" s="9" t="s">
        <v>233</v>
      </c>
      <c r="I31" s="20" t="n">
        <f aca="false">Controls!B12</f>
        <v>2</v>
      </c>
      <c r="J31" s="11" t="s">
        <v>73</v>
      </c>
      <c r="K31" s="11" t="s">
        <v>41</v>
      </c>
    </row>
    <row r="32" customFormat="false" ht="15" hidden="false" customHeight="false" outlineLevel="0" collapsed="false">
      <c r="A32" s="9" t="s">
        <v>320</v>
      </c>
      <c r="B32" s="9" t="s">
        <v>249</v>
      </c>
      <c r="C32" s="9" t="s">
        <v>250</v>
      </c>
      <c r="D32" s="9" t="s">
        <v>251</v>
      </c>
      <c r="E32" s="9" t="s">
        <v>232</v>
      </c>
      <c r="F32" s="9" t="s">
        <v>321</v>
      </c>
      <c r="G32" s="9" t="s">
        <v>322</v>
      </c>
      <c r="H32" s="9" t="s">
        <v>233</v>
      </c>
      <c r="I32" s="20" t="n">
        <f aca="false">Controls!B12</f>
        <v>2</v>
      </c>
      <c r="J32" s="11" t="s">
        <v>73</v>
      </c>
      <c r="K32" s="11" t="s">
        <v>41</v>
      </c>
    </row>
    <row r="33" customFormat="false" ht="15" hidden="false" customHeight="false" outlineLevel="0" collapsed="false">
      <c r="A33" s="9" t="s">
        <v>323</v>
      </c>
      <c r="B33" s="9" t="s">
        <v>249</v>
      </c>
      <c r="C33" s="9" t="s">
        <v>250</v>
      </c>
      <c r="D33" s="9" t="s">
        <v>251</v>
      </c>
      <c r="E33" s="9" t="s">
        <v>232</v>
      </c>
      <c r="F33" s="9" t="s">
        <v>324</v>
      </c>
      <c r="G33" s="9" t="s">
        <v>325</v>
      </c>
      <c r="H33" s="9" t="s">
        <v>233</v>
      </c>
      <c r="I33" s="20" t="n">
        <f aca="false">Controls!B12</f>
        <v>2</v>
      </c>
      <c r="J33" s="11" t="s">
        <v>73</v>
      </c>
      <c r="K33" s="11" t="s">
        <v>41</v>
      </c>
    </row>
    <row r="34" customFormat="false" ht="15" hidden="false" customHeight="false" outlineLevel="0" collapsed="false">
      <c r="A34" s="9" t="s">
        <v>326</v>
      </c>
      <c r="B34" s="9" t="s">
        <v>249</v>
      </c>
      <c r="C34" s="9" t="s">
        <v>250</v>
      </c>
      <c r="D34" s="9" t="s">
        <v>251</v>
      </c>
      <c r="E34" s="9" t="s">
        <v>232</v>
      </c>
      <c r="F34" s="9" t="s">
        <v>327</v>
      </c>
      <c r="G34" s="9" t="s">
        <v>328</v>
      </c>
      <c r="H34" s="9" t="s">
        <v>233</v>
      </c>
      <c r="I34" s="20" t="n">
        <f aca="false">Controls!B12</f>
        <v>2</v>
      </c>
      <c r="J34" s="11" t="s">
        <v>73</v>
      </c>
      <c r="K34" s="11" t="s">
        <v>41</v>
      </c>
    </row>
    <row r="35" customFormat="false" ht="15" hidden="false" customHeight="false" outlineLevel="0" collapsed="false">
      <c r="A35" s="9" t="s">
        <v>329</v>
      </c>
      <c r="B35" s="9" t="s">
        <v>252</v>
      </c>
      <c r="C35" s="9" t="s">
        <v>250</v>
      </c>
      <c r="D35" s="9" t="s">
        <v>251</v>
      </c>
      <c r="E35" s="9" t="s">
        <v>237</v>
      </c>
      <c r="F35" s="9" t="s">
        <v>318</v>
      </c>
      <c r="G35" s="9" t="s">
        <v>319</v>
      </c>
      <c r="H35" s="9" t="s">
        <v>238</v>
      </c>
      <c r="I35" s="20" t="n">
        <f aca="false">Controls!B12</f>
        <v>2</v>
      </c>
      <c r="J35" s="11" t="s">
        <v>73</v>
      </c>
      <c r="K35" s="11" t="s">
        <v>41</v>
      </c>
    </row>
    <row r="36" customFormat="false" ht="15" hidden="false" customHeight="false" outlineLevel="0" collapsed="false">
      <c r="A36" s="9" t="s">
        <v>330</v>
      </c>
      <c r="B36" s="9" t="s">
        <v>252</v>
      </c>
      <c r="C36" s="9" t="s">
        <v>250</v>
      </c>
      <c r="D36" s="9" t="s">
        <v>251</v>
      </c>
      <c r="E36" s="9" t="s">
        <v>237</v>
      </c>
      <c r="F36" s="9" t="s">
        <v>321</v>
      </c>
      <c r="G36" s="9" t="s">
        <v>322</v>
      </c>
      <c r="H36" s="9" t="s">
        <v>238</v>
      </c>
      <c r="I36" s="20" t="n">
        <f aca="false">Controls!B12</f>
        <v>2</v>
      </c>
      <c r="J36" s="11" t="s">
        <v>73</v>
      </c>
      <c r="K36" s="11" t="s">
        <v>41</v>
      </c>
    </row>
    <row r="37" customFormat="false" ht="15" hidden="false" customHeight="false" outlineLevel="0" collapsed="false">
      <c r="A37" s="9" t="s">
        <v>331</v>
      </c>
      <c r="B37" s="9" t="s">
        <v>252</v>
      </c>
      <c r="C37" s="9" t="s">
        <v>250</v>
      </c>
      <c r="D37" s="9" t="s">
        <v>251</v>
      </c>
      <c r="E37" s="9" t="s">
        <v>237</v>
      </c>
      <c r="F37" s="9" t="s">
        <v>324</v>
      </c>
      <c r="G37" s="9" t="s">
        <v>325</v>
      </c>
      <c r="H37" s="9" t="s">
        <v>238</v>
      </c>
      <c r="I37" s="20" t="n">
        <f aca="false">Controls!B12</f>
        <v>2</v>
      </c>
      <c r="J37" s="11" t="s">
        <v>73</v>
      </c>
      <c r="K37" s="11" t="s">
        <v>41</v>
      </c>
    </row>
    <row r="38" customFormat="false" ht="15" hidden="false" customHeight="false" outlineLevel="0" collapsed="false">
      <c r="A38" s="9" t="s">
        <v>332</v>
      </c>
      <c r="B38" s="9" t="s">
        <v>252</v>
      </c>
      <c r="C38" s="9" t="s">
        <v>250</v>
      </c>
      <c r="D38" s="9" t="s">
        <v>251</v>
      </c>
      <c r="E38" s="9" t="s">
        <v>237</v>
      </c>
      <c r="F38" s="9" t="s">
        <v>327</v>
      </c>
      <c r="G38" s="9" t="s">
        <v>328</v>
      </c>
      <c r="H38" s="9" t="s">
        <v>238</v>
      </c>
      <c r="I38" s="20" t="n">
        <f aca="false">Controls!B12</f>
        <v>2</v>
      </c>
      <c r="J38" s="11" t="s">
        <v>73</v>
      </c>
      <c r="K38" s="11" t="s">
        <v>41</v>
      </c>
    </row>
    <row r="39" customFormat="false" ht="15" hidden="false" customHeight="false" outlineLevel="0" collapsed="false">
      <c r="A39" s="9" t="s">
        <v>333</v>
      </c>
      <c r="B39" s="9" t="s">
        <v>253</v>
      </c>
      <c r="C39" s="9" t="s">
        <v>250</v>
      </c>
      <c r="D39" s="9" t="s">
        <v>251</v>
      </c>
      <c r="E39" s="9" t="s">
        <v>241</v>
      </c>
      <c r="F39" s="9" t="s">
        <v>318</v>
      </c>
      <c r="G39" s="9" t="s">
        <v>319</v>
      </c>
      <c r="H39" s="9" t="s">
        <v>242</v>
      </c>
      <c r="I39" s="20" t="n">
        <f aca="false">Controls!B12</f>
        <v>2</v>
      </c>
      <c r="J39" s="11" t="s">
        <v>73</v>
      </c>
      <c r="K39" s="11" t="s">
        <v>41</v>
      </c>
    </row>
    <row r="40" customFormat="false" ht="15" hidden="false" customHeight="false" outlineLevel="0" collapsed="false">
      <c r="A40" s="9" t="s">
        <v>334</v>
      </c>
      <c r="B40" s="9" t="s">
        <v>253</v>
      </c>
      <c r="C40" s="9" t="s">
        <v>250</v>
      </c>
      <c r="D40" s="9" t="s">
        <v>251</v>
      </c>
      <c r="E40" s="9" t="s">
        <v>241</v>
      </c>
      <c r="F40" s="9" t="s">
        <v>321</v>
      </c>
      <c r="G40" s="9" t="s">
        <v>322</v>
      </c>
      <c r="H40" s="9" t="s">
        <v>242</v>
      </c>
      <c r="I40" s="20" t="n">
        <f aca="false">Controls!B12</f>
        <v>2</v>
      </c>
      <c r="J40" s="11" t="s">
        <v>73</v>
      </c>
      <c r="K40" s="11" t="s">
        <v>41</v>
      </c>
    </row>
    <row r="41" customFormat="false" ht="15" hidden="false" customHeight="false" outlineLevel="0" collapsed="false">
      <c r="A41" s="9" t="s">
        <v>335</v>
      </c>
      <c r="B41" s="9" t="s">
        <v>253</v>
      </c>
      <c r="C41" s="9" t="s">
        <v>250</v>
      </c>
      <c r="D41" s="9" t="s">
        <v>251</v>
      </c>
      <c r="E41" s="9" t="s">
        <v>241</v>
      </c>
      <c r="F41" s="9" t="s">
        <v>324</v>
      </c>
      <c r="G41" s="9" t="s">
        <v>325</v>
      </c>
      <c r="H41" s="9" t="s">
        <v>242</v>
      </c>
      <c r="I41" s="20" t="n">
        <f aca="false">Controls!B12</f>
        <v>2</v>
      </c>
      <c r="J41" s="11" t="s">
        <v>73</v>
      </c>
      <c r="K41" s="11" t="s">
        <v>41</v>
      </c>
    </row>
    <row r="42" customFormat="false" ht="15" hidden="false" customHeight="false" outlineLevel="0" collapsed="false">
      <c r="A42" s="9" t="s">
        <v>336</v>
      </c>
      <c r="B42" s="9" t="s">
        <v>253</v>
      </c>
      <c r="C42" s="9" t="s">
        <v>250</v>
      </c>
      <c r="D42" s="9" t="s">
        <v>251</v>
      </c>
      <c r="E42" s="9" t="s">
        <v>241</v>
      </c>
      <c r="F42" s="9" t="s">
        <v>327</v>
      </c>
      <c r="G42" s="9" t="s">
        <v>328</v>
      </c>
      <c r="H42" s="9" t="s">
        <v>242</v>
      </c>
      <c r="I42" s="20" t="n">
        <f aca="false">Controls!B12</f>
        <v>2</v>
      </c>
      <c r="J42" s="11" t="s">
        <v>73</v>
      </c>
      <c r="K42" s="11" t="s">
        <v>41</v>
      </c>
    </row>
    <row r="43" customFormat="false" ht="15" hidden="false" customHeight="false" outlineLevel="0" collapsed="false">
      <c r="A43" s="9" t="s">
        <v>337</v>
      </c>
      <c r="B43" s="9" t="s">
        <v>254</v>
      </c>
      <c r="C43" s="9" t="s">
        <v>255</v>
      </c>
      <c r="D43" s="9" t="s">
        <v>256</v>
      </c>
      <c r="E43" s="9" t="s">
        <v>232</v>
      </c>
      <c r="F43" s="9" t="s">
        <v>338</v>
      </c>
      <c r="G43" s="9" t="s">
        <v>339</v>
      </c>
      <c r="H43" s="9" t="s">
        <v>233</v>
      </c>
      <c r="I43" s="20" t="n">
        <f aca="false">Controls!B12</f>
        <v>2</v>
      </c>
      <c r="J43" s="11" t="s">
        <v>73</v>
      </c>
      <c r="K43" s="11" t="s">
        <v>41</v>
      </c>
    </row>
    <row r="44" customFormat="false" ht="15" hidden="false" customHeight="false" outlineLevel="0" collapsed="false">
      <c r="A44" s="9" t="s">
        <v>340</v>
      </c>
      <c r="B44" s="9" t="s">
        <v>254</v>
      </c>
      <c r="C44" s="9" t="s">
        <v>255</v>
      </c>
      <c r="D44" s="9" t="s">
        <v>256</v>
      </c>
      <c r="E44" s="9" t="s">
        <v>232</v>
      </c>
      <c r="F44" s="9" t="s">
        <v>341</v>
      </c>
      <c r="G44" s="9" t="s">
        <v>342</v>
      </c>
      <c r="H44" s="9" t="s">
        <v>233</v>
      </c>
      <c r="I44" s="20" t="n">
        <f aca="false">Controls!B12</f>
        <v>2</v>
      </c>
      <c r="J44" s="11" t="s">
        <v>73</v>
      </c>
      <c r="K44" s="11" t="s">
        <v>41</v>
      </c>
    </row>
    <row r="45" customFormat="false" ht="15" hidden="false" customHeight="false" outlineLevel="0" collapsed="false">
      <c r="A45" s="9" t="s">
        <v>343</v>
      </c>
      <c r="B45" s="9" t="s">
        <v>254</v>
      </c>
      <c r="C45" s="9" t="s">
        <v>255</v>
      </c>
      <c r="D45" s="9" t="s">
        <v>256</v>
      </c>
      <c r="E45" s="9" t="s">
        <v>232</v>
      </c>
      <c r="F45" s="9" t="s">
        <v>344</v>
      </c>
      <c r="G45" s="9" t="s">
        <v>345</v>
      </c>
      <c r="H45" s="9" t="s">
        <v>233</v>
      </c>
      <c r="I45" s="20" t="n">
        <f aca="false">Controls!B12</f>
        <v>2</v>
      </c>
      <c r="J45" s="11" t="s">
        <v>73</v>
      </c>
      <c r="K45" s="11" t="s">
        <v>41</v>
      </c>
    </row>
    <row r="46" customFormat="false" ht="15" hidden="false" customHeight="false" outlineLevel="0" collapsed="false">
      <c r="A46" s="9" t="s">
        <v>346</v>
      </c>
      <c r="B46" s="9" t="s">
        <v>254</v>
      </c>
      <c r="C46" s="9" t="s">
        <v>255</v>
      </c>
      <c r="D46" s="9" t="s">
        <v>256</v>
      </c>
      <c r="E46" s="9" t="s">
        <v>232</v>
      </c>
      <c r="F46" s="9" t="s">
        <v>347</v>
      </c>
      <c r="G46" s="9" t="s">
        <v>348</v>
      </c>
      <c r="H46" s="9" t="s">
        <v>233</v>
      </c>
      <c r="I46" s="20" t="n">
        <f aca="false">Controls!B12</f>
        <v>2</v>
      </c>
      <c r="J46" s="11" t="s">
        <v>73</v>
      </c>
      <c r="K46" s="11" t="s">
        <v>41</v>
      </c>
    </row>
    <row r="47" customFormat="false" ht="15" hidden="false" customHeight="false" outlineLevel="0" collapsed="false">
      <c r="A47" s="9" t="s">
        <v>349</v>
      </c>
      <c r="B47" s="9" t="s">
        <v>257</v>
      </c>
      <c r="C47" s="9" t="s">
        <v>255</v>
      </c>
      <c r="D47" s="9" t="s">
        <v>256</v>
      </c>
      <c r="E47" s="9" t="s">
        <v>237</v>
      </c>
      <c r="F47" s="9" t="s">
        <v>338</v>
      </c>
      <c r="G47" s="9" t="s">
        <v>339</v>
      </c>
      <c r="H47" s="9" t="s">
        <v>238</v>
      </c>
      <c r="I47" s="20" t="n">
        <f aca="false">Controls!B12</f>
        <v>2</v>
      </c>
      <c r="J47" s="11" t="s">
        <v>73</v>
      </c>
      <c r="K47" s="11" t="s">
        <v>41</v>
      </c>
    </row>
    <row r="48" customFormat="false" ht="15" hidden="false" customHeight="false" outlineLevel="0" collapsed="false">
      <c r="A48" s="9" t="s">
        <v>350</v>
      </c>
      <c r="B48" s="9" t="s">
        <v>257</v>
      </c>
      <c r="C48" s="9" t="s">
        <v>255</v>
      </c>
      <c r="D48" s="9" t="s">
        <v>256</v>
      </c>
      <c r="E48" s="9" t="s">
        <v>237</v>
      </c>
      <c r="F48" s="9" t="s">
        <v>341</v>
      </c>
      <c r="G48" s="9" t="s">
        <v>342</v>
      </c>
      <c r="H48" s="9" t="s">
        <v>238</v>
      </c>
      <c r="I48" s="20" t="n">
        <f aca="false">Controls!B12</f>
        <v>2</v>
      </c>
      <c r="J48" s="11" t="s">
        <v>73</v>
      </c>
      <c r="K48" s="11" t="s">
        <v>41</v>
      </c>
    </row>
    <row r="49" customFormat="false" ht="15" hidden="false" customHeight="false" outlineLevel="0" collapsed="false">
      <c r="A49" s="9" t="s">
        <v>351</v>
      </c>
      <c r="B49" s="9" t="s">
        <v>257</v>
      </c>
      <c r="C49" s="9" t="s">
        <v>255</v>
      </c>
      <c r="D49" s="9" t="s">
        <v>256</v>
      </c>
      <c r="E49" s="9" t="s">
        <v>237</v>
      </c>
      <c r="F49" s="9" t="s">
        <v>344</v>
      </c>
      <c r="G49" s="9" t="s">
        <v>345</v>
      </c>
      <c r="H49" s="9" t="s">
        <v>238</v>
      </c>
      <c r="I49" s="20" t="n">
        <f aca="false">Controls!B12</f>
        <v>2</v>
      </c>
      <c r="J49" s="11" t="s">
        <v>73</v>
      </c>
      <c r="K49" s="11" t="s">
        <v>41</v>
      </c>
    </row>
    <row r="50" customFormat="false" ht="15" hidden="false" customHeight="false" outlineLevel="0" collapsed="false">
      <c r="A50" s="9" t="s">
        <v>352</v>
      </c>
      <c r="B50" s="9" t="s">
        <v>257</v>
      </c>
      <c r="C50" s="9" t="s">
        <v>255</v>
      </c>
      <c r="D50" s="9" t="s">
        <v>256</v>
      </c>
      <c r="E50" s="9" t="s">
        <v>237</v>
      </c>
      <c r="F50" s="9" t="s">
        <v>347</v>
      </c>
      <c r="G50" s="9" t="s">
        <v>348</v>
      </c>
      <c r="H50" s="9" t="s">
        <v>238</v>
      </c>
      <c r="I50" s="20" t="n">
        <f aca="false">Controls!B12</f>
        <v>2</v>
      </c>
      <c r="J50" s="11" t="s">
        <v>73</v>
      </c>
      <c r="K50" s="11" t="s">
        <v>41</v>
      </c>
    </row>
    <row r="51" customFormat="false" ht="15" hidden="false" customHeight="false" outlineLevel="0" collapsed="false">
      <c r="A51" s="9" t="s">
        <v>353</v>
      </c>
      <c r="B51" s="9" t="s">
        <v>258</v>
      </c>
      <c r="C51" s="9" t="s">
        <v>255</v>
      </c>
      <c r="D51" s="9" t="s">
        <v>256</v>
      </c>
      <c r="E51" s="9" t="s">
        <v>241</v>
      </c>
      <c r="F51" s="9" t="s">
        <v>338</v>
      </c>
      <c r="G51" s="9" t="s">
        <v>339</v>
      </c>
      <c r="H51" s="9" t="s">
        <v>242</v>
      </c>
      <c r="I51" s="20" t="n">
        <f aca="false">Controls!B12</f>
        <v>2</v>
      </c>
      <c r="J51" s="11" t="s">
        <v>73</v>
      </c>
      <c r="K51" s="11" t="s">
        <v>41</v>
      </c>
    </row>
    <row r="52" customFormat="false" ht="15" hidden="false" customHeight="false" outlineLevel="0" collapsed="false">
      <c r="A52" s="9" t="s">
        <v>354</v>
      </c>
      <c r="B52" s="9" t="s">
        <v>258</v>
      </c>
      <c r="C52" s="9" t="s">
        <v>255</v>
      </c>
      <c r="D52" s="9" t="s">
        <v>256</v>
      </c>
      <c r="E52" s="9" t="s">
        <v>241</v>
      </c>
      <c r="F52" s="9" t="s">
        <v>341</v>
      </c>
      <c r="G52" s="9" t="s">
        <v>342</v>
      </c>
      <c r="H52" s="9" t="s">
        <v>242</v>
      </c>
      <c r="I52" s="20" t="n">
        <f aca="false">Controls!B12</f>
        <v>2</v>
      </c>
      <c r="J52" s="11" t="s">
        <v>73</v>
      </c>
      <c r="K52" s="11" t="s">
        <v>41</v>
      </c>
    </row>
    <row r="53" customFormat="false" ht="15" hidden="false" customHeight="false" outlineLevel="0" collapsed="false">
      <c r="A53" s="9" t="s">
        <v>355</v>
      </c>
      <c r="B53" s="9" t="s">
        <v>258</v>
      </c>
      <c r="C53" s="9" t="s">
        <v>255</v>
      </c>
      <c r="D53" s="9" t="s">
        <v>256</v>
      </c>
      <c r="E53" s="9" t="s">
        <v>241</v>
      </c>
      <c r="F53" s="9" t="s">
        <v>344</v>
      </c>
      <c r="G53" s="9" t="s">
        <v>345</v>
      </c>
      <c r="H53" s="9" t="s">
        <v>242</v>
      </c>
      <c r="I53" s="20" t="n">
        <f aca="false">Controls!B12</f>
        <v>2</v>
      </c>
      <c r="J53" s="11" t="s">
        <v>73</v>
      </c>
      <c r="K53" s="11" t="s">
        <v>41</v>
      </c>
    </row>
    <row r="54" customFormat="false" ht="15" hidden="false" customHeight="false" outlineLevel="0" collapsed="false">
      <c r="A54" s="9" t="s">
        <v>356</v>
      </c>
      <c r="B54" s="9" t="s">
        <v>258</v>
      </c>
      <c r="C54" s="9" t="s">
        <v>255</v>
      </c>
      <c r="D54" s="9" t="s">
        <v>256</v>
      </c>
      <c r="E54" s="9" t="s">
        <v>241</v>
      </c>
      <c r="F54" s="9" t="s">
        <v>347</v>
      </c>
      <c r="G54" s="9" t="s">
        <v>348</v>
      </c>
      <c r="H54" s="9" t="s">
        <v>242</v>
      </c>
      <c r="I54" s="20" t="n">
        <f aca="false">Controls!B12</f>
        <v>2</v>
      </c>
      <c r="J54" s="11" t="s">
        <v>73</v>
      </c>
      <c r="K54" s="11" t="s">
        <v>41</v>
      </c>
    </row>
    <row r="55" customFormat="false" ht="15" hidden="false" customHeight="false" outlineLevel="0" collapsed="false">
      <c r="A55" s="9" t="s">
        <v>357</v>
      </c>
      <c r="B55" s="9" t="s">
        <v>259</v>
      </c>
      <c r="C55" s="9" t="s">
        <v>260</v>
      </c>
      <c r="D55" s="9" t="s">
        <v>261</v>
      </c>
      <c r="E55" s="9" t="s">
        <v>232</v>
      </c>
      <c r="F55" s="9" t="s">
        <v>358</v>
      </c>
      <c r="G55" s="9" t="s">
        <v>359</v>
      </c>
      <c r="H55" s="9" t="s">
        <v>233</v>
      </c>
      <c r="I55" s="20" t="n">
        <f aca="false">Controls!B12</f>
        <v>2</v>
      </c>
      <c r="J55" s="11" t="s">
        <v>73</v>
      </c>
      <c r="K55" s="11" t="s">
        <v>41</v>
      </c>
    </row>
    <row r="56" customFormat="false" ht="15" hidden="false" customHeight="false" outlineLevel="0" collapsed="false">
      <c r="A56" s="9" t="s">
        <v>360</v>
      </c>
      <c r="B56" s="9" t="s">
        <v>259</v>
      </c>
      <c r="C56" s="9" t="s">
        <v>260</v>
      </c>
      <c r="D56" s="9" t="s">
        <v>261</v>
      </c>
      <c r="E56" s="9" t="s">
        <v>232</v>
      </c>
      <c r="F56" s="9" t="s">
        <v>361</v>
      </c>
      <c r="G56" s="9" t="s">
        <v>362</v>
      </c>
      <c r="H56" s="9" t="s">
        <v>233</v>
      </c>
      <c r="I56" s="20" t="n">
        <f aca="false">Controls!B12</f>
        <v>2</v>
      </c>
      <c r="J56" s="11" t="s">
        <v>73</v>
      </c>
      <c r="K56" s="11" t="s">
        <v>41</v>
      </c>
    </row>
    <row r="57" customFormat="false" ht="15" hidden="false" customHeight="false" outlineLevel="0" collapsed="false">
      <c r="A57" s="9" t="s">
        <v>363</v>
      </c>
      <c r="B57" s="9" t="s">
        <v>259</v>
      </c>
      <c r="C57" s="9" t="s">
        <v>260</v>
      </c>
      <c r="D57" s="9" t="s">
        <v>261</v>
      </c>
      <c r="E57" s="9" t="s">
        <v>232</v>
      </c>
      <c r="F57" s="9" t="s">
        <v>364</v>
      </c>
      <c r="G57" s="9" t="s">
        <v>365</v>
      </c>
      <c r="H57" s="9" t="s">
        <v>233</v>
      </c>
      <c r="I57" s="20" t="n">
        <f aca="false">Controls!B12</f>
        <v>2</v>
      </c>
      <c r="J57" s="11" t="s">
        <v>73</v>
      </c>
      <c r="K57" s="11" t="s">
        <v>41</v>
      </c>
    </row>
    <row r="58" customFormat="false" ht="15" hidden="false" customHeight="false" outlineLevel="0" collapsed="false">
      <c r="A58" s="9" t="s">
        <v>366</v>
      </c>
      <c r="B58" s="9" t="s">
        <v>259</v>
      </c>
      <c r="C58" s="9" t="s">
        <v>260</v>
      </c>
      <c r="D58" s="9" t="s">
        <v>261</v>
      </c>
      <c r="E58" s="9" t="s">
        <v>232</v>
      </c>
      <c r="F58" s="9" t="s">
        <v>367</v>
      </c>
      <c r="G58" s="9" t="s">
        <v>368</v>
      </c>
      <c r="H58" s="9" t="s">
        <v>233</v>
      </c>
      <c r="I58" s="20" t="n">
        <f aca="false">Controls!B12</f>
        <v>2</v>
      </c>
      <c r="J58" s="11" t="s">
        <v>73</v>
      </c>
      <c r="K58" s="11" t="s">
        <v>41</v>
      </c>
    </row>
    <row r="59" customFormat="false" ht="15" hidden="false" customHeight="false" outlineLevel="0" collapsed="false">
      <c r="A59" s="9" t="s">
        <v>369</v>
      </c>
      <c r="B59" s="9" t="s">
        <v>262</v>
      </c>
      <c r="C59" s="9" t="s">
        <v>260</v>
      </c>
      <c r="D59" s="9" t="s">
        <v>261</v>
      </c>
      <c r="E59" s="9" t="s">
        <v>237</v>
      </c>
      <c r="F59" s="9" t="s">
        <v>358</v>
      </c>
      <c r="G59" s="9" t="s">
        <v>359</v>
      </c>
      <c r="H59" s="9" t="s">
        <v>238</v>
      </c>
      <c r="I59" s="20" t="n">
        <f aca="false">Controls!B12</f>
        <v>2</v>
      </c>
      <c r="J59" s="11" t="s">
        <v>73</v>
      </c>
      <c r="K59" s="11" t="s">
        <v>41</v>
      </c>
    </row>
    <row r="60" customFormat="false" ht="15" hidden="false" customHeight="false" outlineLevel="0" collapsed="false">
      <c r="A60" s="9" t="s">
        <v>370</v>
      </c>
      <c r="B60" s="9" t="s">
        <v>262</v>
      </c>
      <c r="C60" s="9" t="s">
        <v>260</v>
      </c>
      <c r="D60" s="9" t="s">
        <v>261</v>
      </c>
      <c r="E60" s="9" t="s">
        <v>237</v>
      </c>
      <c r="F60" s="9" t="s">
        <v>361</v>
      </c>
      <c r="G60" s="9" t="s">
        <v>362</v>
      </c>
      <c r="H60" s="9" t="s">
        <v>238</v>
      </c>
      <c r="I60" s="20" t="n">
        <f aca="false">Controls!B12</f>
        <v>2</v>
      </c>
      <c r="J60" s="11" t="s">
        <v>73</v>
      </c>
      <c r="K60" s="11" t="s">
        <v>41</v>
      </c>
    </row>
    <row r="61" customFormat="false" ht="15" hidden="false" customHeight="false" outlineLevel="0" collapsed="false">
      <c r="A61" s="9" t="s">
        <v>371</v>
      </c>
      <c r="B61" s="9" t="s">
        <v>262</v>
      </c>
      <c r="C61" s="9" t="s">
        <v>260</v>
      </c>
      <c r="D61" s="9" t="s">
        <v>261</v>
      </c>
      <c r="E61" s="9" t="s">
        <v>237</v>
      </c>
      <c r="F61" s="9" t="s">
        <v>364</v>
      </c>
      <c r="G61" s="9" t="s">
        <v>365</v>
      </c>
      <c r="H61" s="9" t="s">
        <v>238</v>
      </c>
      <c r="I61" s="20" t="n">
        <f aca="false">Controls!B12</f>
        <v>2</v>
      </c>
      <c r="J61" s="11" t="s">
        <v>73</v>
      </c>
      <c r="K61" s="11" t="s">
        <v>41</v>
      </c>
    </row>
    <row r="62" customFormat="false" ht="15" hidden="false" customHeight="false" outlineLevel="0" collapsed="false">
      <c r="A62" s="9" t="s">
        <v>372</v>
      </c>
      <c r="B62" s="9" t="s">
        <v>262</v>
      </c>
      <c r="C62" s="9" t="s">
        <v>260</v>
      </c>
      <c r="D62" s="9" t="s">
        <v>261</v>
      </c>
      <c r="E62" s="9" t="s">
        <v>237</v>
      </c>
      <c r="F62" s="9" t="s">
        <v>367</v>
      </c>
      <c r="G62" s="9" t="s">
        <v>368</v>
      </c>
      <c r="H62" s="9" t="s">
        <v>238</v>
      </c>
      <c r="I62" s="20" t="n">
        <f aca="false">Controls!B12</f>
        <v>2</v>
      </c>
      <c r="J62" s="11" t="s">
        <v>73</v>
      </c>
      <c r="K62" s="11" t="s">
        <v>41</v>
      </c>
    </row>
    <row r="63" customFormat="false" ht="15" hidden="false" customHeight="false" outlineLevel="0" collapsed="false">
      <c r="A63" s="9" t="s">
        <v>373</v>
      </c>
      <c r="B63" s="9" t="s">
        <v>263</v>
      </c>
      <c r="C63" s="9" t="s">
        <v>260</v>
      </c>
      <c r="D63" s="9" t="s">
        <v>261</v>
      </c>
      <c r="E63" s="9" t="s">
        <v>241</v>
      </c>
      <c r="F63" s="9" t="s">
        <v>358</v>
      </c>
      <c r="G63" s="9" t="s">
        <v>359</v>
      </c>
      <c r="H63" s="9" t="s">
        <v>242</v>
      </c>
      <c r="I63" s="20" t="n">
        <f aca="false">Controls!B12</f>
        <v>2</v>
      </c>
      <c r="J63" s="11" t="s">
        <v>73</v>
      </c>
      <c r="K63" s="11" t="s">
        <v>41</v>
      </c>
    </row>
    <row r="64" customFormat="false" ht="15" hidden="false" customHeight="false" outlineLevel="0" collapsed="false">
      <c r="A64" s="9" t="s">
        <v>374</v>
      </c>
      <c r="B64" s="9" t="s">
        <v>263</v>
      </c>
      <c r="C64" s="9" t="s">
        <v>260</v>
      </c>
      <c r="D64" s="9" t="s">
        <v>261</v>
      </c>
      <c r="E64" s="9" t="s">
        <v>241</v>
      </c>
      <c r="F64" s="9" t="s">
        <v>361</v>
      </c>
      <c r="G64" s="9" t="s">
        <v>362</v>
      </c>
      <c r="H64" s="9" t="s">
        <v>242</v>
      </c>
      <c r="I64" s="20" t="n">
        <f aca="false">Controls!B12</f>
        <v>2</v>
      </c>
      <c r="J64" s="11" t="s">
        <v>73</v>
      </c>
      <c r="K64" s="11" t="s">
        <v>41</v>
      </c>
    </row>
    <row r="65" customFormat="false" ht="15" hidden="false" customHeight="false" outlineLevel="0" collapsed="false">
      <c r="A65" s="9" t="s">
        <v>375</v>
      </c>
      <c r="B65" s="9" t="s">
        <v>263</v>
      </c>
      <c r="C65" s="9" t="s">
        <v>260</v>
      </c>
      <c r="D65" s="9" t="s">
        <v>261</v>
      </c>
      <c r="E65" s="9" t="s">
        <v>241</v>
      </c>
      <c r="F65" s="9" t="s">
        <v>364</v>
      </c>
      <c r="G65" s="9" t="s">
        <v>365</v>
      </c>
      <c r="H65" s="9" t="s">
        <v>242</v>
      </c>
      <c r="I65" s="20" t="n">
        <f aca="false">Controls!B12</f>
        <v>2</v>
      </c>
      <c r="J65" s="11" t="s">
        <v>73</v>
      </c>
      <c r="K65" s="11" t="s">
        <v>41</v>
      </c>
    </row>
    <row r="66" customFormat="false" ht="15" hidden="false" customHeight="false" outlineLevel="0" collapsed="false">
      <c r="A66" s="9" t="s">
        <v>376</v>
      </c>
      <c r="B66" s="9" t="s">
        <v>263</v>
      </c>
      <c r="C66" s="9" t="s">
        <v>260</v>
      </c>
      <c r="D66" s="9" t="s">
        <v>261</v>
      </c>
      <c r="E66" s="9" t="s">
        <v>241</v>
      </c>
      <c r="F66" s="9" t="s">
        <v>367</v>
      </c>
      <c r="G66" s="9" t="s">
        <v>368</v>
      </c>
      <c r="H66" s="9" t="s">
        <v>242</v>
      </c>
      <c r="I66" s="20" t="n">
        <f aca="false">Controls!B12</f>
        <v>2</v>
      </c>
      <c r="J66" s="11" t="s">
        <v>73</v>
      </c>
      <c r="K66" s="11" t="s">
        <v>41</v>
      </c>
    </row>
    <row r="67" customFormat="false" ht="15" hidden="false" customHeight="false" outlineLevel="0" collapsed="false">
      <c r="A67" s="9" t="s">
        <v>377</v>
      </c>
      <c r="B67" s="9" t="s">
        <v>264</v>
      </c>
      <c r="C67" s="9" t="s">
        <v>265</v>
      </c>
      <c r="D67" s="9" t="s">
        <v>266</v>
      </c>
      <c r="E67" s="9" t="s">
        <v>232</v>
      </c>
      <c r="F67" s="9" t="s">
        <v>378</v>
      </c>
      <c r="G67" s="9" t="s">
        <v>379</v>
      </c>
      <c r="H67" s="9" t="s">
        <v>233</v>
      </c>
      <c r="I67" s="20" t="n">
        <f aca="false">Controls!B12</f>
        <v>2</v>
      </c>
      <c r="J67" s="11" t="s">
        <v>73</v>
      </c>
      <c r="K67" s="11" t="s">
        <v>41</v>
      </c>
    </row>
    <row r="68" customFormat="false" ht="15" hidden="false" customHeight="false" outlineLevel="0" collapsed="false">
      <c r="A68" s="9" t="s">
        <v>380</v>
      </c>
      <c r="B68" s="9" t="s">
        <v>264</v>
      </c>
      <c r="C68" s="9" t="s">
        <v>265</v>
      </c>
      <c r="D68" s="9" t="s">
        <v>266</v>
      </c>
      <c r="E68" s="9" t="s">
        <v>232</v>
      </c>
      <c r="F68" s="9" t="s">
        <v>381</v>
      </c>
      <c r="G68" s="9" t="s">
        <v>382</v>
      </c>
      <c r="H68" s="9" t="s">
        <v>233</v>
      </c>
      <c r="I68" s="20" t="n">
        <f aca="false">Controls!B12</f>
        <v>2</v>
      </c>
      <c r="J68" s="11" t="s">
        <v>73</v>
      </c>
      <c r="K68" s="11" t="s">
        <v>41</v>
      </c>
    </row>
    <row r="69" customFormat="false" ht="15" hidden="false" customHeight="false" outlineLevel="0" collapsed="false">
      <c r="A69" s="9" t="s">
        <v>383</v>
      </c>
      <c r="B69" s="9" t="s">
        <v>264</v>
      </c>
      <c r="C69" s="9" t="s">
        <v>265</v>
      </c>
      <c r="D69" s="9" t="s">
        <v>266</v>
      </c>
      <c r="E69" s="9" t="s">
        <v>232</v>
      </c>
      <c r="F69" s="9" t="s">
        <v>384</v>
      </c>
      <c r="G69" s="9" t="s">
        <v>385</v>
      </c>
      <c r="H69" s="9" t="s">
        <v>233</v>
      </c>
      <c r="I69" s="20" t="n">
        <f aca="false">Controls!B12</f>
        <v>2</v>
      </c>
      <c r="J69" s="11" t="s">
        <v>73</v>
      </c>
      <c r="K69" s="11" t="s">
        <v>41</v>
      </c>
    </row>
    <row r="70" customFormat="false" ht="15" hidden="false" customHeight="false" outlineLevel="0" collapsed="false">
      <c r="A70" s="9" t="s">
        <v>386</v>
      </c>
      <c r="B70" s="9" t="s">
        <v>264</v>
      </c>
      <c r="C70" s="9" t="s">
        <v>265</v>
      </c>
      <c r="D70" s="9" t="s">
        <v>266</v>
      </c>
      <c r="E70" s="9" t="s">
        <v>232</v>
      </c>
      <c r="F70" s="9" t="s">
        <v>387</v>
      </c>
      <c r="G70" s="9" t="s">
        <v>388</v>
      </c>
      <c r="H70" s="9" t="s">
        <v>233</v>
      </c>
      <c r="I70" s="20" t="n">
        <f aca="false">Controls!B12</f>
        <v>2</v>
      </c>
      <c r="J70" s="11" t="s">
        <v>73</v>
      </c>
      <c r="K70" s="11" t="s">
        <v>41</v>
      </c>
    </row>
    <row r="71" customFormat="false" ht="15" hidden="false" customHeight="false" outlineLevel="0" collapsed="false">
      <c r="A71" s="9" t="s">
        <v>389</v>
      </c>
      <c r="B71" s="9" t="s">
        <v>267</v>
      </c>
      <c r="C71" s="9" t="s">
        <v>265</v>
      </c>
      <c r="D71" s="9" t="s">
        <v>266</v>
      </c>
      <c r="E71" s="9" t="s">
        <v>237</v>
      </c>
      <c r="F71" s="9" t="s">
        <v>378</v>
      </c>
      <c r="G71" s="9" t="s">
        <v>379</v>
      </c>
      <c r="H71" s="9" t="s">
        <v>238</v>
      </c>
      <c r="I71" s="20" t="n">
        <f aca="false">Controls!B12</f>
        <v>2</v>
      </c>
      <c r="J71" s="11" t="s">
        <v>73</v>
      </c>
      <c r="K71" s="11" t="s">
        <v>41</v>
      </c>
    </row>
    <row r="72" customFormat="false" ht="15" hidden="false" customHeight="false" outlineLevel="0" collapsed="false">
      <c r="A72" s="9" t="s">
        <v>390</v>
      </c>
      <c r="B72" s="9" t="s">
        <v>267</v>
      </c>
      <c r="C72" s="9" t="s">
        <v>265</v>
      </c>
      <c r="D72" s="9" t="s">
        <v>266</v>
      </c>
      <c r="E72" s="9" t="s">
        <v>237</v>
      </c>
      <c r="F72" s="9" t="s">
        <v>381</v>
      </c>
      <c r="G72" s="9" t="s">
        <v>382</v>
      </c>
      <c r="H72" s="9" t="s">
        <v>238</v>
      </c>
      <c r="I72" s="20" t="n">
        <f aca="false">Controls!B12</f>
        <v>2</v>
      </c>
      <c r="J72" s="11" t="s">
        <v>73</v>
      </c>
      <c r="K72" s="11" t="s">
        <v>41</v>
      </c>
    </row>
    <row r="73" customFormat="false" ht="15" hidden="false" customHeight="false" outlineLevel="0" collapsed="false">
      <c r="A73" s="9" t="s">
        <v>391</v>
      </c>
      <c r="B73" s="9" t="s">
        <v>267</v>
      </c>
      <c r="C73" s="9" t="s">
        <v>265</v>
      </c>
      <c r="D73" s="9" t="s">
        <v>266</v>
      </c>
      <c r="E73" s="9" t="s">
        <v>237</v>
      </c>
      <c r="F73" s="9" t="s">
        <v>384</v>
      </c>
      <c r="G73" s="9" t="s">
        <v>385</v>
      </c>
      <c r="H73" s="9" t="s">
        <v>238</v>
      </c>
      <c r="I73" s="20" t="n">
        <f aca="false">Controls!B12</f>
        <v>2</v>
      </c>
      <c r="J73" s="11" t="s">
        <v>73</v>
      </c>
      <c r="K73" s="11" t="s">
        <v>41</v>
      </c>
    </row>
    <row r="74" customFormat="false" ht="15" hidden="false" customHeight="false" outlineLevel="0" collapsed="false">
      <c r="A74" s="9" t="s">
        <v>392</v>
      </c>
      <c r="B74" s="9" t="s">
        <v>267</v>
      </c>
      <c r="C74" s="9" t="s">
        <v>265</v>
      </c>
      <c r="D74" s="9" t="s">
        <v>266</v>
      </c>
      <c r="E74" s="9" t="s">
        <v>237</v>
      </c>
      <c r="F74" s="9" t="s">
        <v>387</v>
      </c>
      <c r="G74" s="9" t="s">
        <v>388</v>
      </c>
      <c r="H74" s="9" t="s">
        <v>238</v>
      </c>
      <c r="I74" s="20" t="n">
        <f aca="false">Controls!B12</f>
        <v>2</v>
      </c>
      <c r="J74" s="11" t="s">
        <v>73</v>
      </c>
      <c r="K74" s="11" t="s">
        <v>41</v>
      </c>
    </row>
    <row r="75" customFormat="false" ht="15" hidden="false" customHeight="false" outlineLevel="0" collapsed="false">
      <c r="A75" s="9" t="s">
        <v>393</v>
      </c>
      <c r="B75" s="9" t="s">
        <v>268</v>
      </c>
      <c r="C75" s="9" t="s">
        <v>265</v>
      </c>
      <c r="D75" s="9" t="s">
        <v>266</v>
      </c>
      <c r="E75" s="9" t="s">
        <v>241</v>
      </c>
      <c r="F75" s="9" t="s">
        <v>378</v>
      </c>
      <c r="G75" s="9" t="s">
        <v>379</v>
      </c>
      <c r="H75" s="9" t="s">
        <v>242</v>
      </c>
      <c r="I75" s="20" t="n">
        <f aca="false">Controls!B12</f>
        <v>2</v>
      </c>
      <c r="J75" s="11" t="s">
        <v>73</v>
      </c>
      <c r="K75" s="11" t="s">
        <v>41</v>
      </c>
    </row>
    <row r="76" customFormat="false" ht="15" hidden="false" customHeight="false" outlineLevel="0" collapsed="false">
      <c r="A76" s="9" t="s">
        <v>394</v>
      </c>
      <c r="B76" s="9" t="s">
        <v>268</v>
      </c>
      <c r="C76" s="9" t="s">
        <v>265</v>
      </c>
      <c r="D76" s="9" t="s">
        <v>266</v>
      </c>
      <c r="E76" s="9" t="s">
        <v>241</v>
      </c>
      <c r="F76" s="9" t="s">
        <v>381</v>
      </c>
      <c r="G76" s="9" t="s">
        <v>382</v>
      </c>
      <c r="H76" s="9" t="s">
        <v>242</v>
      </c>
      <c r="I76" s="20" t="n">
        <f aca="false">Controls!B12</f>
        <v>2</v>
      </c>
      <c r="J76" s="11" t="s">
        <v>73</v>
      </c>
      <c r="K76" s="11" t="s">
        <v>41</v>
      </c>
    </row>
    <row r="77" customFormat="false" ht="15" hidden="false" customHeight="false" outlineLevel="0" collapsed="false">
      <c r="A77" s="9" t="s">
        <v>395</v>
      </c>
      <c r="B77" s="9" t="s">
        <v>268</v>
      </c>
      <c r="C77" s="9" t="s">
        <v>265</v>
      </c>
      <c r="D77" s="9" t="s">
        <v>266</v>
      </c>
      <c r="E77" s="9" t="s">
        <v>241</v>
      </c>
      <c r="F77" s="9" t="s">
        <v>384</v>
      </c>
      <c r="G77" s="9" t="s">
        <v>385</v>
      </c>
      <c r="H77" s="9" t="s">
        <v>242</v>
      </c>
      <c r="I77" s="20" t="n">
        <f aca="false">Controls!B12</f>
        <v>2</v>
      </c>
      <c r="J77" s="11" t="s">
        <v>73</v>
      </c>
      <c r="K77" s="11" t="s">
        <v>41</v>
      </c>
    </row>
    <row r="78" customFormat="false" ht="15" hidden="false" customHeight="false" outlineLevel="0" collapsed="false">
      <c r="A78" s="12" t="s">
        <v>396</v>
      </c>
      <c r="B78" s="12" t="s">
        <v>268</v>
      </c>
      <c r="C78" s="12" t="s">
        <v>265</v>
      </c>
      <c r="D78" s="12" t="s">
        <v>266</v>
      </c>
      <c r="E78" s="12" t="s">
        <v>241</v>
      </c>
      <c r="F78" s="12" t="s">
        <v>387</v>
      </c>
      <c r="G78" s="12" t="s">
        <v>388</v>
      </c>
      <c r="H78" s="12" t="s">
        <v>242</v>
      </c>
      <c r="I78" s="23" t="n">
        <f aca="false">Controls!B12</f>
        <v>2</v>
      </c>
      <c r="J78" s="14" t="s">
        <v>73</v>
      </c>
      <c r="K78" s="14" t="s">
        <v>41</v>
      </c>
    </row>
  </sheetData>
  <mergeCells count="2">
    <mergeCell ref="A2:K2"/>
    <mergeCell ref="A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6" style="0" width="19"/>
    <col collapsed="false" customWidth="true" hidden="false" outlineLevel="0" max="8" min="8" style="0" width="26"/>
    <col collapsed="false" customWidth="true" hidden="false" outlineLevel="0" max="9" min="9" style="0" width="11"/>
    <col collapsed="false" customWidth="true" hidden="false" outlineLevel="0" max="11" min="10" style="0" width="24"/>
    <col collapsed="false" customWidth="true" hidden="false" outlineLevel="0" max="12" min="12" style="0" width="12"/>
    <col collapsed="false" customWidth="true" hidden="false" outlineLevel="0" max="13" min="13" style="0" width="14"/>
  </cols>
  <sheetData>
    <row r="2" customFormat="false" ht="24" hidden="false" customHeight="true" outlineLevel="0" collapsed="false">
      <c r="A2" s="1" t="s">
        <v>397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3" t="s">
        <v>398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23" hidden="false" customHeight="true" outlineLevel="0" collapsed="false">
      <c r="A6" s="5" t="s">
        <v>399</v>
      </c>
      <c r="B6" s="6" t="s">
        <v>271</v>
      </c>
      <c r="C6" s="6" t="s">
        <v>216</v>
      </c>
      <c r="D6" s="6" t="s">
        <v>217</v>
      </c>
      <c r="E6" s="6" t="s">
        <v>218</v>
      </c>
      <c r="F6" s="6" t="s">
        <v>219</v>
      </c>
      <c r="G6" s="6" t="s">
        <v>272</v>
      </c>
      <c r="H6" s="6" t="s">
        <v>274</v>
      </c>
      <c r="I6" s="6" t="s">
        <v>400</v>
      </c>
      <c r="J6" s="6" t="s">
        <v>401</v>
      </c>
      <c r="K6" s="6" t="s">
        <v>402</v>
      </c>
      <c r="L6" s="6" t="s">
        <v>403</v>
      </c>
      <c r="M6" s="7" t="s">
        <v>5</v>
      </c>
    </row>
    <row r="7" customFormat="false" ht="15" hidden="false" customHeight="false" outlineLevel="0" collapsed="false">
      <c r="A7" s="18" t="str">
        <f aca="false">"MR-"&amp;'State Bays'!A7&amp;"-L1"</f>
        <v>MR-BAY-ET-CHA-1-L1</v>
      </c>
      <c r="B7" s="18" t="str">
        <f aca="false">'State Bays'!A7</f>
        <v>BAY-ET-CHA-1</v>
      </c>
      <c r="C7" s="18" t="str">
        <f aca="false">'State Bays'!B7</f>
        <v>ST-ET-CHA</v>
      </c>
      <c r="D7" s="18" t="str">
        <f aca="false">'State Bays'!C7</f>
        <v>MS-ET</v>
      </c>
      <c r="E7" s="18" t="str">
        <f aca="false">'State Bays'!D7</f>
        <v>ET-A</v>
      </c>
      <c r="F7" s="18" t="str">
        <f aca="false">'State Bays'!E7</f>
        <v>CHALLENGE</v>
      </c>
      <c r="G7" s="18" t="str">
        <f aca="false">'State Bays'!F7</f>
        <v>ET-RS1</v>
      </c>
      <c r="H7" s="18" t="str">
        <f aca="false">'State Bays'!H7</f>
        <v>DENIED CONDITION</v>
      </c>
      <c r="I7" s="8" t="s">
        <v>404</v>
      </c>
      <c r="J7" s="30" t="s">
        <v>73</v>
      </c>
      <c r="K7" s="30" t="s">
        <v>73</v>
      </c>
      <c r="L7" s="30" t="n">
        <v>0</v>
      </c>
      <c r="M7" s="30" t="s">
        <v>41</v>
      </c>
    </row>
    <row r="8" customFormat="false" ht="15" hidden="false" customHeight="false" outlineLevel="0" collapsed="false">
      <c r="A8" s="20" t="str">
        <f aca="false">"MR-"&amp;'State Bays'!A7&amp;"-L2"</f>
        <v>MR-BAY-ET-CHA-1-L2</v>
      </c>
      <c r="B8" s="20" t="str">
        <f aca="false">'State Bays'!A7</f>
        <v>BAY-ET-CHA-1</v>
      </c>
      <c r="C8" s="20" t="str">
        <f aca="false">'State Bays'!B7</f>
        <v>ST-ET-CHA</v>
      </c>
      <c r="D8" s="20" t="str">
        <f aca="false">'State Bays'!C7</f>
        <v>MS-ET</v>
      </c>
      <c r="E8" s="20" t="str">
        <f aca="false">'State Bays'!D7</f>
        <v>ET-A</v>
      </c>
      <c r="F8" s="20" t="str">
        <f aca="false">'State Bays'!E7</f>
        <v>CHALLENGE</v>
      </c>
      <c r="G8" s="20" t="str">
        <f aca="false">'State Bays'!F7</f>
        <v>ET-RS1</v>
      </c>
      <c r="H8" s="20" t="str">
        <f aca="false">'State Bays'!H7</f>
        <v>DENIED CONDITION</v>
      </c>
      <c r="I8" s="9" t="s">
        <v>405</v>
      </c>
      <c r="J8" s="11" t="s">
        <v>73</v>
      </c>
      <c r="K8" s="11" t="s">
        <v>73</v>
      </c>
      <c r="L8" s="11" t="n">
        <v>0</v>
      </c>
      <c r="M8" s="11" t="s">
        <v>41</v>
      </c>
    </row>
    <row r="9" customFormat="false" ht="15" hidden="false" customHeight="false" outlineLevel="0" collapsed="false">
      <c r="A9" s="20" t="str">
        <f aca="false">"MR-"&amp;'State Bays'!A8&amp;"-L1"</f>
        <v>MR-BAY-ET-CHA-2-L1</v>
      </c>
      <c r="B9" s="20" t="str">
        <f aca="false">'State Bays'!A8</f>
        <v>BAY-ET-CHA-2</v>
      </c>
      <c r="C9" s="20" t="str">
        <f aca="false">'State Bays'!B8</f>
        <v>ST-ET-CHA</v>
      </c>
      <c r="D9" s="20" t="str">
        <f aca="false">'State Bays'!C8</f>
        <v>MS-ET</v>
      </c>
      <c r="E9" s="20" t="str">
        <f aca="false">'State Bays'!D8</f>
        <v>ET-A</v>
      </c>
      <c r="F9" s="20" t="str">
        <f aca="false">'State Bays'!E8</f>
        <v>CHALLENGE</v>
      </c>
      <c r="G9" s="20" t="str">
        <f aca="false">'State Bays'!F8</f>
        <v>ET-RS2</v>
      </c>
      <c r="H9" s="20" t="str">
        <f aca="false">'State Bays'!H8</f>
        <v>DENIED CONDITION</v>
      </c>
      <c r="I9" s="9" t="s">
        <v>404</v>
      </c>
      <c r="J9" s="11" t="s">
        <v>73</v>
      </c>
      <c r="K9" s="11" t="s">
        <v>73</v>
      </c>
      <c r="L9" s="11" t="n">
        <v>0</v>
      </c>
      <c r="M9" s="11" t="s">
        <v>41</v>
      </c>
    </row>
    <row r="10" customFormat="false" ht="15" hidden="false" customHeight="false" outlineLevel="0" collapsed="false">
      <c r="A10" s="20" t="str">
        <f aca="false">"MR-"&amp;'State Bays'!A8&amp;"-L2"</f>
        <v>MR-BAY-ET-CHA-2-L2</v>
      </c>
      <c r="B10" s="20" t="str">
        <f aca="false">'State Bays'!A8</f>
        <v>BAY-ET-CHA-2</v>
      </c>
      <c r="C10" s="20" t="str">
        <f aca="false">'State Bays'!B8</f>
        <v>ST-ET-CHA</v>
      </c>
      <c r="D10" s="20" t="str">
        <f aca="false">'State Bays'!C8</f>
        <v>MS-ET</v>
      </c>
      <c r="E10" s="20" t="str">
        <f aca="false">'State Bays'!D8</f>
        <v>ET-A</v>
      </c>
      <c r="F10" s="20" t="str">
        <f aca="false">'State Bays'!E8</f>
        <v>CHALLENGE</v>
      </c>
      <c r="G10" s="20" t="str">
        <f aca="false">'State Bays'!F8</f>
        <v>ET-RS2</v>
      </c>
      <c r="H10" s="20" t="str">
        <f aca="false">'State Bays'!H8</f>
        <v>DENIED CONDITION</v>
      </c>
      <c r="I10" s="9" t="s">
        <v>405</v>
      </c>
      <c r="J10" s="11" t="s">
        <v>73</v>
      </c>
      <c r="K10" s="11" t="s">
        <v>73</v>
      </c>
      <c r="L10" s="11" t="n">
        <v>0</v>
      </c>
      <c r="M10" s="11" t="s">
        <v>41</v>
      </c>
    </row>
    <row r="11" customFormat="false" ht="15" hidden="false" customHeight="false" outlineLevel="0" collapsed="false">
      <c r="A11" s="20" t="str">
        <f aca="false">"MR-"&amp;'State Bays'!A9&amp;"-L1"</f>
        <v>MR-BAY-ET-CHA-3-L1</v>
      </c>
      <c r="B11" s="20" t="str">
        <f aca="false">'State Bays'!A9</f>
        <v>BAY-ET-CHA-3</v>
      </c>
      <c r="C11" s="20" t="str">
        <f aca="false">'State Bays'!B9</f>
        <v>ST-ET-CHA</v>
      </c>
      <c r="D11" s="20" t="str">
        <f aca="false">'State Bays'!C9</f>
        <v>MS-ET</v>
      </c>
      <c r="E11" s="20" t="str">
        <f aca="false">'State Bays'!D9</f>
        <v>ET-A</v>
      </c>
      <c r="F11" s="20" t="str">
        <f aca="false">'State Bays'!E9</f>
        <v>CHALLENGE</v>
      </c>
      <c r="G11" s="20" t="str">
        <f aca="false">'State Bays'!F9</f>
        <v>ET-RS3</v>
      </c>
      <c r="H11" s="20" t="str">
        <f aca="false">'State Bays'!H9</f>
        <v>DENIED CONDITION</v>
      </c>
      <c r="I11" s="9" t="s">
        <v>404</v>
      </c>
      <c r="J11" s="11" t="s">
        <v>73</v>
      </c>
      <c r="K11" s="11" t="s">
        <v>73</v>
      </c>
      <c r="L11" s="11" t="n">
        <v>0</v>
      </c>
      <c r="M11" s="11" t="s">
        <v>41</v>
      </c>
    </row>
    <row r="12" customFormat="false" ht="15" hidden="false" customHeight="false" outlineLevel="0" collapsed="false">
      <c r="A12" s="20" t="str">
        <f aca="false">"MR-"&amp;'State Bays'!A9&amp;"-L2"</f>
        <v>MR-BAY-ET-CHA-3-L2</v>
      </c>
      <c r="B12" s="20" t="str">
        <f aca="false">'State Bays'!A9</f>
        <v>BAY-ET-CHA-3</v>
      </c>
      <c r="C12" s="20" t="str">
        <f aca="false">'State Bays'!B9</f>
        <v>ST-ET-CHA</v>
      </c>
      <c r="D12" s="20" t="str">
        <f aca="false">'State Bays'!C9</f>
        <v>MS-ET</v>
      </c>
      <c r="E12" s="20" t="str">
        <f aca="false">'State Bays'!D9</f>
        <v>ET-A</v>
      </c>
      <c r="F12" s="20" t="str">
        <f aca="false">'State Bays'!E9</f>
        <v>CHALLENGE</v>
      </c>
      <c r="G12" s="20" t="str">
        <f aca="false">'State Bays'!F9</f>
        <v>ET-RS3</v>
      </c>
      <c r="H12" s="20" t="str">
        <f aca="false">'State Bays'!H9</f>
        <v>DENIED CONDITION</v>
      </c>
      <c r="I12" s="9" t="s">
        <v>405</v>
      </c>
      <c r="J12" s="11" t="s">
        <v>73</v>
      </c>
      <c r="K12" s="11" t="s">
        <v>73</v>
      </c>
      <c r="L12" s="11" t="n">
        <v>0</v>
      </c>
      <c r="M12" s="11" t="s">
        <v>41</v>
      </c>
    </row>
    <row r="13" customFormat="false" ht="15" hidden="false" customHeight="false" outlineLevel="0" collapsed="false">
      <c r="A13" s="20" t="str">
        <f aca="false">"MR-"&amp;'State Bays'!A10&amp;"-L1"</f>
        <v>MR-BAY-ET-CHA-4-L1</v>
      </c>
      <c r="B13" s="20" t="str">
        <f aca="false">'State Bays'!A10</f>
        <v>BAY-ET-CHA-4</v>
      </c>
      <c r="C13" s="20" t="str">
        <f aca="false">'State Bays'!B10</f>
        <v>ST-ET-CHA</v>
      </c>
      <c r="D13" s="20" t="str">
        <f aca="false">'State Bays'!C10</f>
        <v>MS-ET</v>
      </c>
      <c r="E13" s="20" t="str">
        <f aca="false">'State Bays'!D10</f>
        <v>ET-A</v>
      </c>
      <c r="F13" s="20" t="str">
        <f aca="false">'State Bays'!E10</f>
        <v>CHALLENGE</v>
      </c>
      <c r="G13" s="20" t="str">
        <f aca="false">'State Bays'!F10</f>
        <v>ET-RS4</v>
      </c>
      <c r="H13" s="20" t="str">
        <f aca="false">'State Bays'!H10</f>
        <v>DENIED CONDITION</v>
      </c>
      <c r="I13" s="9" t="s">
        <v>404</v>
      </c>
      <c r="J13" s="11" t="s">
        <v>73</v>
      </c>
      <c r="K13" s="11" t="s">
        <v>73</v>
      </c>
      <c r="L13" s="11" t="n">
        <v>0</v>
      </c>
      <c r="M13" s="11" t="s">
        <v>41</v>
      </c>
    </row>
    <row r="14" customFormat="false" ht="15" hidden="false" customHeight="false" outlineLevel="0" collapsed="false">
      <c r="A14" s="20" t="str">
        <f aca="false">"MR-"&amp;'State Bays'!A10&amp;"-L2"</f>
        <v>MR-BAY-ET-CHA-4-L2</v>
      </c>
      <c r="B14" s="20" t="str">
        <f aca="false">'State Bays'!A10</f>
        <v>BAY-ET-CHA-4</v>
      </c>
      <c r="C14" s="20" t="str">
        <f aca="false">'State Bays'!B10</f>
        <v>ST-ET-CHA</v>
      </c>
      <c r="D14" s="20" t="str">
        <f aca="false">'State Bays'!C10</f>
        <v>MS-ET</v>
      </c>
      <c r="E14" s="20" t="str">
        <f aca="false">'State Bays'!D10</f>
        <v>ET-A</v>
      </c>
      <c r="F14" s="20" t="str">
        <f aca="false">'State Bays'!E10</f>
        <v>CHALLENGE</v>
      </c>
      <c r="G14" s="20" t="str">
        <f aca="false">'State Bays'!F10</f>
        <v>ET-RS4</v>
      </c>
      <c r="H14" s="20" t="str">
        <f aca="false">'State Bays'!H10</f>
        <v>DENIED CONDITION</v>
      </c>
      <c r="I14" s="9" t="s">
        <v>405</v>
      </c>
      <c r="J14" s="11" t="s">
        <v>73</v>
      </c>
      <c r="K14" s="11" t="s">
        <v>73</v>
      </c>
      <c r="L14" s="11" t="n">
        <v>0</v>
      </c>
      <c r="M14" s="11" t="s">
        <v>41</v>
      </c>
    </row>
    <row r="15" customFormat="false" ht="15" hidden="false" customHeight="false" outlineLevel="0" collapsed="false">
      <c r="A15" s="20" t="str">
        <f aca="false">"MR-"&amp;'State Bays'!A11&amp;"-L1"</f>
        <v>MR-BAY-ET-CON-1-L1</v>
      </c>
      <c r="B15" s="20" t="str">
        <f aca="false">'State Bays'!A11</f>
        <v>BAY-ET-CON-1</v>
      </c>
      <c r="C15" s="20" t="str">
        <f aca="false">'State Bays'!B11</f>
        <v>ST-ET-CON</v>
      </c>
      <c r="D15" s="20" t="str">
        <f aca="false">'State Bays'!C11</f>
        <v>MS-ET</v>
      </c>
      <c r="E15" s="20" t="str">
        <f aca="false">'State Bays'!D11</f>
        <v>ET-A</v>
      </c>
      <c r="F15" s="20" t="str">
        <f aca="false">'State Bays'!E11</f>
        <v>CONTROL</v>
      </c>
      <c r="G15" s="20" t="str">
        <f aca="false">'State Bays'!F11</f>
        <v>ET-RS1</v>
      </c>
      <c r="H15" s="20" t="str">
        <f aca="false">'State Bays'!H11</f>
        <v>LOAD AND QUALITY</v>
      </c>
      <c r="I15" s="9" t="s">
        <v>404</v>
      </c>
      <c r="J15" s="11" t="s">
        <v>73</v>
      </c>
      <c r="K15" s="11" t="s">
        <v>73</v>
      </c>
      <c r="L15" s="11" t="n">
        <v>0</v>
      </c>
      <c r="M15" s="11" t="s">
        <v>41</v>
      </c>
    </row>
    <row r="16" customFormat="false" ht="15" hidden="false" customHeight="false" outlineLevel="0" collapsed="false">
      <c r="A16" s="20" t="str">
        <f aca="false">"MR-"&amp;'State Bays'!A11&amp;"-L2"</f>
        <v>MR-BAY-ET-CON-1-L2</v>
      </c>
      <c r="B16" s="20" t="str">
        <f aca="false">'State Bays'!A11</f>
        <v>BAY-ET-CON-1</v>
      </c>
      <c r="C16" s="20" t="str">
        <f aca="false">'State Bays'!B11</f>
        <v>ST-ET-CON</v>
      </c>
      <c r="D16" s="20" t="str">
        <f aca="false">'State Bays'!C11</f>
        <v>MS-ET</v>
      </c>
      <c r="E16" s="20" t="str">
        <f aca="false">'State Bays'!D11</f>
        <v>ET-A</v>
      </c>
      <c r="F16" s="20" t="str">
        <f aca="false">'State Bays'!E11</f>
        <v>CONTROL</v>
      </c>
      <c r="G16" s="20" t="str">
        <f aca="false">'State Bays'!F11</f>
        <v>ET-RS1</v>
      </c>
      <c r="H16" s="20" t="str">
        <f aca="false">'State Bays'!H11</f>
        <v>LOAD AND QUALITY</v>
      </c>
      <c r="I16" s="9" t="s">
        <v>405</v>
      </c>
      <c r="J16" s="11" t="s">
        <v>73</v>
      </c>
      <c r="K16" s="11" t="s">
        <v>73</v>
      </c>
      <c r="L16" s="11" t="n">
        <v>0</v>
      </c>
      <c r="M16" s="11" t="s">
        <v>41</v>
      </c>
    </row>
    <row r="17" customFormat="false" ht="15" hidden="false" customHeight="false" outlineLevel="0" collapsed="false">
      <c r="A17" s="20" t="str">
        <f aca="false">"MR-"&amp;'State Bays'!A12&amp;"-L1"</f>
        <v>MR-BAY-ET-CON-2-L1</v>
      </c>
      <c r="B17" s="20" t="str">
        <f aca="false">'State Bays'!A12</f>
        <v>BAY-ET-CON-2</v>
      </c>
      <c r="C17" s="20" t="str">
        <f aca="false">'State Bays'!B12</f>
        <v>ST-ET-CON</v>
      </c>
      <c r="D17" s="20" t="str">
        <f aca="false">'State Bays'!C12</f>
        <v>MS-ET</v>
      </c>
      <c r="E17" s="20" t="str">
        <f aca="false">'State Bays'!D12</f>
        <v>ET-A</v>
      </c>
      <c r="F17" s="20" t="str">
        <f aca="false">'State Bays'!E12</f>
        <v>CONTROL</v>
      </c>
      <c r="G17" s="20" t="str">
        <f aca="false">'State Bays'!F12</f>
        <v>ET-RS2</v>
      </c>
      <c r="H17" s="20" t="str">
        <f aca="false">'State Bays'!H12</f>
        <v>LOAD AND QUALITY</v>
      </c>
      <c r="I17" s="9" t="s">
        <v>404</v>
      </c>
      <c r="J17" s="11" t="s">
        <v>73</v>
      </c>
      <c r="K17" s="11" t="s">
        <v>73</v>
      </c>
      <c r="L17" s="11" t="n">
        <v>0</v>
      </c>
      <c r="M17" s="11" t="s">
        <v>41</v>
      </c>
    </row>
    <row r="18" customFormat="false" ht="15" hidden="false" customHeight="false" outlineLevel="0" collapsed="false">
      <c r="A18" s="20" t="str">
        <f aca="false">"MR-"&amp;'State Bays'!A12&amp;"-L2"</f>
        <v>MR-BAY-ET-CON-2-L2</v>
      </c>
      <c r="B18" s="20" t="str">
        <f aca="false">'State Bays'!A12</f>
        <v>BAY-ET-CON-2</v>
      </c>
      <c r="C18" s="20" t="str">
        <f aca="false">'State Bays'!B12</f>
        <v>ST-ET-CON</v>
      </c>
      <c r="D18" s="20" t="str">
        <f aca="false">'State Bays'!C12</f>
        <v>MS-ET</v>
      </c>
      <c r="E18" s="20" t="str">
        <f aca="false">'State Bays'!D12</f>
        <v>ET-A</v>
      </c>
      <c r="F18" s="20" t="str">
        <f aca="false">'State Bays'!E12</f>
        <v>CONTROL</v>
      </c>
      <c r="G18" s="20" t="str">
        <f aca="false">'State Bays'!F12</f>
        <v>ET-RS2</v>
      </c>
      <c r="H18" s="20" t="str">
        <f aca="false">'State Bays'!H12</f>
        <v>LOAD AND QUALITY</v>
      </c>
      <c r="I18" s="9" t="s">
        <v>405</v>
      </c>
      <c r="J18" s="11" t="s">
        <v>73</v>
      </c>
      <c r="K18" s="11" t="s">
        <v>73</v>
      </c>
      <c r="L18" s="11" t="n">
        <v>0</v>
      </c>
      <c r="M18" s="11" t="s">
        <v>41</v>
      </c>
    </row>
    <row r="19" customFormat="false" ht="15" hidden="false" customHeight="false" outlineLevel="0" collapsed="false">
      <c r="A19" s="20" t="str">
        <f aca="false">"MR-"&amp;'State Bays'!A13&amp;"-L1"</f>
        <v>MR-BAY-ET-CON-3-L1</v>
      </c>
      <c r="B19" s="20" t="str">
        <f aca="false">'State Bays'!A13</f>
        <v>BAY-ET-CON-3</v>
      </c>
      <c r="C19" s="20" t="str">
        <f aca="false">'State Bays'!B13</f>
        <v>ST-ET-CON</v>
      </c>
      <c r="D19" s="20" t="str">
        <f aca="false">'State Bays'!C13</f>
        <v>MS-ET</v>
      </c>
      <c r="E19" s="20" t="str">
        <f aca="false">'State Bays'!D13</f>
        <v>ET-A</v>
      </c>
      <c r="F19" s="20" t="str">
        <f aca="false">'State Bays'!E13</f>
        <v>CONTROL</v>
      </c>
      <c r="G19" s="20" t="str">
        <f aca="false">'State Bays'!F13</f>
        <v>ET-RS3</v>
      </c>
      <c r="H19" s="20" t="str">
        <f aca="false">'State Bays'!H13</f>
        <v>LOAD AND QUALITY</v>
      </c>
      <c r="I19" s="9" t="s">
        <v>404</v>
      </c>
      <c r="J19" s="11" t="s">
        <v>73</v>
      </c>
      <c r="K19" s="11" t="s">
        <v>73</v>
      </c>
      <c r="L19" s="11" t="n">
        <v>0</v>
      </c>
      <c r="M19" s="11" t="s">
        <v>41</v>
      </c>
    </row>
    <row r="20" customFormat="false" ht="15" hidden="false" customHeight="false" outlineLevel="0" collapsed="false">
      <c r="A20" s="20" t="str">
        <f aca="false">"MR-"&amp;'State Bays'!A13&amp;"-L2"</f>
        <v>MR-BAY-ET-CON-3-L2</v>
      </c>
      <c r="B20" s="20" t="str">
        <f aca="false">'State Bays'!A13</f>
        <v>BAY-ET-CON-3</v>
      </c>
      <c r="C20" s="20" t="str">
        <f aca="false">'State Bays'!B13</f>
        <v>ST-ET-CON</v>
      </c>
      <c r="D20" s="20" t="str">
        <f aca="false">'State Bays'!C13</f>
        <v>MS-ET</v>
      </c>
      <c r="E20" s="20" t="str">
        <f aca="false">'State Bays'!D13</f>
        <v>ET-A</v>
      </c>
      <c r="F20" s="20" t="str">
        <f aca="false">'State Bays'!E13</f>
        <v>CONTROL</v>
      </c>
      <c r="G20" s="20" t="str">
        <f aca="false">'State Bays'!F13</f>
        <v>ET-RS3</v>
      </c>
      <c r="H20" s="20" t="str">
        <f aca="false">'State Bays'!H13</f>
        <v>LOAD AND QUALITY</v>
      </c>
      <c r="I20" s="9" t="s">
        <v>405</v>
      </c>
      <c r="J20" s="11" t="s">
        <v>73</v>
      </c>
      <c r="K20" s="11" t="s">
        <v>73</v>
      </c>
      <c r="L20" s="11" t="n">
        <v>0</v>
      </c>
      <c r="M20" s="11" t="s">
        <v>41</v>
      </c>
    </row>
    <row r="21" customFormat="false" ht="15" hidden="false" customHeight="false" outlineLevel="0" collapsed="false">
      <c r="A21" s="20" t="str">
        <f aca="false">"MR-"&amp;'State Bays'!A14&amp;"-L1"</f>
        <v>MR-BAY-ET-CON-4-L1</v>
      </c>
      <c r="B21" s="20" t="str">
        <f aca="false">'State Bays'!A14</f>
        <v>BAY-ET-CON-4</v>
      </c>
      <c r="C21" s="20" t="str">
        <f aca="false">'State Bays'!B14</f>
        <v>ST-ET-CON</v>
      </c>
      <c r="D21" s="20" t="str">
        <f aca="false">'State Bays'!C14</f>
        <v>MS-ET</v>
      </c>
      <c r="E21" s="20" t="str">
        <f aca="false">'State Bays'!D14</f>
        <v>ET-A</v>
      </c>
      <c r="F21" s="20" t="str">
        <f aca="false">'State Bays'!E14</f>
        <v>CONTROL</v>
      </c>
      <c r="G21" s="20" t="str">
        <f aca="false">'State Bays'!F14</f>
        <v>ET-RS4</v>
      </c>
      <c r="H21" s="20" t="str">
        <f aca="false">'State Bays'!H14</f>
        <v>LOAD AND QUALITY</v>
      </c>
      <c r="I21" s="9" t="s">
        <v>404</v>
      </c>
      <c r="J21" s="11" t="s">
        <v>73</v>
      </c>
      <c r="K21" s="11" t="s">
        <v>73</v>
      </c>
      <c r="L21" s="11" t="n">
        <v>0</v>
      </c>
      <c r="M21" s="11" t="s">
        <v>41</v>
      </c>
    </row>
    <row r="22" customFormat="false" ht="15" hidden="false" customHeight="false" outlineLevel="0" collapsed="false">
      <c r="A22" s="20" t="str">
        <f aca="false">"MR-"&amp;'State Bays'!A14&amp;"-L2"</f>
        <v>MR-BAY-ET-CON-4-L2</v>
      </c>
      <c r="B22" s="20" t="str">
        <f aca="false">'State Bays'!A14</f>
        <v>BAY-ET-CON-4</v>
      </c>
      <c r="C22" s="20" t="str">
        <f aca="false">'State Bays'!B14</f>
        <v>ST-ET-CON</v>
      </c>
      <c r="D22" s="20" t="str">
        <f aca="false">'State Bays'!C14</f>
        <v>MS-ET</v>
      </c>
      <c r="E22" s="20" t="str">
        <f aca="false">'State Bays'!D14</f>
        <v>ET-A</v>
      </c>
      <c r="F22" s="20" t="str">
        <f aca="false">'State Bays'!E14</f>
        <v>CONTROL</v>
      </c>
      <c r="G22" s="20" t="str">
        <f aca="false">'State Bays'!F14</f>
        <v>ET-RS4</v>
      </c>
      <c r="H22" s="20" t="str">
        <f aca="false">'State Bays'!H14</f>
        <v>LOAD AND QUALITY</v>
      </c>
      <c r="I22" s="9" t="s">
        <v>405</v>
      </c>
      <c r="J22" s="11" t="s">
        <v>73</v>
      </c>
      <c r="K22" s="11" t="s">
        <v>73</v>
      </c>
      <c r="L22" s="11" t="n">
        <v>0</v>
      </c>
      <c r="M22" s="11" t="s">
        <v>41</v>
      </c>
    </row>
    <row r="23" customFormat="false" ht="15" hidden="false" customHeight="false" outlineLevel="0" collapsed="false">
      <c r="A23" s="20" t="str">
        <f aca="false">"MR-"&amp;'State Bays'!A15&amp;"-L1"</f>
        <v>MR-BAY-ET-REC-1-L1</v>
      </c>
      <c r="B23" s="20" t="str">
        <f aca="false">'State Bays'!A15</f>
        <v>BAY-ET-REC-1</v>
      </c>
      <c r="C23" s="20" t="str">
        <f aca="false">'State Bays'!B15</f>
        <v>ST-ET-REC</v>
      </c>
      <c r="D23" s="20" t="str">
        <f aca="false">'State Bays'!C15</f>
        <v>MS-ET</v>
      </c>
      <c r="E23" s="20" t="str">
        <f aca="false">'State Bays'!D15</f>
        <v>ET-A</v>
      </c>
      <c r="F23" s="20" t="str">
        <f aca="false">'State Bays'!E15</f>
        <v>RECONSTRUCTION</v>
      </c>
      <c r="G23" s="20" t="str">
        <f aca="false">'State Bays'!F15</f>
        <v>ET-RS1</v>
      </c>
      <c r="H23" s="20" t="str">
        <f aca="false">'State Bays'!H15</f>
        <v>RECOVERY AND BURDEN</v>
      </c>
      <c r="I23" s="9" t="s">
        <v>404</v>
      </c>
      <c r="J23" s="11" t="s">
        <v>73</v>
      </c>
      <c r="K23" s="11" t="s">
        <v>73</v>
      </c>
      <c r="L23" s="11" t="n">
        <v>0</v>
      </c>
      <c r="M23" s="11" t="s">
        <v>41</v>
      </c>
    </row>
    <row r="24" customFormat="false" ht="15" hidden="false" customHeight="false" outlineLevel="0" collapsed="false">
      <c r="A24" s="20" t="str">
        <f aca="false">"MR-"&amp;'State Bays'!A15&amp;"-L2"</f>
        <v>MR-BAY-ET-REC-1-L2</v>
      </c>
      <c r="B24" s="20" t="str">
        <f aca="false">'State Bays'!A15</f>
        <v>BAY-ET-REC-1</v>
      </c>
      <c r="C24" s="20" t="str">
        <f aca="false">'State Bays'!B15</f>
        <v>ST-ET-REC</v>
      </c>
      <c r="D24" s="20" t="str">
        <f aca="false">'State Bays'!C15</f>
        <v>MS-ET</v>
      </c>
      <c r="E24" s="20" t="str">
        <f aca="false">'State Bays'!D15</f>
        <v>ET-A</v>
      </c>
      <c r="F24" s="20" t="str">
        <f aca="false">'State Bays'!E15</f>
        <v>RECONSTRUCTION</v>
      </c>
      <c r="G24" s="20" t="str">
        <f aca="false">'State Bays'!F15</f>
        <v>ET-RS1</v>
      </c>
      <c r="H24" s="20" t="str">
        <f aca="false">'State Bays'!H15</f>
        <v>RECOVERY AND BURDEN</v>
      </c>
      <c r="I24" s="9" t="s">
        <v>405</v>
      </c>
      <c r="J24" s="11" t="s">
        <v>73</v>
      </c>
      <c r="K24" s="11" t="s">
        <v>73</v>
      </c>
      <c r="L24" s="11" t="n">
        <v>0</v>
      </c>
      <c r="M24" s="11" t="s">
        <v>41</v>
      </c>
    </row>
    <row r="25" customFormat="false" ht="15" hidden="false" customHeight="false" outlineLevel="0" collapsed="false">
      <c r="A25" s="20" t="str">
        <f aca="false">"MR-"&amp;'State Bays'!A16&amp;"-L1"</f>
        <v>MR-BAY-ET-REC-2-L1</v>
      </c>
      <c r="B25" s="20" t="str">
        <f aca="false">'State Bays'!A16</f>
        <v>BAY-ET-REC-2</v>
      </c>
      <c r="C25" s="20" t="str">
        <f aca="false">'State Bays'!B16</f>
        <v>ST-ET-REC</v>
      </c>
      <c r="D25" s="20" t="str">
        <f aca="false">'State Bays'!C16</f>
        <v>MS-ET</v>
      </c>
      <c r="E25" s="20" t="str">
        <f aca="false">'State Bays'!D16</f>
        <v>ET-A</v>
      </c>
      <c r="F25" s="20" t="str">
        <f aca="false">'State Bays'!E16</f>
        <v>RECONSTRUCTION</v>
      </c>
      <c r="G25" s="20" t="str">
        <f aca="false">'State Bays'!F16</f>
        <v>ET-RS2</v>
      </c>
      <c r="H25" s="20" t="str">
        <f aca="false">'State Bays'!H16</f>
        <v>RECOVERY AND BURDEN</v>
      </c>
      <c r="I25" s="9" t="s">
        <v>404</v>
      </c>
      <c r="J25" s="11" t="s">
        <v>73</v>
      </c>
      <c r="K25" s="11" t="s">
        <v>73</v>
      </c>
      <c r="L25" s="11" t="n">
        <v>0</v>
      </c>
      <c r="M25" s="11" t="s">
        <v>41</v>
      </c>
    </row>
    <row r="26" customFormat="false" ht="15" hidden="false" customHeight="false" outlineLevel="0" collapsed="false">
      <c r="A26" s="20" t="str">
        <f aca="false">"MR-"&amp;'State Bays'!A16&amp;"-L2"</f>
        <v>MR-BAY-ET-REC-2-L2</v>
      </c>
      <c r="B26" s="20" t="str">
        <f aca="false">'State Bays'!A16</f>
        <v>BAY-ET-REC-2</v>
      </c>
      <c r="C26" s="20" t="str">
        <f aca="false">'State Bays'!B16</f>
        <v>ST-ET-REC</v>
      </c>
      <c r="D26" s="20" t="str">
        <f aca="false">'State Bays'!C16</f>
        <v>MS-ET</v>
      </c>
      <c r="E26" s="20" t="str">
        <f aca="false">'State Bays'!D16</f>
        <v>ET-A</v>
      </c>
      <c r="F26" s="20" t="str">
        <f aca="false">'State Bays'!E16</f>
        <v>RECONSTRUCTION</v>
      </c>
      <c r="G26" s="20" t="str">
        <f aca="false">'State Bays'!F16</f>
        <v>ET-RS2</v>
      </c>
      <c r="H26" s="20" t="str">
        <f aca="false">'State Bays'!H16</f>
        <v>RECOVERY AND BURDEN</v>
      </c>
      <c r="I26" s="9" t="s">
        <v>405</v>
      </c>
      <c r="J26" s="11" t="s">
        <v>73</v>
      </c>
      <c r="K26" s="11" t="s">
        <v>73</v>
      </c>
      <c r="L26" s="11" t="n">
        <v>0</v>
      </c>
      <c r="M26" s="11" t="s">
        <v>41</v>
      </c>
    </row>
    <row r="27" customFormat="false" ht="15" hidden="false" customHeight="false" outlineLevel="0" collapsed="false">
      <c r="A27" s="20" t="str">
        <f aca="false">"MR-"&amp;'State Bays'!A17&amp;"-L1"</f>
        <v>MR-BAY-ET-REC-3-L1</v>
      </c>
      <c r="B27" s="20" t="str">
        <f aca="false">'State Bays'!A17</f>
        <v>BAY-ET-REC-3</v>
      </c>
      <c r="C27" s="20" t="str">
        <f aca="false">'State Bays'!B17</f>
        <v>ST-ET-REC</v>
      </c>
      <c r="D27" s="20" t="str">
        <f aca="false">'State Bays'!C17</f>
        <v>MS-ET</v>
      </c>
      <c r="E27" s="20" t="str">
        <f aca="false">'State Bays'!D17</f>
        <v>ET-A</v>
      </c>
      <c r="F27" s="20" t="str">
        <f aca="false">'State Bays'!E17</f>
        <v>RECONSTRUCTION</v>
      </c>
      <c r="G27" s="20" t="str">
        <f aca="false">'State Bays'!F17</f>
        <v>ET-RS3</v>
      </c>
      <c r="H27" s="20" t="str">
        <f aca="false">'State Bays'!H17</f>
        <v>RECOVERY AND BURDEN</v>
      </c>
      <c r="I27" s="9" t="s">
        <v>404</v>
      </c>
      <c r="J27" s="11" t="s">
        <v>73</v>
      </c>
      <c r="K27" s="11" t="s">
        <v>73</v>
      </c>
      <c r="L27" s="11" t="n">
        <v>0</v>
      </c>
      <c r="M27" s="11" t="s">
        <v>41</v>
      </c>
    </row>
    <row r="28" customFormat="false" ht="15" hidden="false" customHeight="false" outlineLevel="0" collapsed="false">
      <c r="A28" s="20" t="str">
        <f aca="false">"MR-"&amp;'State Bays'!A17&amp;"-L2"</f>
        <v>MR-BAY-ET-REC-3-L2</v>
      </c>
      <c r="B28" s="20" t="str">
        <f aca="false">'State Bays'!A17</f>
        <v>BAY-ET-REC-3</v>
      </c>
      <c r="C28" s="20" t="str">
        <f aca="false">'State Bays'!B17</f>
        <v>ST-ET-REC</v>
      </c>
      <c r="D28" s="20" t="str">
        <f aca="false">'State Bays'!C17</f>
        <v>MS-ET</v>
      </c>
      <c r="E28" s="20" t="str">
        <f aca="false">'State Bays'!D17</f>
        <v>ET-A</v>
      </c>
      <c r="F28" s="20" t="str">
        <f aca="false">'State Bays'!E17</f>
        <v>RECONSTRUCTION</v>
      </c>
      <c r="G28" s="20" t="str">
        <f aca="false">'State Bays'!F17</f>
        <v>ET-RS3</v>
      </c>
      <c r="H28" s="20" t="str">
        <f aca="false">'State Bays'!H17</f>
        <v>RECOVERY AND BURDEN</v>
      </c>
      <c r="I28" s="9" t="s">
        <v>405</v>
      </c>
      <c r="J28" s="11" t="s">
        <v>73</v>
      </c>
      <c r="K28" s="11" t="s">
        <v>73</v>
      </c>
      <c r="L28" s="11" t="n">
        <v>0</v>
      </c>
      <c r="M28" s="11" t="s">
        <v>41</v>
      </c>
    </row>
    <row r="29" customFormat="false" ht="15" hidden="false" customHeight="false" outlineLevel="0" collapsed="false">
      <c r="A29" s="20" t="str">
        <f aca="false">"MR-"&amp;'State Bays'!A18&amp;"-L1"</f>
        <v>MR-BAY-ET-REC-4-L1</v>
      </c>
      <c r="B29" s="20" t="str">
        <f aca="false">'State Bays'!A18</f>
        <v>BAY-ET-REC-4</v>
      </c>
      <c r="C29" s="20" t="str">
        <f aca="false">'State Bays'!B18</f>
        <v>ST-ET-REC</v>
      </c>
      <c r="D29" s="20" t="str">
        <f aca="false">'State Bays'!C18</f>
        <v>MS-ET</v>
      </c>
      <c r="E29" s="20" t="str">
        <f aca="false">'State Bays'!D18</f>
        <v>ET-A</v>
      </c>
      <c r="F29" s="20" t="str">
        <f aca="false">'State Bays'!E18</f>
        <v>RECONSTRUCTION</v>
      </c>
      <c r="G29" s="20" t="str">
        <f aca="false">'State Bays'!F18</f>
        <v>ET-RS4</v>
      </c>
      <c r="H29" s="20" t="str">
        <f aca="false">'State Bays'!H18</f>
        <v>RECOVERY AND BURDEN</v>
      </c>
      <c r="I29" s="9" t="s">
        <v>404</v>
      </c>
      <c r="J29" s="11" t="s">
        <v>73</v>
      </c>
      <c r="K29" s="11" t="s">
        <v>73</v>
      </c>
      <c r="L29" s="11" t="n">
        <v>0</v>
      </c>
      <c r="M29" s="11" t="s">
        <v>41</v>
      </c>
    </row>
    <row r="30" customFormat="false" ht="15" hidden="false" customHeight="false" outlineLevel="0" collapsed="false">
      <c r="A30" s="20" t="str">
        <f aca="false">"MR-"&amp;'State Bays'!A18&amp;"-L2"</f>
        <v>MR-BAY-ET-REC-4-L2</v>
      </c>
      <c r="B30" s="20" t="str">
        <f aca="false">'State Bays'!A18</f>
        <v>BAY-ET-REC-4</v>
      </c>
      <c r="C30" s="20" t="str">
        <f aca="false">'State Bays'!B18</f>
        <v>ST-ET-REC</v>
      </c>
      <c r="D30" s="20" t="str">
        <f aca="false">'State Bays'!C18</f>
        <v>MS-ET</v>
      </c>
      <c r="E30" s="20" t="str">
        <f aca="false">'State Bays'!D18</f>
        <v>ET-A</v>
      </c>
      <c r="F30" s="20" t="str">
        <f aca="false">'State Bays'!E18</f>
        <v>RECONSTRUCTION</v>
      </c>
      <c r="G30" s="20" t="str">
        <f aca="false">'State Bays'!F18</f>
        <v>ET-RS4</v>
      </c>
      <c r="H30" s="20" t="str">
        <f aca="false">'State Bays'!H18</f>
        <v>RECOVERY AND BURDEN</v>
      </c>
      <c r="I30" s="9" t="s">
        <v>405</v>
      </c>
      <c r="J30" s="11" t="s">
        <v>73</v>
      </c>
      <c r="K30" s="11" t="s">
        <v>73</v>
      </c>
      <c r="L30" s="11" t="n">
        <v>0</v>
      </c>
      <c r="M30" s="11" t="s">
        <v>41</v>
      </c>
    </row>
    <row r="31" customFormat="false" ht="15" hidden="false" customHeight="false" outlineLevel="0" collapsed="false">
      <c r="A31" s="20" t="str">
        <f aca="false">"MR-"&amp;'State Bays'!A19&amp;"-L1"</f>
        <v>MR-BAY-CT-CHA-1-L1</v>
      </c>
      <c r="B31" s="20" t="str">
        <f aca="false">'State Bays'!A19</f>
        <v>BAY-CT-CHA-1</v>
      </c>
      <c r="C31" s="20" t="str">
        <f aca="false">'State Bays'!B19</f>
        <v>ST-CT-CHA</v>
      </c>
      <c r="D31" s="20" t="str">
        <f aca="false">'State Bays'!C19</f>
        <v>MS-CT</v>
      </c>
      <c r="E31" s="20" t="str">
        <f aca="false">'State Bays'!D19</f>
        <v>CT-C</v>
      </c>
      <c r="F31" s="20" t="str">
        <f aca="false">'State Bays'!E19</f>
        <v>CHALLENGE</v>
      </c>
      <c r="G31" s="20" t="str">
        <f aca="false">'State Bays'!F19</f>
        <v>CT-RS1</v>
      </c>
      <c r="H31" s="20" t="str">
        <f aca="false">'State Bays'!H19</f>
        <v>DENIED CONDITION</v>
      </c>
      <c r="I31" s="9" t="s">
        <v>404</v>
      </c>
      <c r="J31" s="11" t="s">
        <v>73</v>
      </c>
      <c r="K31" s="11" t="s">
        <v>73</v>
      </c>
      <c r="L31" s="11" t="n">
        <v>0</v>
      </c>
      <c r="M31" s="11" t="s">
        <v>41</v>
      </c>
    </row>
    <row r="32" customFormat="false" ht="15" hidden="false" customHeight="false" outlineLevel="0" collapsed="false">
      <c r="A32" s="20" t="str">
        <f aca="false">"MR-"&amp;'State Bays'!A19&amp;"-L2"</f>
        <v>MR-BAY-CT-CHA-1-L2</v>
      </c>
      <c r="B32" s="20" t="str">
        <f aca="false">'State Bays'!A19</f>
        <v>BAY-CT-CHA-1</v>
      </c>
      <c r="C32" s="20" t="str">
        <f aca="false">'State Bays'!B19</f>
        <v>ST-CT-CHA</v>
      </c>
      <c r="D32" s="20" t="str">
        <f aca="false">'State Bays'!C19</f>
        <v>MS-CT</v>
      </c>
      <c r="E32" s="20" t="str">
        <f aca="false">'State Bays'!D19</f>
        <v>CT-C</v>
      </c>
      <c r="F32" s="20" t="str">
        <f aca="false">'State Bays'!E19</f>
        <v>CHALLENGE</v>
      </c>
      <c r="G32" s="20" t="str">
        <f aca="false">'State Bays'!F19</f>
        <v>CT-RS1</v>
      </c>
      <c r="H32" s="20" t="str">
        <f aca="false">'State Bays'!H19</f>
        <v>DENIED CONDITION</v>
      </c>
      <c r="I32" s="9" t="s">
        <v>405</v>
      </c>
      <c r="J32" s="11" t="s">
        <v>73</v>
      </c>
      <c r="K32" s="11" t="s">
        <v>73</v>
      </c>
      <c r="L32" s="11" t="n">
        <v>0</v>
      </c>
      <c r="M32" s="11" t="s">
        <v>41</v>
      </c>
    </row>
    <row r="33" customFormat="false" ht="15" hidden="false" customHeight="false" outlineLevel="0" collapsed="false">
      <c r="A33" s="20" t="str">
        <f aca="false">"MR-"&amp;'State Bays'!A20&amp;"-L1"</f>
        <v>MR-BAY-CT-CHA-2-L1</v>
      </c>
      <c r="B33" s="20" t="str">
        <f aca="false">'State Bays'!A20</f>
        <v>BAY-CT-CHA-2</v>
      </c>
      <c r="C33" s="20" t="str">
        <f aca="false">'State Bays'!B20</f>
        <v>ST-CT-CHA</v>
      </c>
      <c r="D33" s="20" t="str">
        <f aca="false">'State Bays'!C20</f>
        <v>MS-CT</v>
      </c>
      <c r="E33" s="20" t="str">
        <f aca="false">'State Bays'!D20</f>
        <v>CT-C</v>
      </c>
      <c r="F33" s="20" t="str">
        <f aca="false">'State Bays'!E20</f>
        <v>CHALLENGE</v>
      </c>
      <c r="G33" s="20" t="str">
        <f aca="false">'State Bays'!F20</f>
        <v>CT-RS2</v>
      </c>
      <c r="H33" s="20" t="str">
        <f aca="false">'State Bays'!H20</f>
        <v>DENIED CONDITION</v>
      </c>
      <c r="I33" s="9" t="s">
        <v>404</v>
      </c>
      <c r="J33" s="11" t="s">
        <v>73</v>
      </c>
      <c r="K33" s="11" t="s">
        <v>73</v>
      </c>
      <c r="L33" s="11" t="n">
        <v>0</v>
      </c>
      <c r="M33" s="11" t="s">
        <v>41</v>
      </c>
    </row>
    <row r="34" customFormat="false" ht="15" hidden="false" customHeight="false" outlineLevel="0" collapsed="false">
      <c r="A34" s="20" t="str">
        <f aca="false">"MR-"&amp;'State Bays'!A20&amp;"-L2"</f>
        <v>MR-BAY-CT-CHA-2-L2</v>
      </c>
      <c r="B34" s="20" t="str">
        <f aca="false">'State Bays'!A20</f>
        <v>BAY-CT-CHA-2</v>
      </c>
      <c r="C34" s="20" t="str">
        <f aca="false">'State Bays'!B20</f>
        <v>ST-CT-CHA</v>
      </c>
      <c r="D34" s="20" t="str">
        <f aca="false">'State Bays'!C20</f>
        <v>MS-CT</v>
      </c>
      <c r="E34" s="20" t="str">
        <f aca="false">'State Bays'!D20</f>
        <v>CT-C</v>
      </c>
      <c r="F34" s="20" t="str">
        <f aca="false">'State Bays'!E20</f>
        <v>CHALLENGE</v>
      </c>
      <c r="G34" s="20" t="str">
        <f aca="false">'State Bays'!F20</f>
        <v>CT-RS2</v>
      </c>
      <c r="H34" s="20" t="str">
        <f aca="false">'State Bays'!H20</f>
        <v>DENIED CONDITION</v>
      </c>
      <c r="I34" s="9" t="s">
        <v>405</v>
      </c>
      <c r="J34" s="11" t="s">
        <v>73</v>
      </c>
      <c r="K34" s="11" t="s">
        <v>73</v>
      </c>
      <c r="L34" s="11" t="n">
        <v>0</v>
      </c>
      <c r="M34" s="11" t="s">
        <v>41</v>
      </c>
    </row>
    <row r="35" customFormat="false" ht="15" hidden="false" customHeight="false" outlineLevel="0" collapsed="false">
      <c r="A35" s="20" t="str">
        <f aca="false">"MR-"&amp;'State Bays'!A21&amp;"-L1"</f>
        <v>MR-BAY-CT-CHA-3-L1</v>
      </c>
      <c r="B35" s="20" t="str">
        <f aca="false">'State Bays'!A21</f>
        <v>BAY-CT-CHA-3</v>
      </c>
      <c r="C35" s="20" t="str">
        <f aca="false">'State Bays'!B21</f>
        <v>ST-CT-CHA</v>
      </c>
      <c r="D35" s="20" t="str">
        <f aca="false">'State Bays'!C21</f>
        <v>MS-CT</v>
      </c>
      <c r="E35" s="20" t="str">
        <f aca="false">'State Bays'!D21</f>
        <v>CT-C</v>
      </c>
      <c r="F35" s="20" t="str">
        <f aca="false">'State Bays'!E21</f>
        <v>CHALLENGE</v>
      </c>
      <c r="G35" s="20" t="str">
        <f aca="false">'State Bays'!F21</f>
        <v>CT-RS3</v>
      </c>
      <c r="H35" s="20" t="str">
        <f aca="false">'State Bays'!H21</f>
        <v>DENIED CONDITION</v>
      </c>
      <c r="I35" s="9" t="s">
        <v>404</v>
      </c>
      <c r="J35" s="11" t="s">
        <v>73</v>
      </c>
      <c r="K35" s="11" t="s">
        <v>73</v>
      </c>
      <c r="L35" s="11" t="n">
        <v>0</v>
      </c>
      <c r="M35" s="11" t="s">
        <v>41</v>
      </c>
    </row>
    <row r="36" customFormat="false" ht="15" hidden="false" customHeight="false" outlineLevel="0" collapsed="false">
      <c r="A36" s="20" t="str">
        <f aca="false">"MR-"&amp;'State Bays'!A21&amp;"-L2"</f>
        <v>MR-BAY-CT-CHA-3-L2</v>
      </c>
      <c r="B36" s="20" t="str">
        <f aca="false">'State Bays'!A21</f>
        <v>BAY-CT-CHA-3</v>
      </c>
      <c r="C36" s="20" t="str">
        <f aca="false">'State Bays'!B21</f>
        <v>ST-CT-CHA</v>
      </c>
      <c r="D36" s="20" t="str">
        <f aca="false">'State Bays'!C21</f>
        <v>MS-CT</v>
      </c>
      <c r="E36" s="20" t="str">
        <f aca="false">'State Bays'!D21</f>
        <v>CT-C</v>
      </c>
      <c r="F36" s="20" t="str">
        <f aca="false">'State Bays'!E21</f>
        <v>CHALLENGE</v>
      </c>
      <c r="G36" s="20" t="str">
        <f aca="false">'State Bays'!F21</f>
        <v>CT-RS3</v>
      </c>
      <c r="H36" s="20" t="str">
        <f aca="false">'State Bays'!H21</f>
        <v>DENIED CONDITION</v>
      </c>
      <c r="I36" s="9" t="s">
        <v>405</v>
      </c>
      <c r="J36" s="11" t="s">
        <v>73</v>
      </c>
      <c r="K36" s="11" t="s">
        <v>73</v>
      </c>
      <c r="L36" s="11" t="n">
        <v>0</v>
      </c>
      <c r="M36" s="11" t="s">
        <v>41</v>
      </c>
    </row>
    <row r="37" customFormat="false" ht="15" hidden="false" customHeight="false" outlineLevel="0" collapsed="false">
      <c r="A37" s="20" t="str">
        <f aca="false">"MR-"&amp;'State Bays'!A22&amp;"-L1"</f>
        <v>MR-BAY-CT-CHA-4-L1</v>
      </c>
      <c r="B37" s="20" t="str">
        <f aca="false">'State Bays'!A22</f>
        <v>BAY-CT-CHA-4</v>
      </c>
      <c r="C37" s="20" t="str">
        <f aca="false">'State Bays'!B22</f>
        <v>ST-CT-CHA</v>
      </c>
      <c r="D37" s="20" t="str">
        <f aca="false">'State Bays'!C22</f>
        <v>MS-CT</v>
      </c>
      <c r="E37" s="20" t="str">
        <f aca="false">'State Bays'!D22</f>
        <v>CT-C</v>
      </c>
      <c r="F37" s="20" t="str">
        <f aca="false">'State Bays'!E22</f>
        <v>CHALLENGE</v>
      </c>
      <c r="G37" s="20" t="str">
        <f aca="false">'State Bays'!F22</f>
        <v>CT-RS4</v>
      </c>
      <c r="H37" s="20" t="str">
        <f aca="false">'State Bays'!H22</f>
        <v>DENIED CONDITION</v>
      </c>
      <c r="I37" s="9" t="s">
        <v>404</v>
      </c>
      <c r="J37" s="11" t="s">
        <v>73</v>
      </c>
      <c r="K37" s="11" t="s">
        <v>73</v>
      </c>
      <c r="L37" s="11" t="n">
        <v>0</v>
      </c>
      <c r="M37" s="11" t="s">
        <v>41</v>
      </c>
    </row>
    <row r="38" customFormat="false" ht="15" hidden="false" customHeight="false" outlineLevel="0" collapsed="false">
      <c r="A38" s="20" t="str">
        <f aca="false">"MR-"&amp;'State Bays'!A22&amp;"-L2"</f>
        <v>MR-BAY-CT-CHA-4-L2</v>
      </c>
      <c r="B38" s="20" t="str">
        <f aca="false">'State Bays'!A22</f>
        <v>BAY-CT-CHA-4</v>
      </c>
      <c r="C38" s="20" t="str">
        <f aca="false">'State Bays'!B22</f>
        <v>ST-CT-CHA</v>
      </c>
      <c r="D38" s="20" t="str">
        <f aca="false">'State Bays'!C22</f>
        <v>MS-CT</v>
      </c>
      <c r="E38" s="20" t="str">
        <f aca="false">'State Bays'!D22</f>
        <v>CT-C</v>
      </c>
      <c r="F38" s="20" t="str">
        <f aca="false">'State Bays'!E22</f>
        <v>CHALLENGE</v>
      </c>
      <c r="G38" s="20" t="str">
        <f aca="false">'State Bays'!F22</f>
        <v>CT-RS4</v>
      </c>
      <c r="H38" s="20" t="str">
        <f aca="false">'State Bays'!H22</f>
        <v>DENIED CONDITION</v>
      </c>
      <c r="I38" s="9" t="s">
        <v>405</v>
      </c>
      <c r="J38" s="11" t="s">
        <v>73</v>
      </c>
      <c r="K38" s="11" t="s">
        <v>73</v>
      </c>
      <c r="L38" s="11" t="n">
        <v>0</v>
      </c>
      <c r="M38" s="11" t="s">
        <v>41</v>
      </c>
    </row>
    <row r="39" customFormat="false" ht="15" hidden="false" customHeight="false" outlineLevel="0" collapsed="false">
      <c r="A39" s="20" t="str">
        <f aca="false">"MR-"&amp;'State Bays'!A23&amp;"-L1"</f>
        <v>MR-BAY-CT-CON-1-L1</v>
      </c>
      <c r="B39" s="20" t="str">
        <f aca="false">'State Bays'!A23</f>
        <v>BAY-CT-CON-1</v>
      </c>
      <c r="C39" s="20" t="str">
        <f aca="false">'State Bays'!B23</f>
        <v>ST-CT-CON</v>
      </c>
      <c r="D39" s="20" t="str">
        <f aca="false">'State Bays'!C23</f>
        <v>MS-CT</v>
      </c>
      <c r="E39" s="20" t="str">
        <f aca="false">'State Bays'!D23</f>
        <v>CT-C</v>
      </c>
      <c r="F39" s="20" t="str">
        <f aca="false">'State Bays'!E23</f>
        <v>CONTROL</v>
      </c>
      <c r="G39" s="20" t="str">
        <f aca="false">'State Bays'!F23</f>
        <v>CT-RS1</v>
      </c>
      <c r="H39" s="20" t="str">
        <f aca="false">'State Bays'!H23</f>
        <v>LOAD AND QUALITY</v>
      </c>
      <c r="I39" s="9" t="s">
        <v>404</v>
      </c>
      <c r="J39" s="11" t="s">
        <v>73</v>
      </c>
      <c r="K39" s="11" t="s">
        <v>73</v>
      </c>
      <c r="L39" s="11" t="n">
        <v>0</v>
      </c>
      <c r="M39" s="11" t="s">
        <v>41</v>
      </c>
    </row>
    <row r="40" customFormat="false" ht="15" hidden="false" customHeight="false" outlineLevel="0" collapsed="false">
      <c r="A40" s="20" t="str">
        <f aca="false">"MR-"&amp;'State Bays'!A23&amp;"-L2"</f>
        <v>MR-BAY-CT-CON-1-L2</v>
      </c>
      <c r="B40" s="20" t="str">
        <f aca="false">'State Bays'!A23</f>
        <v>BAY-CT-CON-1</v>
      </c>
      <c r="C40" s="20" t="str">
        <f aca="false">'State Bays'!B23</f>
        <v>ST-CT-CON</v>
      </c>
      <c r="D40" s="20" t="str">
        <f aca="false">'State Bays'!C23</f>
        <v>MS-CT</v>
      </c>
      <c r="E40" s="20" t="str">
        <f aca="false">'State Bays'!D23</f>
        <v>CT-C</v>
      </c>
      <c r="F40" s="20" t="str">
        <f aca="false">'State Bays'!E23</f>
        <v>CONTROL</v>
      </c>
      <c r="G40" s="20" t="str">
        <f aca="false">'State Bays'!F23</f>
        <v>CT-RS1</v>
      </c>
      <c r="H40" s="20" t="str">
        <f aca="false">'State Bays'!H23</f>
        <v>LOAD AND QUALITY</v>
      </c>
      <c r="I40" s="9" t="s">
        <v>405</v>
      </c>
      <c r="J40" s="11" t="s">
        <v>73</v>
      </c>
      <c r="K40" s="11" t="s">
        <v>73</v>
      </c>
      <c r="L40" s="11" t="n">
        <v>0</v>
      </c>
      <c r="M40" s="11" t="s">
        <v>41</v>
      </c>
    </row>
    <row r="41" customFormat="false" ht="15" hidden="false" customHeight="false" outlineLevel="0" collapsed="false">
      <c r="A41" s="20" t="str">
        <f aca="false">"MR-"&amp;'State Bays'!A24&amp;"-L1"</f>
        <v>MR-BAY-CT-CON-2-L1</v>
      </c>
      <c r="B41" s="20" t="str">
        <f aca="false">'State Bays'!A24</f>
        <v>BAY-CT-CON-2</v>
      </c>
      <c r="C41" s="20" t="str">
        <f aca="false">'State Bays'!B24</f>
        <v>ST-CT-CON</v>
      </c>
      <c r="D41" s="20" t="str">
        <f aca="false">'State Bays'!C24</f>
        <v>MS-CT</v>
      </c>
      <c r="E41" s="20" t="str">
        <f aca="false">'State Bays'!D24</f>
        <v>CT-C</v>
      </c>
      <c r="F41" s="20" t="str">
        <f aca="false">'State Bays'!E24</f>
        <v>CONTROL</v>
      </c>
      <c r="G41" s="20" t="str">
        <f aca="false">'State Bays'!F24</f>
        <v>CT-RS2</v>
      </c>
      <c r="H41" s="20" t="str">
        <f aca="false">'State Bays'!H24</f>
        <v>LOAD AND QUALITY</v>
      </c>
      <c r="I41" s="9" t="s">
        <v>404</v>
      </c>
      <c r="J41" s="11" t="s">
        <v>73</v>
      </c>
      <c r="K41" s="11" t="s">
        <v>73</v>
      </c>
      <c r="L41" s="11" t="n">
        <v>0</v>
      </c>
      <c r="M41" s="11" t="s">
        <v>41</v>
      </c>
    </row>
    <row r="42" customFormat="false" ht="15" hidden="false" customHeight="false" outlineLevel="0" collapsed="false">
      <c r="A42" s="20" t="str">
        <f aca="false">"MR-"&amp;'State Bays'!A24&amp;"-L2"</f>
        <v>MR-BAY-CT-CON-2-L2</v>
      </c>
      <c r="B42" s="20" t="str">
        <f aca="false">'State Bays'!A24</f>
        <v>BAY-CT-CON-2</v>
      </c>
      <c r="C42" s="20" t="str">
        <f aca="false">'State Bays'!B24</f>
        <v>ST-CT-CON</v>
      </c>
      <c r="D42" s="20" t="str">
        <f aca="false">'State Bays'!C24</f>
        <v>MS-CT</v>
      </c>
      <c r="E42" s="20" t="str">
        <f aca="false">'State Bays'!D24</f>
        <v>CT-C</v>
      </c>
      <c r="F42" s="20" t="str">
        <f aca="false">'State Bays'!E24</f>
        <v>CONTROL</v>
      </c>
      <c r="G42" s="20" t="str">
        <f aca="false">'State Bays'!F24</f>
        <v>CT-RS2</v>
      </c>
      <c r="H42" s="20" t="str">
        <f aca="false">'State Bays'!H24</f>
        <v>LOAD AND QUALITY</v>
      </c>
      <c r="I42" s="9" t="s">
        <v>405</v>
      </c>
      <c r="J42" s="11" t="s">
        <v>73</v>
      </c>
      <c r="K42" s="11" t="s">
        <v>73</v>
      </c>
      <c r="L42" s="11" t="n">
        <v>0</v>
      </c>
      <c r="M42" s="11" t="s">
        <v>41</v>
      </c>
    </row>
    <row r="43" customFormat="false" ht="15" hidden="false" customHeight="false" outlineLevel="0" collapsed="false">
      <c r="A43" s="20" t="str">
        <f aca="false">"MR-"&amp;'State Bays'!A25&amp;"-L1"</f>
        <v>MR-BAY-CT-CON-3-L1</v>
      </c>
      <c r="B43" s="20" t="str">
        <f aca="false">'State Bays'!A25</f>
        <v>BAY-CT-CON-3</v>
      </c>
      <c r="C43" s="20" t="str">
        <f aca="false">'State Bays'!B25</f>
        <v>ST-CT-CON</v>
      </c>
      <c r="D43" s="20" t="str">
        <f aca="false">'State Bays'!C25</f>
        <v>MS-CT</v>
      </c>
      <c r="E43" s="20" t="str">
        <f aca="false">'State Bays'!D25</f>
        <v>CT-C</v>
      </c>
      <c r="F43" s="20" t="str">
        <f aca="false">'State Bays'!E25</f>
        <v>CONTROL</v>
      </c>
      <c r="G43" s="20" t="str">
        <f aca="false">'State Bays'!F25</f>
        <v>CT-RS3</v>
      </c>
      <c r="H43" s="20" t="str">
        <f aca="false">'State Bays'!H25</f>
        <v>LOAD AND QUALITY</v>
      </c>
      <c r="I43" s="9" t="s">
        <v>404</v>
      </c>
      <c r="J43" s="11" t="s">
        <v>73</v>
      </c>
      <c r="K43" s="11" t="s">
        <v>73</v>
      </c>
      <c r="L43" s="11" t="n">
        <v>0</v>
      </c>
      <c r="M43" s="11" t="s">
        <v>41</v>
      </c>
    </row>
    <row r="44" customFormat="false" ht="15" hidden="false" customHeight="false" outlineLevel="0" collapsed="false">
      <c r="A44" s="20" t="str">
        <f aca="false">"MR-"&amp;'State Bays'!A25&amp;"-L2"</f>
        <v>MR-BAY-CT-CON-3-L2</v>
      </c>
      <c r="B44" s="20" t="str">
        <f aca="false">'State Bays'!A25</f>
        <v>BAY-CT-CON-3</v>
      </c>
      <c r="C44" s="20" t="str">
        <f aca="false">'State Bays'!B25</f>
        <v>ST-CT-CON</v>
      </c>
      <c r="D44" s="20" t="str">
        <f aca="false">'State Bays'!C25</f>
        <v>MS-CT</v>
      </c>
      <c r="E44" s="20" t="str">
        <f aca="false">'State Bays'!D25</f>
        <v>CT-C</v>
      </c>
      <c r="F44" s="20" t="str">
        <f aca="false">'State Bays'!E25</f>
        <v>CONTROL</v>
      </c>
      <c r="G44" s="20" t="str">
        <f aca="false">'State Bays'!F25</f>
        <v>CT-RS3</v>
      </c>
      <c r="H44" s="20" t="str">
        <f aca="false">'State Bays'!H25</f>
        <v>LOAD AND QUALITY</v>
      </c>
      <c r="I44" s="9" t="s">
        <v>405</v>
      </c>
      <c r="J44" s="11" t="s">
        <v>73</v>
      </c>
      <c r="K44" s="11" t="s">
        <v>73</v>
      </c>
      <c r="L44" s="11" t="n">
        <v>0</v>
      </c>
      <c r="M44" s="11" t="s">
        <v>41</v>
      </c>
    </row>
    <row r="45" customFormat="false" ht="15" hidden="false" customHeight="false" outlineLevel="0" collapsed="false">
      <c r="A45" s="20" t="str">
        <f aca="false">"MR-"&amp;'State Bays'!A26&amp;"-L1"</f>
        <v>MR-BAY-CT-CON-4-L1</v>
      </c>
      <c r="B45" s="20" t="str">
        <f aca="false">'State Bays'!A26</f>
        <v>BAY-CT-CON-4</v>
      </c>
      <c r="C45" s="20" t="str">
        <f aca="false">'State Bays'!B26</f>
        <v>ST-CT-CON</v>
      </c>
      <c r="D45" s="20" t="str">
        <f aca="false">'State Bays'!C26</f>
        <v>MS-CT</v>
      </c>
      <c r="E45" s="20" t="str">
        <f aca="false">'State Bays'!D26</f>
        <v>CT-C</v>
      </c>
      <c r="F45" s="20" t="str">
        <f aca="false">'State Bays'!E26</f>
        <v>CONTROL</v>
      </c>
      <c r="G45" s="20" t="str">
        <f aca="false">'State Bays'!F26</f>
        <v>CT-RS4</v>
      </c>
      <c r="H45" s="20" t="str">
        <f aca="false">'State Bays'!H26</f>
        <v>LOAD AND QUALITY</v>
      </c>
      <c r="I45" s="9" t="s">
        <v>404</v>
      </c>
      <c r="J45" s="11" t="s">
        <v>73</v>
      </c>
      <c r="K45" s="11" t="s">
        <v>73</v>
      </c>
      <c r="L45" s="11" t="n">
        <v>0</v>
      </c>
      <c r="M45" s="11" t="s">
        <v>41</v>
      </c>
    </row>
    <row r="46" customFormat="false" ht="15" hidden="false" customHeight="false" outlineLevel="0" collapsed="false">
      <c r="A46" s="20" t="str">
        <f aca="false">"MR-"&amp;'State Bays'!A26&amp;"-L2"</f>
        <v>MR-BAY-CT-CON-4-L2</v>
      </c>
      <c r="B46" s="20" t="str">
        <f aca="false">'State Bays'!A26</f>
        <v>BAY-CT-CON-4</v>
      </c>
      <c r="C46" s="20" t="str">
        <f aca="false">'State Bays'!B26</f>
        <v>ST-CT-CON</v>
      </c>
      <c r="D46" s="20" t="str">
        <f aca="false">'State Bays'!C26</f>
        <v>MS-CT</v>
      </c>
      <c r="E46" s="20" t="str">
        <f aca="false">'State Bays'!D26</f>
        <v>CT-C</v>
      </c>
      <c r="F46" s="20" t="str">
        <f aca="false">'State Bays'!E26</f>
        <v>CONTROL</v>
      </c>
      <c r="G46" s="20" t="str">
        <f aca="false">'State Bays'!F26</f>
        <v>CT-RS4</v>
      </c>
      <c r="H46" s="20" t="str">
        <f aca="false">'State Bays'!H26</f>
        <v>LOAD AND QUALITY</v>
      </c>
      <c r="I46" s="9" t="s">
        <v>405</v>
      </c>
      <c r="J46" s="11" t="s">
        <v>73</v>
      </c>
      <c r="K46" s="11" t="s">
        <v>73</v>
      </c>
      <c r="L46" s="11" t="n">
        <v>0</v>
      </c>
      <c r="M46" s="11" t="s">
        <v>41</v>
      </c>
    </row>
    <row r="47" customFormat="false" ht="15" hidden="false" customHeight="false" outlineLevel="0" collapsed="false">
      <c r="A47" s="20" t="str">
        <f aca="false">"MR-"&amp;'State Bays'!A27&amp;"-L1"</f>
        <v>MR-BAY-CT-REC-1-L1</v>
      </c>
      <c r="B47" s="20" t="str">
        <f aca="false">'State Bays'!A27</f>
        <v>BAY-CT-REC-1</v>
      </c>
      <c r="C47" s="20" t="str">
        <f aca="false">'State Bays'!B27</f>
        <v>ST-CT-REC</v>
      </c>
      <c r="D47" s="20" t="str">
        <f aca="false">'State Bays'!C27</f>
        <v>MS-CT</v>
      </c>
      <c r="E47" s="20" t="str">
        <f aca="false">'State Bays'!D27</f>
        <v>CT-C</v>
      </c>
      <c r="F47" s="20" t="str">
        <f aca="false">'State Bays'!E27</f>
        <v>RECONSTRUCTION</v>
      </c>
      <c r="G47" s="20" t="str">
        <f aca="false">'State Bays'!F27</f>
        <v>CT-RS1</v>
      </c>
      <c r="H47" s="20" t="str">
        <f aca="false">'State Bays'!H27</f>
        <v>RECOVERY AND BURDEN</v>
      </c>
      <c r="I47" s="9" t="s">
        <v>404</v>
      </c>
      <c r="J47" s="11" t="s">
        <v>73</v>
      </c>
      <c r="K47" s="11" t="s">
        <v>73</v>
      </c>
      <c r="L47" s="11" t="n">
        <v>0</v>
      </c>
      <c r="M47" s="11" t="s">
        <v>41</v>
      </c>
    </row>
    <row r="48" customFormat="false" ht="15" hidden="false" customHeight="false" outlineLevel="0" collapsed="false">
      <c r="A48" s="20" t="str">
        <f aca="false">"MR-"&amp;'State Bays'!A27&amp;"-L2"</f>
        <v>MR-BAY-CT-REC-1-L2</v>
      </c>
      <c r="B48" s="20" t="str">
        <f aca="false">'State Bays'!A27</f>
        <v>BAY-CT-REC-1</v>
      </c>
      <c r="C48" s="20" t="str">
        <f aca="false">'State Bays'!B27</f>
        <v>ST-CT-REC</v>
      </c>
      <c r="D48" s="20" t="str">
        <f aca="false">'State Bays'!C27</f>
        <v>MS-CT</v>
      </c>
      <c r="E48" s="20" t="str">
        <f aca="false">'State Bays'!D27</f>
        <v>CT-C</v>
      </c>
      <c r="F48" s="20" t="str">
        <f aca="false">'State Bays'!E27</f>
        <v>RECONSTRUCTION</v>
      </c>
      <c r="G48" s="20" t="str">
        <f aca="false">'State Bays'!F27</f>
        <v>CT-RS1</v>
      </c>
      <c r="H48" s="20" t="str">
        <f aca="false">'State Bays'!H27</f>
        <v>RECOVERY AND BURDEN</v>
      </c>
      <c r="I48" s="9" t="s">
        <v>405</v>
      </c>
      <c r="J48" s="11" t="s">
        <v>73</v>
      </c>
      <c r="K48" s="11" t="s">
        <v>73</v>
      </c>
      <c r="L48" s="11" t="n">
        <v>0</v>
      </c>
      <c r="M48" s="11" t="s">
        <v>41</v>
      </c>
    </row>
    <row r="49" customFormat="false" ht="15" hidden="false" customHeight="false" outlineLevel="0" collapsed="false">
      <c r="A49" s="20" t="str">
        <f aca="false">"MR-"&amp;'State Bays'!A28&amp;"-L1"</f>
        <v>MR-BAY-CT-REC-2-L1</v>
      </c>
      <c r="B49" s="20" t="str">
        <f aca="false">'State Bays'!A28</f>
        <v>BAY-CT-REC-2</v>
      </c>
      <c r="C49" s="20" t="str">
        <f aca="false">'State Bays'!B28</f>
        <v>ST-CT-REC</v>
      </c>
      <c r="D49" s="20" t="str">
        <f aca="false">'State Bays'!C28</f>
        <v>MS-CT</v>
      </c>
      <c r="E49" s="20" t="str">
        <f aca="false">'State Bays'!D28</f>
        <v>CT-C</v>
      </c>
      <c r="F49" s="20" t="str">
        <f aca="false">'State Bays'!E28</f>
        <v>RECONSTRUCTION</v>
      </c>
      <c r="G49" s="20" t="str">
        <f aca="false">'State Bays'!F28</f>
        <v>CT-RS2</v>
      </c>
      <c r="H49" s="20" t="str">
        <f aca="false">'State Bays'!H28</f>
        <v>RECOVERY AND BURDEN</v>
      </c>
      <c r="I49" s="9" t="s">
        <v>404</v>
      </c>
      <c r="J49" s="11" t="s">
        <v>73</v>
      </c>
      <c r="K49" s="11" t="s">
        <v>73</v>
      </c>
      <c r="L49" s="11" t="n">
        <v>0</v>
      </c>
      <c r="M49" s="11" t="s">
        <v>41</v>
      </c>
    </row>
    <row r="50" customFormat="false" ht="15" hidden="false" customHeight="false" outlineLevel="0" collapsed="false">
      <c r="A50" s="20" t="str">
        <f aca="false">"MR-"&amp;'State Bays'!A28&amp;"-L2"</f>
        <v>MR-BAY-CT-REC-2-L2</v>
      </c>
      <c r="B50" s="20" t="str">
        <f aca="false">'State Bays'!A28</f>
        <v>BAY-CT-REC-2</v>
      </c>
      <c r="C50" s="20" t="str">
        <f aca="false">'State Bays'!B28</f>
        <v>ST-CT-REC</v>
      </c>
      <c r="D50" s="20" t="str">
        <f aca="false">'State Bays'!C28</f>
        <v>MS-CT</v>
      </c>
      <c r="E50" s="20" t="str">
        <f aca="false">'State Bays'!D28</f>
        <v>CT-C</v>
      </c>
      <c r="F50" s="20" t="str">
        <f aca="false">'State Bays'!E28</f>
        <v>RECONSTRUCTION</v>
      </c>
      <c r="G50" s="20" t="str">
        <f aca="false">'State Bays'!F28</f>
        <v>CT-RS2</v>
      </c>
      <c r="H50" s="20" t="str">
        <f aca="false">'State Bays'!H28</f>
        <v>RECOVERY AND BURDEN</v>
      </c>
      <c r="I50" s="9" t="s">
        <v>405</v>
      </c>
      <c r="J50" s="11" t="s">
        <v>73</v>
      </c>
      <c r="K50" s="11" t="s">
        <v>73</v>
      </c>
      <c r="L50" s="11" t="n">
        <v>0</v>
      </c>
      <c r="M50" s="11" t="s">
        <v>41</v>
      </c>
    </row>
    <row r="51" customFormat="false" ht="15" hidden="false" customHeight="false" outlineLevel="0" collapsed="false">
      <c r="A51" s="20" t="str">
        <f aca="false">"MR-"&amp;'State Bays'!A29&amp;"-L1"</f>
        <v>MR-BAY-CT-REC-3-L1</v>
      </c>
      <c r="B51" s="20" t="str">
        <f aca="false">'State Bays'!A29</f>
        <v>BAY-CT-REC-3</v>
      </c>
      <c r="C51" s="20" t="str">
        <f aca="false">'State Bays'!B29</f>
        <v>ST-CT-REC</v>
      </c>
      <c r="D51" s="20" t="str">
        <f aca="false">'State Bays'!C29</f>
        <v>MS-CT</v>
      </c>
      <c r="E51" s="20" t="str">
        <f aca="false">'State Bays'!D29</f>
        <v>CT-C</v>
      </c>
      <c r="F51" s="20" t="str">
        <f aca="false">'State Bays'!E29</f>
        <v>RECONSTRUCTION</v>
      </c>
      <c r="G51" s="20" t="str">
        <f aca="false">'State Bays'!F29</f>
        <v>CT-RS3</v>
      </c>
      <c r="H51" s="20" t="str">
        <f aca="false">'State Bays'!H29</f>
        <v>RECOVERY AND BURDEN</v>
      </c>
      <c r="I51" s="9" t="s">
        <v>404</v>
      </c>
      <c r="J51" s="11" t="s">
        <v>73</v>
      </c>
      <c r="K51" s="11" t="s">
        <v>73</v>
      </c>
      <c r="L51" s="11" t="n">
        <v>0</v>
      </c>
      <c r="M51" s="11" t="s">
        <v>41</v>
      </c>
    </row>
    <row r="52" customFormat="false" ht="15" hidden="false" customHeight="false" outlineLevel="0" collapsed="false">
      <c r="A52" s="20" t="str">
        <f aca="false">"MR-"&amp;'State Bays'!A29&amp;"-L2"</f>
        <v>MR-BAY-CT-REC-3-L2</v>
      </c>
      <c r="B52" s="20" t="str">
        <f aca="false">'State Bays'!A29</f>
        <v>BAY-CT-REC-3</v>
      </c>
      <c r="C52" s="20" t="str">
        <f aca="false">'State Bays'!B29</f>
        <v>ST-CT-REC</v>
      </c>
      <c r="D52" s="20" t="str">
        <f aca="false">'State Bays'!C29</f>
        <v>MS-CT</v>
      </c>
      <c r="E52" s="20" t="str">
        <f aca="false">'State Bays'!D29</f>
        <v>CT-C</v>
      </c>
      <c r="F52" s="20" t="str">
        <f aca="false">'State Bays'!E29</f>
        <v>RECONSTRUCTION</v>
      </c>
      <c r="G52" s="20" t="str">
        <f aca="false">'State Bays'!F29</f>
        <v>CT-RS3</v>
      </c>
      <c r="H52" s="20" t="str">
        <f aca="false">'State Bays'!H29</f>
        <v>RECOVERY AND BURDEN</v>
      </c>
      <c r="I52" s="9" t="s">
        <v>405</v>
      </c>
      <c r="J52" s="11" t="s">
        <v>73</v>
      </c>
      <c r="K52" s="11" t="s">
        <v>73</v>
      </c>
      <c r="L52" s="11" t="n">
        <v>0</v>
      </c>
      <c r="M52" s="11" t="s">
        <v>41</v>
      </c>
    </row>
    <row r="53" customFormat="false" ht="15" hidden="false" customHeight="false" outlineLevel="0" collapsed="false">
      <c r="A53" s="20" t="str">
        <f aca="false">"MR-"&amp;'State Bays'!A30&amp;"-L1"</f>
        <v>MR-BAY-CT-REC-4-L1</v>
      </c>
      <c r="B53" s="20" t="str">
        <f aca="false">'State Bays'!A30</f>
        <v>BAY-CT-REC-4</v>
      </c>
      <c r="C53" s="20" t="str">
        <f aca="false">'State Bays'!B30</f>
        <v>ST-CT-REC</v>
      </c>
      <c r="D53" s="20" t="str">
        <f aca="false">'State Bays'!C30</f>
        <v>MS-CT</v>
      </c>
      <c r="E53" s="20" t="str">
        <f aca="false">'State Bays'!D30</f>
        <v>CT-C</v>
      </c>
      <c r="F53" s="20" t="str">
        <f aca="false">'State Bays'!E30</f>
        <v>RECONSTRUCTION</v>
      </c>
      <c r="G53" s="20" t="str">
        <f aca="false">'State Bays'!F30</f>
        <v>CT-RS4</v>
      </c>
      <c r="H53" s="20" t="str">
        <f aca="false">'State Bays'!H30</f>
        <v>RECOVERY AND BURDEN</v>
      </c>
      <c r="I53" s="9" t="s">
        <v>404</v>
      </c>
      <c r="J53" s="11" t="s">
        <v>73</v>
      </c>
      <c r="K53" s="11" t="s">
        <v>73</v>
      </c>
      <c r="L53" s="11" t="n">
        <v>0</v>
      </c>
      <c r="M53" s="11" t="s">
        <v>41</v>
      </c>
    </row>
    <row r="54" customFormat="false" ht="15" hidden="false" customHeight="false" outlineLevel="0" collapsed="false">
      <c r="A54" s="20" t="str">
        <f aca="false">"MR-"&amp;'State Bays'!A30&amp;"-L2"</f>
        <v>MR-BAY-CT-REC-4-L2</v>
      </c>
      <c r="B54" s="20" t="str">
        <f aca="false">'State Bays'!A30</f>
        <v>BAY-CT-REC-4</v>
      </c>
      <c r="C54" s="20" t="str">
        <f aca="false">'State Bays'!B30</f>
        <v>ST-CT-REC</v>
      </c>
      <c r="D54" s="20" t="str">
        <f aca="false">'State Bays'!C30</f>
        <v>MS-CT</v>
      </c>
      <c r="E54" s="20" t="str">
        <f aca="false">'State Bays'!D30</f>
        <v>CT-C</v>
      </c>
      <c r="F54" s="20" t="str">
        <f aca="false">'State Bays'!E30</f>
        <v>RECONSTRUCTION</v>
      </c>
      <c r="G54" s="20" t="str">
        <f aca="false">'State Bays'!F30</f>
        <v>CT-RS4</v>
      </c>
      <c r="H54" s="20" t="str">
        <f aca="false">'State Bays'!H30</f>
        <v>RECOVERY AND BURDEN</v>
      </c>
      <c r="I54" s="9" t="s">
        <v>405</v>
      </c>
      <c r="J54" s="11" t="s">
        <v>73</v>
      </c>
      <c r="K54" s="11" t="s">
        <v>73</v>
      </c>
      <c r="L54" s="11" t="n">
        <v>0</v>
      </c>
      <c r="M54" s="11" t="s">
        <v>41</v>
      </c>
    </row>
    <row r="55" customFormat="false" ht="15" hidden="false" customHeight="false" outlineLevel="0" collapsed="false">
      <c r="A55" s="20" t="str">
        <f aca="false">"MR-"&amp;'State Bays'!A31&amp;"-L1"</f>
        <v>MR-BAY-HC-CHA-1-L1</v>
      </c>
      <c r="B55" s="20" t="str">
        <f aca="false">'State Bays'!A31</f>
        <v>BAY-HC-CHA-1</v>
      </c>
      <c r="C55" s="20" t="str">
        <f aca="false">'State Bays'!B31</f>
        <v>ST-HC-CHA</v>
      </c>
      <c r="D55" s="20" t="str">
        <f aca="false">'State Bays'!C31</f>
        <v>MS-HC</v>
      </c>
      <c r="E55" s="20" t="str">
        <f aca="false">'State Bays'!D31</f>
        <v>HC-A</v>
      </c>
      <c r="F55" s="20" t="str">
        <f aca="false">'State Bays'!E31</f>
        <v>CHALLENGE</v>
      </c>
      <c r="G55" s="20" t="str">
        <f aca="false">'State Bays'!F31</f>
        <v>HC-RS1</v>
      </c>
      <c r="H55" s="20" t="str">
        <f aca="false">'State Bays'!H31</f>
        <v>DENIED CONDITION</v>
      </c>
      <c r="I55" s="9" t="s">
        <v>404</v>
      </c>
      <c r="J55" s="11" t="s">
        <v>73</v>
      </c>
      <c r="K55" s="11" t="s">
        <v>73</v>
      </c>
      <c r="L55" s="11" t="n">
        <v>0</v>
      </c>
      <c r="M55" s="11" t="s">
        <v>41</v>
      </c>
    </row>
    <row r="56" customFormat="false" ht="15" hidden="false" customHeight="false" outlineLevel="0" collapsed="false">
      <c r="A56" s="20" t="str">
        <f aca="false">"MR-"&amp;'State Bays'!A31&amp;"-L2"</f>
        <v>MR-BAY-HC-CHA-1-L2</v>
      </c>
      <c r="B56" s="20" t="str">
        <f aca="false">'State Bays'!A31</f>
        <v>BAY-HC-CHA-1</v>
      </c>
      <c r="C56" s="20" t="str">
        <f aca="false">'State Bays'!B31</f>
        <v>ST-HC-CHA</v>
      </c>
      <c r="D56" s="20" t="str">
        <f aca="false">'State Bays'!C31</f>
        <v>MS-HC</v>
      </c>
      <c r="E56" s="20" t="str">
        <f aca="false">'State Bays'!D31</f>
        <v>HC-A</v>
      </c>
      <c r="F56" s="20" t="str">
        <f aca="false">'State Bays'!E31</f>
        <v>CHALLENGE</v>
      </c>
      <c r="G56" s="20" t="str">
        <f aca="false">'State Bays'!F31</f>
        <v>HC-RS1</v>
      </c>
      <c r="H56" s="20" t="str">
        <f aca="false">'State Bays'!H31</f>
        <v>DENIED CONDITION</v>
      </c>
      <c r="I56" s="9" t="s">
        <v>405</v>
      </c>
      <c r="J56" s="11" t="s">
        <v>73</v>
      </c>
      <c r="K56" s="11" t="s">
        <v>73</v>
      </c>
      <c r="L56" s="11" t="n">
        <v>0</v>
      </c>
      <c r="M56" s="11" t="s">
        <v>41</v>
      </c>
    </row>
    <row r="57" customFormat="false" ht="15" hidden="false" customHeight="false" outlineLevel="0" collapsed="false">
      <c r="A57" s="20" t="str">
        <f aca="false">"MR-"&amp;'State Bays'!A32&amp;"-L1"</f>
        <v>MR-BAY-HC-CHA-2-L1</v>
      </c>
      <c r="B57" s="20" t="str">
        <f aca="false">'State Bays'!A32</f>
        <v>BAY-HC-CHA-2</v>
      </c>
      <c r="C57" s="20" t="str">
        <f aca="false">'State Bays'!B32</f>
        <v>ST-HC-CHA</v>
      </c>
      <c r="D57" s="20" t="str">
        <f aca="false">'State Bays'!C32</f>
        <v>MS-HC</v>
      </c>
      <c r="E57" s="20" t="str">
        <f aca="false">'State Bays'!D32</f>
        <v>HC-A</v>
      </c>
      <c r="F57" s="20" t="str">
        <f aca="false">'State Bays'!E32</f>
        <v>CHALLENGE</v>
      </c>
      <c r="G57" s="20" t="str">
        <f aca="false">'State Bays'!F32</f>
        <v>HC-RS2</v>
      </c>
      <c r="H57" s="20" t="str">
        <f aca="false">'State Bays'!H32</f>
        <v>DENIED CONDITION</v>
      </c>
      <c r="I57" s="9" t="s">
        <v>404</v>
      </c>
      <c r="J57" s="11" t="s">
        <v>73</v>
      </c>
      <c r="K57" s="11" t="s">
        <v>73</v>
      </c>
      <c r="L57" s="11" t="n">
        <v>0</v>
      </c>
      <c r="M57" s="11" t="s">
        <v>41</v>
      </c>
    </row>
    <row r="58" customFormat="false" ht="15" hidden="false" customHeight="false" outlineLevel="0" collapsed="false">
      <c r="A58" s="20" t="str">
        <f aca="false">"MR-"&amp;'State Bays'!A32&amp;"-L2"</f>
        <v>MR-BAY-HC-CHA-2-L2</v>
      </c>
      <c r="B58" s="20" t="str">
        <f aca="false">'State Bays'!A32</f>
        <v>BAY-HC-CHA-2</v>
      </c>
      <c r="C58" s="20" t="str">
        <f aca="false">'State Bays'!B32</f>
        <v>ST-HC-CHA</v>
      </c>
      <c r="D58" s="20" t="str">
        <f aca="false">'State Bays'!C32</f>
        <v>MS-HC</v>
      </c>
      <c r="E58" s="20" t="str">
        <f aca="false">'State Bays'!D32</f>
        <v>HC-A</v>
      </c>
      <c r="F58" s="20" t="str">
        <f aca="false">'State Bays'!E32</f>
        <v>CHALLENGE</v>
      </c>
      <c r="G58" s="20" t="str">
        <f aca="false">'State Bays'!F32</f>
        <v>HC-RS2</v>
      </c>
      <c r="H58" s="20" t="str">
        <f aca="false">'State Bays'!H32</f>
        <v>DENIED CONDITION</v>
      </c>
      <c r="I58" s="9" t="s">
        <v>405</v>
      </c>
      <c r="J58" s="11" t="s">
        <v>73</v>
      </c>
      <c r="K58" s="11" t="s">
        <v>73</v>
      </c>
      <c r="L58" s="11" t="n">
        <v>0</v>
      </c>
      <c r="M58" s="11" t="s">
        <v>41</v>
      </c>
    </row>
    <row r="59" customFormat="false" ht="15" hidden="false" customHeight="false" outlineLevel="0" collapsed="false">
      <c r="A59" s="20" t="str">
        <f aca="false">"MR-"&amp;'State Bays'!A33&amp;"-L1"</f>
        <v>MR-BAY-HC-CHA-3-L1</v>
      </c>
      <c r="B59" s="20" t="str">
        <f aca="false">'State Bays'!A33</f>
        <v>BAY-HC-CHA-3</v>
      </c>
      <c r="C59" s="20" t="str">
        <f aca="false">'State Bays'!B33</f>
        <v>ST-HC-CHA</v>
      </c>
      <c r="D59" s="20" t="str">
        <f aca="false">'State Bays'!C33</f>
        <v>MS-HC</v>
      </c>
      <c r="E59" s="20" t="str">
        <f aca="false">'State Bays'!D33</f>
        <v>HC-A</v>
      </c>
      <c r="F59" s="20" t="str">
        <f aca="false">'State Bays'!E33</f>
        <v>CHALLENGE</v>
      </c>
      <c r="G59" s="20" t="str">
        <f aca="false">'State Bays'!F33</f>
        <v>HC-RS3</v>
      </c>
      <c r="H59" s="20" t="str">
        <f aca="false">'State Bays'!H33</f>
        <v>DENIED CONDITION</v>
      </c>
      <c r="I59" s="9" t="s">
        <v>404</v>
      </c>
      <c r="J59" s="11" t="s">
        <v>73</v>
      </c>
      <c r="K59" s="11" t="s">
        <v>73</v>
      </c>
      <c r="L59" s="11" t="n">
        <v>0</v>
      </c>
      <c r="M59" s="11" t="s">
        <v>41</v>
      </c>
    </row>
    <row r="60" customFormat="false" ht="15" hidden="false" customHeight="false" outlineLevel="0" collapsed="false">
      <c r="A60" s="20" t="str">
        <f aca="false">"MR-"&amp;'State Bays'!A33&amp;"-L2"</f>
        <v>MR-BAY-HC-CHA-3-L2</v>
      </c>
      <c r="B60" s="20" t="str">
        <f aca="false">'State Bays'!A33</f>
        <v>BAY-HC-CHA-3</v>
      </c>
      <c r="C60" s="20" t="str">
        <f aca="false">'State Bays'!B33</f>
        <v>ST-HC-CHA</v>
      </c>
      <c r="D60" s="20" t="str">
        <f aca="false">'State Bays'!C33</f>
        <v>MS-HC</v>
      </c>
      <c r="E60" s="20" t="str">
        <f aca="false">'State Bays'!D33</f>
        <v>HC-A</v>
      </c>
      <c r="F60" s="20" t="str">
        <f aca="false">'State Bays'!E33</f>
        <v>CHALLENGE</v>
      </c>
      <c r="G60" s="20" t="str">
        <f aca="false">'State Bays'!F33</f>
        <v>HC-RS3</v>
      </c>
      <c r="H60" s="20" t="str">
        <f aca="false">'State Bays'!H33</f>
        <v>DENIED CONDITION</v>
      </c>
      <c r="I60" s="9" t="s">
        <v>405</v>
      </c>
      <c r="J60" s="11" t="s">
        <v>73</v>
      </c>
      <c r="K60" s="11" t="s">
        <v>73</v>
      </c>
      <c r="L60" s="11" t="n">
        <v>0</v>
      </c>
      <c r="M60" s="11" t="s">
        <v>41</v>
      </c>
    </row>
    <row r="61" customFormat="false" ht="15" hidden="false" customHeight="false" outlineLevel="0" collapsed="false">
      <c r="A61" s="20" t="str">
        <f aca="false">"MR-"&amp;'State Bays'!A34&amp;"-L1"</f>
        <v>MR-BAY-HC-CHA-4-L1</v>
      </c>
      <c r="B61" s="20" t="str">
        <f aca="false">'State Bays'!A34</f>
        <v>BAY-HC-CHA-4</v>
      </c>
      <c r="C61" s="20" t="str">
        <f aca="false">'State Bays'!B34</f>
        <v>ST-HC-CHA</v>
      </c>
      <c r="D61" s="20" t="str">
        <f aca="false">'State Bays'!C34</f>
        <v>MS-HC</v>
      </c>
      <c r="E61" s="20" t="str">
        <f aca="false">'State Bays'!D34</f>
        <v>HC-A</v>
      </c>
      <c r="F61" s="20" t="str">
        <f aca="false">'State Bays'!E34</f>
        <v>CHALLENGE</v>
      </c>
      <c r="G61" s="20" t="str">
        <f aca="false">'State Bays'!F34</f>
        <v>HC-RS4</v>
      </c>
      <c r="H61" s="20" t="str">
        <f aca="false">'State Bays'!H34</f>
        <v>DENIED CONDITION</v>
      </c>
      <c r="I61" s="9" t="s">
        <v>404</v>
      </c>
      <c r="J61" s="11" t="s">
        <v>73</v>
      </c>
      <c r="K61" s="11" t="s">
        <v>73</v>
      </c>
      <c r="L61" s="11" t="n">
        <v>0</v>
      </c>
      <c r="M61" s="11" t="s">
        <v>41</v>
      </c>
    </row>
    <row r="62" customFormat="false" ht="15" hidden="false" customHeight="false" outlineLevel="0" collapsed="false">
      <c r="A62" s="20" t="str">
        <f aca="false">"MR-"&amp;'State Bays'!A34&amp;"-L2"</f>
        <v>MR-BAY-HC-CHA-4-L2</v>
      </c>
      <c r="B62" s="20" t="str">
        <f aca="false">'State Bays'!A34</f>
        <v>BAY-HC-CHA-4</v>
      </c>
      <c r="C62" s="20" t="str">
        <f aca="false">'State Bays'!B34</f>
        <v>ST-HC-CHA</v>
      </c>
      <c r="D62" s="20" t="str">
        <f aca="false">'State Bays'!C34</f>
        <v>MS-HC</v>
      </c>
      <c r="E62" s="20" t="str">
        <f aca="false">'State Bays'!D34</f>
        <v>HC-A</v>
      </c>
      <c r="F62" s="20" t="str">
        <f aca="false">'State Bays'!E34</f>
        <v>CHALLENGE</v>
      </c>
      <c r="G62" s="20" t="str">
        <f aca="false">'State Bays'!F34</f>
        <v>HC-RS4</v>
      </c>
      <c r="H62" s="20" t="str">
        <f aca="false">'State Bays'!H34</f>
        <v>DENIED CONDITION</v>
      </c>
      <c r="I62" s="9" t="s">
        <v>405</v>
      </c>
      <c r="J62" s="11" t="s">
        <v>73</v>
      </c>
      <c r="K62" s="11" t="s">
        <v>73</v>
      </c>
      <c r="L62" s="11" t="n">
        <v>0</v>
      </c>
      <c r="M62" s="11" t="s">
        <v>41</v>
      </c>
    </row>
    <row r="63" customFormat="false" ht="15" hidden="false" customHeight="false" outlineLevel="0" collapsed="false">
      <c r="A63" s="20" t="str">
        <f aca="false">"MR-"&amp;'State Bays'!A35&amp;"-L1"</f>
        <v>MR-BAY-HC-CON-1-L1</v>
      </c>
      <c r="B63" s="20" t="str">
        <f aca="false">'State Bays'!A35</f>
        <v>BAY-HC-CON-1</v>
      </c>
      <c r="C63" s="20" t="str">
        <f aca="false">'State Bays'!B35</f>
        <v>ST-HC-CON</v>
      </c>
      <c r="D63" s="20" t="str">
        <f aca="false">'State Bays'!C35</f>
        <v>MS-HC</v>
      </c>
      <c r="E63" s="20" t="str">
        <f aca="false">'State Bays'!D35</f>
        <v>HC-A</v>
      </c>
      <c r="F63" s="20" t="str">
        <f aca="false">'State Bays'!E35</f>
        <v>CONTROL</v>
      </c>
      <c r="G63" s="20" t="str">
        <f aca="false">'State Bays'!F35</f>
        <v>HC-RS1</v>
      </c>
      <c r="H63" s="20" t="str">
        <f aca="false">'State Bays'!H35</f>
        <v>LOAD AND QUALITY</v>
      </c>
      <c r="I63" s="9" t="s">
        <v>404</v>
      </c>
      <c r="J63" s="11" t="s">
        <v>73</v>
      </c>
      <c r="K63" s="11" t="s">
        <v>73</v>
      </c>
      <c r="L63" s="11" t="n">
        <v>0</v>
      </c>
      <c r="M63" s="11" t="s">
        <v>41</v>
      </c>
    </row>
    <row r="64" customFormat="false" ht="15" hidden="false" customHeight="false" outlineLevel="0" collapsed="false">
      <c r="A64" s="20" t="str">
        <f aca="false">"MR-"&amp;'State Bays'!A35&amp;"-L2"</f>
        <v>MR-BAY-HC-CON-1-L2</v>
      </c>
      <c r="B64" s="20" t="str">
        <f aca="false">'State Bays'!A35</f>
        <v>BAY-HC-CON-1</v>
      </c>
      <c r="C64" s="20" t="str">
        <f aca="false">'State Bays'!B35</f>
        <v>ST-HC-CON</v>
      </c>
      <c r="D64" s="20" t="str">
        <f aca="false">'State Bays'!C35</f>
        <v>MS-HC</v>
      </c>
      <c r="E64" s="20" t="str">
        <f aca="false">'State Bays'!D35</f>
        <v>HC-A</v>
      </c>
      <c r="F64" s="20" t="str">
        <f aca="false">'State Bays'!E35</f>
        <v>CONTROL</v>
      </c>
      <c r="G64" s="20" t="str">
        <f aca="false">'State Bays'!F35</f>
        <v>HC-RS1</v>
      </c>
      <c r="H64" s="20" t="str">
        <f aca="false">'State Bays'!H35</f>
        <v>LOAD AND QUALITY</v>
      </c>
      <c r="I64" s="9" t="s">
        <v>405</v>
      </c>
      <c r="J64" s="11" t="s">
        <v>73</v>
      </c>
      <c r="K64" s="11" t="s">
        <v>73</v>
      </c>
      <c r="L64" s="11" t="n">
        <v>0</v>
      </c>
      <c r="M64" s="11" t="s">
        <v>41</v>
      </c>
    </row>
    <row r="65" customFormat="false" ht="15" hidden="false" customHeight="false" outlineLevel="0" collapsed="false">
      <c r="A65" s="20" t="str">
        <f aca="false">"MR-"&amp;'State Bays'!A36&amp;"-L1"</f>
        <v>MR-BAY-HC-CON-2-L1</v>
      </c>
      <c r="B65" s="20" t="str">
        <f aca="false">'State Bays'!A36</f>
        <v>BAY-HC-CON-2</v>
      </c>
      <c r="C65" s="20" t="str">
        <f aca="false">'State Bays'!B36</f>
        <v>ST-HC-CON</v>
      </c>
      <c r="D65" s="20" t="str">
        <f aca="false">'State Bays'!C36</f>
        <v>MS-HC</v>
      </c>
      <c r="E65" s="20" t="str">
        <f aca="false">'State Bays'!D36</f>
        <v>HC-A</v>
      </c>
      <c r="F65" s="20" t="str">
        <f aca="false">'State Bays'!E36</f>
        <v>CONTROL</v>
      </c>
      <c r="G65" s="20" t="str">
        <f aca="false">'State Bays'!F36</f>
        <v>HC-RS2</v>
      </c>
      <c r="H65" s="20" t="str">
        <f aca="false">'State Bays'!H36</f>
        <v>LOAD AND QUALITY</v>
      </c>
      <c r="I65" s="9" t="s">
        <v>404</v>
      </c>
      <c r="J65" s="11" t="s">
        <v>73</v>
      </c>
      <c r="K65" s="11" t="s">
        <v>73</v>
      </c>
      <c r="L65" s="11" t="n">
        <v>0</v>
      </c>
      <c r="M65" s="11" t="s">
        <v>41</v>
      </c>
    </row>
    <row r="66" customFormat="false" ht="15" hidden="false" customHeight="false" outlineLevel="0" collapsed="false">
      <c r="A66" s="20" t="str">
        <f aca="false">"MR-"&amp;'State Bays'!A36&amp;"-L2"</f>
        <v>MR-BAY-HC-CON-2-L2</v>
      </c>
      <c r="B66" s="20" t="str">
        <f aca="false">'State Bays'!A36</f>
        <v>BAY-HC-CON-2</v>
      </c>
      <c r="C66" s="20" t="str">
        <f aca="false">'State Bays'!B36</f>
        <v>ST-HC-CON</v>
      </c>
      <c r="D66" s="20" t="str">
        <f aca="false">'State Bays'!C36</f>
        <v>MS-HC</v>
      </c>
      <c r="E66" s="20" t="str">
        <f aca="false">'State Bays'!D36</f>
        <v>HC-A</v>
      </c>
      <c r="F66" s="20" t="str">
        <f aca="false">'State Bays'!E36</f>
        <v>CONTROL</v>
      </c>
      <c r="G66" s="20" t="str">
        <f aca="false">'State Bays'!F36</f>
        <v>HC-RS2</v>
      </c>
      <c r="H66" s="20" t="str">
        <f aca="false">'State Bays'!H36</f>
        <v>LOAD AND QUALITY</v>
      </c>
      <c r="I66" s="9" t="s">
        <v>405</v>
      </c>
      <c r="J66" s="11" t="s">
        <v>73</v>
      </c>
      <c r="K66" s="11" t="s">
        <v>73</v>
      </c>
      <c r="L66" s="11" t="n">
        <v>0</v>
      </c>
      <c r="M66" s="11" t="s">
        <v>41</v>
      </c>
    </row>
    <row r="67" customFormat="false" ht="15" hidden="false" customHeight="false" outlineLevel="0" collapsed="false">
      <c r="A67" s="20" t="str">
        <f aca="false">"MR-"&amp;'State Bays'!A37&amp;"-L1"</f>
        <v>MR-BAY-HC-CON-3-L1</v>
      </c>
      <c r="B67" s="20" t="str">
        <f aca="false">'State Bays'!A37</f>
        <v>BAY-HC-CON-3</v>
      </c>
      <c r="C67" s="20" t="str">
        <f aca="false">'State Bays'!B37</f>
        <v>ST-HC-CON</v>
      </c>
      <c r="D67" s="20" t="str">
        <f aca="false">'State Bays'!C37</f>
        <v>MS-HC</v>
      </c>
      <c r="E67" s="20" t="str">
        <f aca="false">'State Bays'!D37</f>
        <v>HC-A</v>
      </c>
      <c r="F67" s="20" t="str">
        <f aca="false">'State Bays'!E37</f>
        <v>CONTROL</v>
      </c>
      <c r="G67" s="20" t="str">
        <f aca="false">'State Bays'!F37</f>
        <v>HC-RS3</v>
      </c>
      <c r="H67" s="20" t="str">
        <f aca="false">'State Bays'!H37</f>
        <v>LOAD AND QUALITY</v>
      </c>
      <c r="I67" s="9" t="s">
        <v>404</v>
      </c>
      <c r="J67" s="11" t="s">
        <v>73</v>
      </c>
      <c r="K67" s="11" t="s">
        <v>73</v>
      </c>
      <c r="L67" s="11" t="n">
        <v>0</v>
      </c>
      <c r="M67" s="11" t="s">
        <v>41</v>
      </c>
    </row>
    <row r="68" customFormat="false" ht="15" hidden="false" customHeight="false" outlineLevel="0" collapsed="false">
      <c r="A68" s="20" t="str">
        <f aca="false">"MR-"&amp;'State Bays'!A37&amp;"-L2"</f>
        <v>MR-BAY-HC-CON-3-L2</v>
      </c>
      <c r="B68" s="20" t="str">
        <f aca="false">'State Bays'!A37</f>
        <v>BAY-HC-CON-3</v>
      </c>
      <c r="C68" s="20" t="str">
        <f aca="false">'State Bays'!B37</f>
        <v>ST-HC-CON</v>
      </c>
      <c r="D68" s="20" t="str">
        <f aca="false">'State Bays'!C37</f>
        <v>MS-HC</v>
      </c>
      <c r="E68" s="20" t="str">
        <f aca="false">'State Bays'!D37</f>
        <v>HC-A</v>
      </c>
      <c r="F68" s="20" t="str">
        <f aca="false">'State Bays'!E37</f>
        <v>CONTROL</v>
      </c>
      <c r="G68" s="20" t="str">
        <f aca="false">'State Bays'!F37</f>
        <v>HC-RS3</v>
      </c>
      <c r="H68" s="20" t="str">
        <f aca="false">'State Bays'!H37</f>
        <v>LOAD AND QUALITY</v>
      </c>
      <c r="I68" s="9" t="s">
        <v>405</v>
      </c>
      <c r="J68" s="11" t="s">
        <v>73</v>
      </c>
      <c r="K68" s="11" t="s">
        <v>73</v>
      </c>
      <c r="L68" s="11" t="n">
        <v>0</v>
      </c>
      <c r="M68" s="11" t="s">
        <v>41</v>
      </c>
    </row>
    <row r="69" customFormat="false" ht="15" hidden="false" customHeight="false" outlineLevel="0" collapsed="false">
      <c r="A69" s="20" t="str">
        <f aca="false">"MR-"&amp;'State Bays'!A38&amp;"-L1"</f>
        <v>MR-BAY-HC-CON-4-L1</v>
      </c>
      <c r="B69" s="20" t="str">
        <f aca="false">'State Bays'!A38</f>
        <v>BAY-HC-CON-4</v>
      </c>
      <c r="C69" s="20" t="str">
        <f aca="false">'State Bays'!B38</f>
        <v>ST-HC-CON</v>
      </c>
      <c r="D69" s="20" t="str">
        <f aca="false">'State Bays'!C38</f>
        <v>MS-HC</v>
      </c>
      <c r="E69" s="20" t="str">
        <f aca="false">'State Bays'!D38</f>
        <v>HC-A</v>
      </c>
      <c r="F69" s="20" t="str">
        <f aca="false">'State Bays'!E38</f>
        <v>CONTROL</v>
      </c>
      <c r="G69" s="20" t="str">
        <f aca="false">'State Bays'!F38</f>
        <v>HC-RS4</v>
      </c>
      <c r="H69" s="20" t="str">
        <f aca="false">'State Bays'!H38</f>
        <v>LOAD AND QUALITY</v>
      </c>
      <c r="I69" s="9" t="s">
        <v>404</v>
      </c>
      <c r="J69" s="11" t="s">
        <v>73</v>
      </c>
      <c r="K69" s="11" t="s">
        <v>73</v>
      </c>
      <c r="L69" s="11" t="n">
        <v>0</v>
      </c>
      <c r="M69" s="11" t="s">
        <v>41</v>
      </c>
    </row>
    <row r="70" customFormat="false" ht="15" hidden="false" customHeight="false" outlineLevel="0" collapsed="false">
      <c r="A70" s="20" t="str">
        <f aca="false">"MR-"&amp;'State Bays'!A38&amp;"-L2"</f>
        <v>MR-BAY-HC-CON-4-L2</v>
      </c>
      <c r="B70" s="20" t="str">
        <f aca="false">'State Bays'!A38</f>
        <v>BAY-HC-CON-4</v>
      </c>
      <c r="C70" s="20" t="str">
        <f aca="false">'State Bays'!B38</f>
        <v>ST-HC-CON</v>
      </c>
      <c r="D70" s="20" t="str">
        <f aca="false">'State Bays'!C38</f>
        <v>MS-HC</v>
      </c>
      <c r="E70" s="20" t="str">
        <f aca="false">'State Bays'!D38</f>
        <v>HC-A</v>
      </c>
      <c r="F70" s="20" t="str">
        <f aca="false">'State Bays'!E38</f>
        <v>CONTROL</v>
      </c>
      <c r="G70" s="20" t="str">
        <f aca="false">'State Bays'!F38</f>
        <v>HC-RS4</v>
      </c>
      <c r="H70" s="20" t="str">
        <f aca="false">'State Bays'!H38</f>
        <v>LOAD AND QUALITY</v>
      </c>
      <c r="I70" s="9" t="s">
        <v>405</v>
      </c>
      <c r="J70" s="11" t="s">
        <v>73</v>
      </c>
      <c r="K70" s="11" t="s">
        <v>73</v>
      </c>
      <c r="L70" s="11" t="n">
        <v>0</v>
      </c>
      <c r="M70" s="11" t="s">
        <v>41</v>
      </c>
    </row>
    <row r="71" customFormat="false" ht="15" hidden="false" customHeight="false" outlineLevel="0" collapsed="false">
      <c r="A71" s="20" t="str">
        <f aca="false">"MR-"&amp;'State Bays'!A39&amp;"-L1"</f>
        <v>MR-BAY-HC-REC-1-L1</v>
      </c>
      <c r="B71" s="20" t="str">
        <f aca="false">'State Bays'!A39</f>
        <v>BAY-HC-REC-1</v>
      </c>
      <c r="C71" s="20" t="str">
        <f aca="false">'State Bays'!B39</f>
        <v>ST-HC-REC</v>
      </c>
      <c r="D71" s="20" t="str">
        <f aca="false">'State Bays'!C39</f>
        <v>MS-HC</v>
      </c>
      <c r="E71" s="20" t="str">
        <f aca="false">'State Bays'!D39</f>
        <v>HC-A</v>
      </c>
      <c r="F71" s="20" t="str">
        <f aca="false">'State Bays'!E39</f>
        <v>RECONSTRUCTION</v>
      </c>
      <c r="G71" s="20" t="str">
        <f aca="false">'State Bays'!F39</f>
        <v>HC-RS1</v>
      </c>
      <c r="H71" s="20" t="str">
        <f aca="false">'State Bays'!H39</f>
        <v>RECOVERY AND BURDEN</v>
      </c>
      <c r="I71" s="9" t="s">
        <v>404</v>
      </c>
      <c r="J71" s="11" t="s">
        <v>73</v>
      </c>
      <c r="K71" s="11" t="s">
        <v>73</v>
      </c>
      <c r="L71" s="11" t="n">
        <v>0</v>
      </c>
      <c r="M71" s="11" t="s">
        <v>41</v>
      </c>
    </row>
    <row r="72" customFormat="false" ht="15" hidden="false" customHeight="false" outlineLevel="0" collapsed="false">
      <c r="A72" s="20" t="str">
        <f aca="false">"MR-"&amp;'State Bays'!A39&amp;"-L2"</f>
        <v>MR-BAY-HC-REC-1-L2</v>
      </c>
      <c r="B72" s="20" t="str">
        <f aca="false">'State Bays'!A39</f>
        <v>BAY-HC-REC-1</v>
      </c>
      <c r="C72" s="20" t="str">
        <f aca="false">'State Bays'!B39</f>
        <v>ST-HC-REC</v>
      </c>
      <c r="D72" s="20" t="str">
        <f aca="false">'State Bays'!C39</f>
        <v>MS-HC</v>
      </c>
      <c r="E72" s="20" t="str">
        <f aca="false">'State Bays'!D39</f>
        <v>HC-A</v>
      </c>
      <c r="F72" s="20" t="str">
        <f aca="false">'State Bays'!E39</f>
        <v>RECONSTRUCTION</v>
      </c>
      <c r="G72" s="20" t="str">
        <f aca="false">'State Bays'!F39</f>
        <v>HC-RS1</v>
      </c>
      <c r="H72" s="20" t="str">
        <f aca="false">'State Bays'!H39</f>
        <v>RECOVERY AND BURDEN</v>
      </c>
      <c r="I72" s="9" t="s">
        <v>405</v>
      </c>
      <c r="J72" s="11" t="s">
        <v>73</v>
      </c>
      <c r="K72" s="11" t="s">
        <v>73</v>
      </c>
      <c r="L72" s="11" t="n">
        <v>0</v>
      </c>
      <c r="M72" s="11" t="s">
        <v>41</v>
      </c>
    </row>
    <row r="73" customFormat="false" ht="15" hidden="false" customHeight="false" outlineLevel="0" collapsed="false">
      <c r="A73" s="20" t="str">
        <f aca="false">"MR-"&amp;'State Bays'!A40&amp;"-L1"</f>
        <v>MR-BAY-HC-REC-2-L1</v>
      </c>
      <c r="B73" s="20" t="str">
        <f aca="false">'State Bays'!A40</f>
        <v>BAY-HC-REC-2</v>
      </c>
      <c r="C73" s="20" t="str">
        <f aca="false">'State Bays'!B40</f>
        <v>ST-HC-REC</v>
      </c>
      <c r="D73" s="20" t="str">
        <f aca="false">'State Bays'!C40</f>
        <v>MS-HC</v>
      </c>
      <c r="E73" s="20" t="str">
        <f aca="false">'State Bays'!D40</f>
        <v>HC-A</v>
      </c>
      <c r="F73" s="20" t="str">
        <f aca="false">'State Bays'!E40</f>
        <v>RECONSTRUCTION</v>
      </c>
      <c r="G73" s="20" t="str">
        <f aca="false">'State Bays'!F40</f>
        <v>HC-RS2</v>
      </c>
      <c r="H73" s="20" t="str">
        <f aca="false">'State Bays'!H40</f>
        <v>RECOVERY AND BURDEN</v>
      </c>
      <c r="I73" s="9" t="s">
        <v>404</v>
      </c>
      <c r="J73" s="11" t="s">
        <v>73</v>
      </c>
      <c r="K73" s="11" t="s">
        <v>73</v>
      </c>
      <c r="L73" s="11" t="n">
        <v>0</v>
      </c>
      <c r="M73" s="11" t="s">
        <v>41</v>
      </c>
    </row>
    <row r="74" customFormat="false" ht="15" hidden="false" customHeight="false" outlineLevel="0" collapsed="false">
      <c r="A74" s="20" t="str">
        <f aca="false">"MR-"&amp;'State Bays'!A40&amp;"-L2"</f>
        <v>MR-BAY-HC-REC-2-L2</v>
      </c>
      <c r="B74" s="20" t="str">
        <f aca="false">'State Bays'!A40</f>
        <v>BAY-HC-REC-2</v>
      </c>
      <c r="C74" s="20" t="str">
        <f aca="false">'State Bays'!B40</f>
        <v>ST-HC-REC</v>
      </c>
      <c r="D74" s="20" t="str">
        <f aca="false">'State Bays'!C40</f>
        <v>MS-HC</v>
      </c>
      <c r="E74" s="20" t="str">
        <f aca="false">'State Bays'!D40</f>
        <v>HC-A</v>
      </c>
      <c r="F74" s="20" t="str">
        <f aca="false">'State Bays'!E40</f>
        <v>RECONSTRUCTION</v>
      </c>
      <c r="G74" s="20" t="str">
        <f aca="false">'State Bays'!F40</f>
        <v>HC-RS2</v>
      </c>
      <c r="H74" s="20" t="str">
        <f aca="false">'State Bays'!H40</f>
        <v>RECOVERY AND BURDEN</v>
      </c>
      <c r="I74" s="9" t="s">
        <v>405</v>
      </c>
      <c r="J74" s="11" t="s">
        <v>73</v>
      </c>
      <c r="K74" s="11" t="s">
        <v>73</v>
      </c>
      <c r="L74" s="11" t="n">
        <v>0</v>
      </c>
      <c r="M74" s="11" t="s">
        <v>41</v>
      </c>
    </row>
    <row r="75" customFormat="false" ht="15" hidden="false" customHeight="false" outlineLevel="0" collapsed="false">
      <c r="A75" s="20" t="str">
        <f aca="false">"MR-"&amp;'State Bays'!A41&amp;"-L1"</f>
        <v>MR-BAY-HC-REC-3-L1</v>
      </c>
      <c r="B75" s="20" t="str">
        <f aca="false">'State Bays'!A41</f>
        <v>BAY-HC-REC-3</v>
      </c>
      <c r="C75" s="20" t="str">
        <f aca="false">'State Bays'!B41</f>
        <v>ST-HC-REC</v>
      </c>
      <c r="D75" s="20" t="str">
        <f aca="false">'State Bays'!C41</f>
        <v>MS-HC</v>
      </c>
      <c r="E75" s="20" t="str">
        <f aca="false">'State Bays'!D41</f>
        <v>HC-A</v>
      </c>
      <c r="F75" s="20" t="str">
        <f aca="false">'State Bays'!E41</f>
        <v>RECONSTRUCTION</v>
      </c>
      <c r="G75" s="20" t="str">
        <f aca="false">'State Bays'!F41</f>
        <v>HC-RS3</v>
      </c>
      <c r="H75" s="20" t="str">
        <f aca="false">'State Bays'!H41</f>
        <v>RECOVERY AND BURDEN</v>
      </c>
      <c r="I75" s="9" t="s">
        <v>404</v>
      </c>
      <c r="J75" s="11" t="s">
        <v>73</v>
      </c>
      <c r="K75" s="11" t="s">
        <v>73</v>
      </c>
      <c r="L75" s="11" t="n">
        <v>0</v>
      </c>
      <c r="M75" s="11" t="s">
        <v>41</v>
      </c>
    </row>
    <row r="76" customFormat="false" ht="15" hidden="false" customHeight="false" outlineLevel="0" collapsed="false">
      <c r="A76" s="20" t="str">
        <f aca="false">"MR-"&amp;'State Bays'!A41&amp;"-L2"</f>
        <v>MR-BAY-HC-REC-3-L2</v>
      </c>
      <c r="B76" s="20" t="str">
        <f aca="false">'State Bays'!A41</f>
        <v>BAY-HC-REC-3</v>
      </c>
      <c r="C76" s="20" t="str">
        <f aca="false">'State Bays'!B41</f>
        <v>ST-HC-REC</v>
      </c>
      <c r="D76" s="20" t="str">
        <f aca="false">'State Bays'!C41</f>
        <v>MS-HC</v>
      </c>
      <c r="E76" s="20" t="str">
        <f aca="false">'State Bays'!D41</f>
        <v>HC-A</v>
      </c>
      <c r="F76" s="20" t="str">
        <f aca="false">'State Bays'!E41</f>
        <v>RECONSTRUCTION</v>
      </c>
      <c r="G76" s="20" t="str">
        <f aca="false">'State Bays'!F41</f>
        <v>HC-RS3</v>
      </c>
      <c r="H76" s="20" t="str">
        <f aca="false">'State Bays'!H41</f>
        <v>RECOVERY AND BURDEN</v>
      </c>
      <c r="I76" s="9" t="s">
        <v>405</v>
      </c>
      <c r="J76" s="11" t="s">
        <v>73</v>
      </c>
      <c r="K76" s="11" t="s">
        <v>73</v>
      </c>
      <c r="L76" s="11" t="n">
        <v>0</v>
      </c>
      <c r="M76" s="11" t="s">
        <v>41</v>
      </c>
    </row>
    <row r="77" customFormat="false" ht="15" hidden="false" customHeight="false" outlineLevel="0" collapsed="false">
      <c r="A77" s="20" t="str">
        <f aca="false">"MR-"&amp;'State Bays'!A42&amp;"-L1"</f>
        <v>MR-BAY-HC-REC-4-L1</v>
      </c>
      <c r="B77" s="20" t="str">
        <f aca="false">'State Bays'!A42</f>
        <v>BAY-HC-REC-4</v>
      </c>
      <c r="C77" s="20" t="str">
        <f aca="false">'State Bays'!B42</f>
        <v>ST-HC-REC</v>
      </c>
      <c r="D77" s="20" t="str">
        <f aca="false">'State Bays'!C42</f>
        <v>MS-HC</v>
      </c>
      <c r="E77" s="20" t="str">
        <f aca="false">'State Bays'!D42</f>
        <v>HC-A</v>
      </c>
      <c r="F77" s="20" t="str">
        <f aca="false">'State Bays'!E42</f>
        <v>RECONSTRUCTION</v>
      </c>
      <c r="G77" s="20" t="str">
        <f aca="false">'State Bays'!F42</f>
        <v>HC-RS4</v>
      </c>
      <c r="H77" s="20" t="str">
        <f aca="false">'State Bays'!H42</f>
        <v>RECOVERY AND BURDEN</v>
      </c>
      <c r="I77" s="9" t="s">
        <v>404</v>
      </c>
      <c r="J77" s="11" t="s">
        <v>73</v>
      </c>
      <c r="K77" s="11" t="s">
        <v>73</v>
      </c>
      <c r="L77" s="11" t="n">
        <v>0</v>
      </c>
      <c r="M77" s="11" t="s">
        <v>41</v>
      </c>
    </row>
    <row r="78" customFormat="false" ht="15" hidden="false" customHeight="false" outlineLevel="0" collapsed="false">
      <c r="A78" s="20" t="str">
        <f aca="false">"MR-"&amp;'State Bays'!A42&amp;"-L2"</f>
        <v>MR-BAY-HC-REC-4-L2</v>
      </c>
      <c r="B78" s="20" t="str">
        <f aca="false">'State Bays'!A42</f>
        <v>BAY-HC-REC-4</v>
      </c>
      <c r="C78" s="20" t="str">
        <f aca="false">'State Bays'!B42</f>
        <v>ST-HC-REC</v>
      </c>
      <c r="D78" s="20" t="str">
        <f aca="false">'State Bays'!C42</f>
        <v>MS-HC</v>
      </c>
      <c r="E78" s="20" t="str">
        <f aca="false">'State Bays'!D42</f>
        <v>HC-A</v>
      </c>
      <c r="F78" s="20" t="str">
        <f aca="false">'State Bays'!E42</f>
        <v>RECONSTRUCTION</v>
      </c>
      <c r="G78" s="20" t="str">
        <f aca="false">'State Bays'!F42</f>
        <v>HC-RS4</v>
      </c>
      <c r="H78" s="20" t="str">
        <f aca="false">'State Bays'!H42</f>
        <v>RECOVERY AND BURDEN</v>
      </c>
      <c r="I78" s="9" t="s">
        <v>405</v>
      </c>
      <c r="J78" s="11" t="s">
        <v>73</v>
      </c>
      <c r="K78" s="11" t="s">
        <v>73</v>
      </c>
      <c r="L78" s="11" t="n">
        <v>0</v>
      </c>
      <c r="M78" s="11" t="s">
        <v>41</v>
      </c>
    </row>
    <row r="79" customFormat="false" ht="15" hidden="false" customHeight="false" outlineLevel="0" collapsed="false">
      <c r="A79" s="20" t="str">
        <f aca="false">"MR-"&amp;'State Bays'!A43&amp;"-L1"</f>
        <v>MR-BAY-LF-CHA-1-L1</v>
      </c>
      <c r="B79" s="20" t="str">
        <f aca="false">'State Bays'!A43</f>
        <v>BAY-LF-CHA-1</v>
      </c>
      <c r="C79" s="20" t="str">
        <f aca="false">'State Bays'!B43</f>
        <v>ST-LF-CHA</v>
      </c>
      <c r="D79" s="20" t="str">
        <f aca="false">'State Bays'!C43</f>
        <v>MS-LF</v>
      </c>
      <c r="E79" s="20" t="str">
        <f aca="false">'State Bays'!D43</f>
        <v>LF-B</v>
      </c>
      <c r="F79" s="20" t="str">
        <f aca="false">'State Bays'!E43</f>
        <v>CHALLENGE</v>
      </c>
      <c r="G79" s="20" t="str">
        <f aca="false">'State Bays'!F43</f>
        <v>LF-RS1</v>
      </c>
      <c r="H79" s="20" t="str">
        <f aca="false">'State Bays'!H43</f>
        <v>DENIED CONDITION</v>
      </c>
      <c r="I79" s="9" t="s">
        <v>404</v>
      </c>
      <c r="J79" s="11" t="s">
        <v>73</v>
      </c>
      <c r="K79" s="11" t="s">
        <v>73</v>
      </c>
      <c r="L79" s="11" t="n">
        <v>0</v>
      </c>
      <c r="M79" s="11" t="s">
        <v>41</v>
      </c>
    </row>
    <row r="80" customFormat="false" ht="15" hidden="false" customHeight="false" outlineLevel="0" collapsed="false">
      <c r="A80" s="20" t="str">
        <f aca="false">"MR-"&amp;'State Bays'!A43&amp;"-L2"</f>
        <v>MR-BAY-LF-CHA-1-L2</v>
      </c>
      <c r="B80" s="20" t="str">
        <f aca="false">'State Bays'!A43</f>
        <v>BAY-LF-CHA-1</v>
      </c>
      <c r="C80" s="20" t="str">
        <f aca="false">'State Bays'!B43</f>
        <v>ST-LF-CHA</v>
      </c>
      <c r="D80" s="20" t="str">
        <f aca="false">'State Bays'!C43</f>
        <v>MS-LF</v>
      </c>
      <c r="E80" s="20" t="str">
        <f aca="false">'State Bays'!D43</f>
        <v>LF-B</v>
      </c>
      <c r="F80" s="20" t="str">
        <f aca="false">'State Bays'!E43</f>
        <v>CHALLENGE</v>
      </c>
      <c r="G80" s="20" t="str">
        <f aca="false">'State Bays'!F43</f>
        <v>LF-RS1</v>
      </c>
      <c r="H80" s="20" t="str">
        <f aca="false">'State Bays'!H43</f>
        <v>DENIED CONDITION</v>
      </c>
      <c r="I80" s="9" t="s">
        <v>405</v>
      </c>
      <c r="J80" s="11" t="s">
        <v>73</v>
      </c>
      <c r="K80" s="11" t="s">
        <v>73</v>
      </c>
      <c r="L80" s="11" t="n">
        <v>0</v>
      </c>
      <c r="M80" s="11" t="s">
        <v>41</v>
      </c>
    </row>
    <row r="81" customFormat="false" ht="15" hidden="false" customHeight="false" outlineLevel="0" collapsed="false">
      <c r="A81" s="20" t="str">
        <f aca="false">"MR-"&amp;'State Bays'!A44&amp;"-L1"</f>
        <v>MR-BAY-LF-CHA-2-L1</v>
      </c>
      <c r="B81" s="20" t="str">
        <f aca="false">'State Bays'!A44</f>
        <v>BAY-LF-CHA-2</v>
      </c>
      <c r="C81" s="20" t="str">
        <f aca="false">'State Bays'!B44</f>
        <v>ST-LF-CHA</v>
      </c>
      <c r="D81" s="20" t="str">
        <f aca="false">'State Bays'!C44</f>
        <v>MS-LF</v>
      </c>
      <c r="E81" s="20" t="str">
        <f aca="false">'State Bays'!D44</f>
        <v>LF-B</v>
      </c>
      <c r="F81" s="20" t="str">
        <f aca="false">'State Bays'!E44</f>
        <v>CHALLENGE</v>
      </c>
      <c r="G81" s="20" t="str">
        <f aca="false">'State Bays'!F44</f>
        <v>LF-RS2</v>
      </c>
      <c r="H81" s="20" t="str">
        <f aca="false">'State Bays'!H44</f>
        <v>DENIED CONDITION</v>
      </c>
      <c r="I81" s="9" t="s">
        <v>404</v>
      </c>
      <c r="J81" s="11" t="s">
        <v>73</v>
      </c>
      <c r="K81" s="11" t="s">
        <v>73</v>
      </c>
      <c r="L81" s="11" t="n">
        <v>0</v>
      </c>
      <c r="M81" s="11" t="s">
        <v>41</v>
      </c>
    </row>
    <row r="82" customFormat="false" ht="15" hidden="false" customHeight="false" outlineLevel="0" collapsed="false">
      <c r="A82" s="20" t="str">
        <f aca="false">"MR-"&amp;'State Bays'!A44&amp;"-L2"</f>
        <v>MR-BAY-LF-CHA-2-L2</v>
      </c>
      <c r="B82" s="20" t="str">
        <f aca="false">'State Bays'!A44</f>
        <v>BAY-LF-CHA-2</v>
      </c>
      <c r="C82" s="20" t="str">
        <f aca="false">'State Bays'!B44</f>
        <v>ST-LF-CHA</v>
      </c>
      <c r="D82" s="20" t="str">
        <f aca="false">'State Bays'!C44</f>
        <v>MS-LF</v>
      </c>
      <c r="E82" s="20" t="str">
        <f aca="false">'State Bays'!D44</f>
        <v>LF-B</v>
      </c>
      <c r="F82" s="20" t="str">
        <f aca="false">'State Bays'!E44</f>
        <v>CHALLENGE</v>
      </c>
      <c r="G82" s="20" t="str">
        <f aca="false">'State Bays'!F44</f>
        <v>LF-RS2</v>
      </c>
      <c r="H82" s="20" t="str">
        <f aca="false">'State Bays'!H44</f>
        <v>DENIED CONDITION</v>
      </c>
      <c r="I82" s="9" t="s">
        <v>405</v>
      </c>
      <c r="J82" s="11" t="s">
        <v>73</v>
      </c>
      <c r="K82" s="11" t="s">
        <v>73</v>
      </c>
      <c r="L82" s="11" t="n">
        <v>0</v>
      </c>
      <c r="M82" s="11" t="s">
        <v>41</v>
      </c>
    </row>
    <row r="83" customFormat="false" ht="15" hidden="false" customHeight="false" outlineLevel="0" collapsed="false">
      <c r="A83" s="20" t="str">
        <f aca="false">"MR-"&amp;'State Bays'!A45&amp;"-L1"</f>
        <v>MR-BAY-LF-CHA-3-L1</v>
      </c>
      <c r="B83" s="20" t="str">
        <f aca="false">'State Bays'!A45</f>
        <v>BAY-LF-CHA-3</v>
      </c>
      <c r="C83" s="20" t="str">
        <f aca="false">'State Bays'!B45</f>
        <v>ST-LF-CHA</v>
      </c>
      <c r="D83" s="20" t="str">
        <f aca="false">'State Bays'!C45</f>
        <v>MS-LF</v>
      </c>
      <c r="E83" s="20" t="str">
        <f aca="false">'State Bays'!D45</f>
        <v>LF-B</v>
      </c>
      <c r="F83" s="20" t="str">
        <f aca="false">'State Bays'!E45</f>
        <v>CHALLENGE</v>
      </c>
      <c r="G83" s="20" t="str">
        <f aca="false">'State Bays'!F45</f>
        <v>LF-RS3</v>
      </c>
      <c r="H83" s="20" t="str">
        <f aca="false">'State Bays'!H45</f>
        <v>DENIED CONDITION</v>
      </c>
      <c r="I83" s="9" t="s">
        <v>404</v>
      </c>
      <c r="J83" s="11" t="s">
        <v>73</v>
      </c>
      <c r="K83" s="11" t="s">
        <v>73</v>
      </c>
      <c r="L83" s="11" t="n">
        <v>0</v>
      </c>
      <c r="M83" s="11" t="s">
        <v>41</v>
      </c>
    </row>
    <row r="84" customFormat="false" ht="15" hidden="false" customHeight="false" outlineLevel="0" collapsed="false">
      <c r="A84" s="20" t="str">
        <f aca="false">"MR-"&amp;'State Bays'!A45&amp;"-L2"</f>
        <v>MR-BAY-LF-CHA-3-L2</v>
      </c>
      <c r="B84" s="20" t="str">
        <f aca="false">'State Bays'!A45</f>
        <v>BAY-LF-CHA-3</v>
      </c>
      <c r="C84" s="20" t="str">
        <f aca="false">'State Bays'!B45</f>
        <v>ST-LF-CHA</v>
      </c>
      <c r="D84" s="20" t="str">
        <f aca="false">'State Bays'!C45</f>
        <v>MS-LF</v>
      </c>
      <c r="E84" s="20" t="str">
        <f aca="false">'State Bays'!D45</f>
        <v>LF-B</v>
      </c>
      <c r="F84" s="20" t="str">
        <f aca="false">'State Bays'!E45</f>
        <v>CHALLENGE</v>
      </c>
      <c r="G84" s="20" t="str">
        <f aca="false">'State Bays'!F45</f>
        <v>LF-RS3</v>
      </c>
      <c r="H84" s="20" t="str">
        <f aca="false">'State Bays'!H45</f>
        <v>DENIED CONDITION</v>
      </c>
      <c r="I84" s="9" t="s">
        <v>405</v>
      </c>
      <c r="J84" s="11" t="s">
        <v>73</v>
      </c>
      <c r="K84" s="11" t="s">
        <v>73</v>
      </c>
      <c r="L84" s="11" t="n">
        <v>0</v>
      </c>
      <c r="M84" s="11" t="s">
        <v>41</v>
      </c>
    </row>
    <row r="85" customFormat="false" ht="15" hidden="false" customHeight="false" outlineLevel="0" collapsed="false">
      <c r="A85" s="20" t="str">
        <f aca="false">"MR-"&amp;'State Bays'!A46&amp;"-L1"</f>
        <v>MR-BAY-LF-CHA-4-L1</v>
      </c>
      <c r="B85" s="20" t="str">
        <f aca="false">'State Bays'!A46</f>
        <v>BAY-LF-CHA-4</v>
      </c>
      <c r="C85" s="20" t="str">
        <f aca="false">'State Bays'!B46</f>
        <v>ST-LF-CHA</v>
      </c>
      <c r="D85" s="20" t="str">
        <f aca="false">'State Bays'!C46</f>
        <v>MS-LF</v>
      </c>
      <c r="E85" s="20" t="str">
        <f aca="false">'State Bays'!D46</f>
        <v>LF-B</v>
      </c>
      <c r="F85" s="20" t="str">
        <f aca="false">'State Bays'!E46</f>
        <v>CHALLENGE</v>
      </c>
      <c r="G85" s="20" t="str">
        <f aca="false">'State Bays'!F46</f>
        <v>LF-RS4</v>
      </c>
      <c r="H85" s="20" t="str">
        <f aca="false">'State Bays'!H46</f>
        <v>DENIED CONDITION</v>
      </c>
      <c r="I85" s="9" t="s">
        <v>404</v>
      </c>
      <c r="J85" s="11" t="s">
        <v>73</v>
      </c>
      <c r="K85" s="11" t="s">
        <v>73</v>
      </c>
      <c r="L85" s="11" t="n">
        <v>0</v>
      </c>
      <c r="M85" s="11" t="s">
        <v>41</v>
      </c>
    </row>
    <row r="86" customFormat="false" ht="15" hidden="false" customHeight="false" outlineLevel="0" collapsed="false">
      <c r="A86" s="20" t="str">
        <f aca="false">"MR-"&amp;'State Bays'!A46&amp;"-L2"</f>
        <v>MR-BAY-LF-CHA-4-L2</v>
      </c>
      <c r="B86" s="20" t="str">
        <f aca="false">'State Bays'!A46</f>
        <v>BAY-LF-CHA-4</v>
      </c>
      <c r="C86" s="20" t="str">
        <f aca="false">'State Bays'!B46</f>
        <v>ST-LF-CHA</v>
      </c>
      <c r="D86" s="20" t="str">
        <f aca="false">'State Bays'!C46</f>
        <v>MS-LF</v>
      </c>
      <c r="E86" s="20" t="str">
        <f aca="false">'State Bays'!D46</f>
        <v>LF-B</v>
      </c>
      <c r="F86" s="20" t="str">
        <f aca="false">'State Bays'!E46</f>
        <v>CHALLENGE</v>
      </c>
      <c r="G86" s="20" t="str">
        <f aca="false">'State Bays'!F46</f>
        <v>LF-RS4</v>
      </c>
      <c r="H86" s="20" t="str">
        <f aca="false">'State Bays'!H46</f>
        <v>DENIED CONDITION</v>
      </c>
      <c r="I86" s="9" t="s">
        <v>405</v>
      </c>
      <c r="J86" s="11" t="s">
        <v>73</v>
      </c>
      <c r="K86" s="11" t="s">
        <v>73</v>
      </c>
      <c r="L86" s="11" t="n">
        <v>0</v>
      </c>
      <c r="M86" s="11" t="s">
        <v>41</v>
      </c>
    </row>
    <row r="87" customFormat="false" ht="15" hidden="false" customHeight="false" outlineLevel="0" collapsed="false">
      <c r="A87" s="20" t="str">
        <f aca="false">"MR-"&amp;'State Bays'!A47&amp;"-L1"</f>
        <v>MR-BAY-LF-CON-1-L1</v>
      </c>
      <c r="B87" s="20" t="str">
        <f aca="false">'State Bays'!A47</f>
        <v>BAY-LF-CON-1</v>
      </c>
      <c r="C87" s="20" t="str">
        <f aca="false">'State Bays'!B47</f>
        <v>ST-LF-CON</v>
      </c>
      <c r="D87" s="20" t="str">
        <f aca="false">'State Bays'!C47</f>
        <v>MS-LF</v>
      </c>
      <c r="E87" s="20" t="str">
        <f aca="false">'State Bays'!D47</f>
        <v>LF-B</v>
      </c>
      <c r="F87" s="20" t="str">
        <f aca="false">'State Bays'!E47</f>
        <v>CONTROL</v>
      </c>
      <c r="G87" s="20" t="str">
        <f aca="false">'State Bays'!F47</f>
        <v>LF-RS1</v>
      </c>
      <c r="H87" s="20" t="str">
        <f aca="false">'State Bays'!H47</f>
        <v>LOAD AND QUALITY</v>
      </c>
      <c r="I87" s="9" t="s">
        <v>404</v>
      </c>
      <c r="J87" s="11" t="s">
        <v>73</v>
      </c>
      <c r="K87" s="11" t="s">
        <v>73</v>
      </c>
      <c r="L87" s="11" t="n">
        <v>0</v>
      </c>
      <c r="M87" s="11" t="s">
        <v>41</v>
      </c>
    </row>
    <row r="88" customFormat="false" ht="15" hidden="false" customHeight="false" outlineLevel="0" collapsed="false">
      <c r="A88" s="20" t="str">
        <f aca="false">"MR-"&amp;'State Bays'!A47&amp;"-L2"</f>
        <v>MR-BAY-LF-CON-1-L2</v>
      </c>
      <c r="B88" s="20" t="str">
        <f aca="false">'State Bays'!A47</f>
        <v>BAY-LF-CON-1</v>
      </c>
      <c r="C88" s="20" t="str">
        <f aca="false">'State Bays'!B47</f>
        <v>ST-LF-CON</v>
      </c>
      <c r="D88" s="20" t="str">
        <f aca="false">'State Bays'!C47</f>
        <v>MS-LF</v>
      </c>
      <c r="E88" s="20" t="str">
        <f aca="false">'State Bays'!D47</f>
        <v>LF-B</v>
      </c>
      <c r="F88" s="20" t="str">
        <f aca="false">'State Bays'!E47</f>
        <v>CONTROL</v>
      </c>
      <c r="G88" s="20" t="str">
        <f aca="false">'State Bays'!F47</f>
        <v>LF-RS1</v>
      </c>
      <c r="H88" s="20" t="str">
        <f aca="false">'State Bays'!H47</f>
        <v>LOAD AND QUALITY</v>
      </c>
      <c r="I88" s="9" t="s">
        <v>405</v>
      </c>
      <c r="J88" s="11" t="s">
        <v>73</v>
      </c>
      <c r="K88" s="11" t="s">
        <v>73</v>
      </c>
      <c r="L88" s="11" t="n">
        <v>0</v>
      </c>
      <c r="M88" s="11" t="s">
        <v>41</v>
      </c>
    </row>
    <row r="89" customFormat="false" ht="15" hidden="false" customHeight="false" outlineLevel="0" collapsed="false">
      <c r="A89" s="20" t="str">
        <f aca="false">"MR-"&amp;'State Bays'!A48&amp;"-L1"</f>
        <v>MR-BAY-LF-CON-2-L1</v>
      </c>
      <c r="B89" s="20" t="str">
        <f aca="false">'State Bays'!A48</f>
        <v>BAY-LF-CON-2</v>
      </c>
      <c r="C89" s="20" t="str">
        <f aca="false">'State Bays'!B48</f>
        <v>ST-LF-CON</v>
      </c>
      <c r="D89" s="20" t="str">
        <f aca="false">'State Bays'!C48</f>
        <v>MS-LF</v>
      </c>
      <c r="E89" s="20" t="str">
        <f aca="false">'State Bays'!D48</f>
        <v>LF-B</v>
      </c>
      <c r="F89" s="20" t="str">
        <f aca="false">'State Bays'!E48</f>
        <v>CONTROL</v>
      </c>
      <c r="G89" s="20" t="str">
        <f aca="false">'State Bays'!F48</f>
        <v>LF-RS2</v>
      </c>
      <c r="H89" s="20" t="str">
        <f aca="false">'State Bays'!H48</f>
        <v>LOAD AND QUALITY</v>
      </c>
      <c r="I89" s="9" t="s">
        <v>404</v>
      </c>
      <c r="J89" s="11" t="s">
        <v>73</v>
      </c>
      <c r="K89" s="11" t="s">
        <v>73</v>
      </c>
      <c r="L89" s="11" t="n">
        <v>0</v>
      </c>
      <c r="M89" s="11" t="s">
        <v>41</v>
      </c>
    </row>
    <row r="90" customFormat="false" ht="15" hidden="false" customHeight="false" outlineLevel="0" collapsed="false">
      <c r="A90" s="20" t="str">
        <f aca="false">"MR-"&amp;'State Bays'!A48&amp;"-L2"</f>
        <v>MR-BAY-LF-CON-2-L2</v>
      </c>
      <c r="B90" s="20" t="str">
        <f aca="false">'State Bays'!A48</f>
        <v>BAY-LF-CON-2</v>
      </c>
      <c r="C90" s="20" t="str">
        <f aca="false">'State Bays'!B48</f>
        <v>ST-LF-CON</v>
      </c>
      <c r="D90" s="20" t="str">
        <f aca="false">'State Bays'!C48</f>
        <v>MS-LF</v>
      </c>
      <c r="E90" s="20" t="str">
        <f aca="false">'State Bays'!D48</f>
        <v>LF-B</v>
      </c>
      <c r="F90" s="20" t="str">
        <f aca="false">'State Bays'!E48</f>
        <v>CONTROL</v>
      </c>
      <c r="G90" s="20" t="str">
        <f aca="false">'State Bays'!F48</f>
        <v>LF-RS2</v>
      </c>
      <c r="H90" s="20" t="str">
        <f aca="false">'State Bays'!H48</f>
        <v>LOAD AND QUALITY</v>
      </c>
      <c r="I90" s="9" t="s">
        <v>405</v>
      </c>
      <c r="J90" s="11" t="s">
        <v>73</v>
      </c>
      <c r="K90" s="11" t="s">
        <v>73</v>
      </c>
      <c r="L90" s="11" t="n">
        <v>0</v>
      </c>
      <c r="M90" s="11" t="s">
        <v>41</v>
      </c>
    </row>
    <row r="91" customFormat="false" ht="15" hidden="false" customHeight="false" outlineLevel="0" collapsed="false">
      <c r="A91" s="20" t="str">
        <f aca="false">"MR-"&amp;'State Bays'!A49&amp;"-L1"</f>
        <v>MR-BAY-LF-CON-3-L1</v>
      </c>
      <c r="B91" s="20" t="str">
        <f aca="false">'State Bays'!A49</f>
        <v>BAY-LF-CON-3</v>
      </c>
      <c r="C91" s="20" t="str">
        <f aca="false">'State Bays'!B49</f>
        <v>ST-LF-CON</v>
      </c>
      <c r="D91" s="20" t="str">
        <f aca="false">'State Bays'!C49</f>
        <v>MS-LF</v>
      </c>
      <c r="E91" s="20" t="str">
        <f aca="false">'State Bays'!D49</f>
        <v>LF-B</v>
      </c>
      <c r="F91" s="20" t="str">
        <f aca="false">'State Bays'!E49</f>
        <v>CONTROL</v>
      </c>
      <c r="G91" s="20" t="str">
        <f aca="false">'State Bays'!F49</f>
        <v>LF-RS3</v>
      </c>
      <c r="H91" s="20" t="str">
        <f aca="false">'State Bays'!H49</f>
        <v>LOAD AND QUALITY</v>
      </c>
      <c r="I91" s="9" t="s">
        <v>404</v>
      </c>
      <c r="J91" s="11" t="s">
        <v>73</v>
      </c>
      <c r="K91" s="11" t="s">
        <v>73</v>
      </c>
      <c r="L91" s="11" t="n">
        <v>0</v>
      </c>
      <c r="M91" s="11" t="s">
        <v>41</v>
      </c>
    </row>
    <row r="92" customFormat="false" ht="15" hidden="false" customHeight="false" outlineLevel="0" collapsed="false">
      <c r="A92" s="20" t="str">
        <f aca="false">"MR-"&amp;'State Bays'!A49&amp;"-L2"</f>
        <v>MR-BAY-LF-CON-3-L2</v>
      </c>
      <c r="B92" s="20" t="str">
        <f aca="false">'State Bays'!A49</f>
        <v>BAY-LF-CON-3</v>
      </c>
      <c r="C92" s="20" t="str">
        <f aca="false">'State Bays'!B49</f>
        <v>ST-LF-CON</v>
      </c>
      <c r="D92" s="20" t="str">
        <f aca="false">'State Bays'!C49</f>
        <v>MS-LF</v>
      </c>
      <c r="E92" s="20" t="str">
        <f aca="false">'State Bays'!D49</f>
        <v>LF-B</v>
      </c>
      <c r="F92" s="20" t="str">
        <f aca="false">'State Bays'!E49</f>
        <v>CONTROL</v>
      </c>
      <c r="G92" s="20" t="str">
        <f aca="false">'State Bays'!F49</f>
        <v>LF-RS3</v>
      </c>
      <c r="H92" s="20" t="str">
        <f aca="false">'State Bays'!H49</f>
        <v>LOAD AND QUALITY</v>
      </c>
      <c r="I92" s="9" t="s">
        <v>405</v>
      </c>
      <c r="J92" s="11" t="s">
        <v>73</v>
      </c>
      <c r="K92" s="11" t="s">
        <v>73</v>
      </c>
      <c r="L92" s="11" t="n">
        <v>0</v>
      </c>
      <c r="M92" s="11" t="s">
        <v>41</v>
      </c>
    </row>
    <row r="93" customFormat="false" ht="15" hidden="false" customHeight="false" outlineLevel="0" collapsed="false">
      <c r="A93" s="20" t="str">
        <f aca="false">"MR-"&amp;'State Bays'!A50&amp;"-L1"</f>
        <v>MR-BAY-LF-CON-4-L1</v>
      </c>
      <c r="B93" s="20" t="str">
        <f aca="false">'State Bays'!A50</f>
        <v>BAY-LF-CON-4</v>
      </c>
      <c r="C93" s="20" t="str">
        <f aca="false">'State Bays'!B50</f>
        <v>ST-LF-CON</v>
      </c>
      <c r="D93" s="20" t="str">
        <f aca="false">'State Bays'!C50</f>
        <v>MS-LF</v>
      </c>
      <c r="E93" s="20" t="str">
        <f aca="false">'State Bays'!D50</f>
        <v>LF-B</v>
      </c>
      <c r="F93" s="20" t="str">
        <f aca="false">'State Bays'!E50</f>
        <v>CONTROL</v>
      </c>
      <c r="G93" s="20" t="str">
        <f aca="false">'State Bays'!F50</f>
        <v>LF-RS4</v>
      </c>
      <c r="H93" s="20" t="str">
        <f aca="false">'State Bays'!H50</f>
        <v>LOAD AND QUALITY</v>
      </c>
      <c r="I93" s="9" t="s">
        <v>404</v>
      </c>
      <c r="J93" s="11" t="s">
        <v>73</v>
      </c>
      <c r="K93" s="11" t="s">
        <v>73</v>
      </c>
      <c r="L93" s="11" t="n">
        <v>0</v>
      </c>
      <c r="M93" s="11" t="s">
        <v>41</v>
      </c>
    </row>
    <row r="94" customFormat="false" ht="15" hidden="false" customHeight="false" outlineLevel="0" collapsed="false">
      <c r="A94" s="20" t="str">
        <f aca="false">"MR-"&amp;'State Bays'!A50&amp;"-L2"</f>
        <v>MR-BAY-LF-CON-4-L2</v>
      </c>
      <c r="B94" s="20" t="str">
        <f aca="false">'State Bays'!A50</f>
        <v>BAY-LF-CON-4</v>
      </c>
      <c r="C94" s="20" t="str">
        <f aca="false">'State Bays'!B50</f>
        <v>ST-LF-CON</v>
      </c>
      <c r="D94" s="20" t="str">
        <f aca="false">'State Bays'!C50</f>
        <v>MS-LF</v>
      </c>
      <c r="E94" s="20" t="str">
        <f aca="false">'State Bays'!D50</f>
        <v>LF-B</v>
      </c>
      <c r="F94" s="20" t="str">
        <f aca="false">'State Bays'!E50</f>
        <v>CONTROL</v>
      </c>
      <c r="G94" s="20" t="str">
        <f aca="false">'State Bays'!F50</f>
        <v>LF-RS4</v>
      </c>
      <c r="H94" s="20" t="str">
        <f aca="false">'State Bays'!H50</f>
        <v>LOAD AND QUALITY</v>
      </c>
      <c r="I94" s="9" t="s">
        <v>405</v>
      </c>
      <c r="J94" s="11" t="s">
        <v>73</v>
      </c>
      <c r="K94" s="11" t="s">
        <v>73</v>
      </c>
      <c r="L94" s="11" t="n">
        <v>0</v>
      </c>
      <c r="M94" s="11" t="s">
        <v>41</v>
      </c>
    </row>
    <row r="95" customFormat="false" ht="15" hidden="false" customHeight="false" outlineLevel="0" collapsed="false">
      <c r="A95" s="20" t="str">
        <f aca="false">"MR-"&amp;'State Bays'!A51&amp;"-L1"</f>
        <v>MR-BAY-LF-REC-1-L1</v>
      </c>
      <c r="B95" s="20" t="str">
        <f aca="false">'State Bays'!A51</f>
        <v>BAY-LF-REC-1</v>
      </c>
      <c r="C95" s="20" t="str">
        <f aca="false">'State Bays'!B51</f>
        <v>ST-LF-REC</v>
      </c>
      <c r="D95" s="20" t="str">
        <f aca="false">'State Bays'!C51</f>
        <v>MS-LF</v>
      </c>
      <c r="E95" s="20" t="str">
        <f aca="false">'State Bays'!D51</f>
        <v>LF-B</v>
      </c>
      <c r="F95" s="20" t="str">
        <f aca="false">'State Bays'!E51</f>
        <v>RECONSTRUCTION</v>
      </c>
      <c r="G95" s="20" t="str">
        <f aca="false">'State Bays'!F51</f>
        <v>LF-RS1</v>
      </c>
      <c r="H95" s="20" t="str">
        <f aca="false">'State Bays'!H51</f>
        <v>RECOVERY AND BURDEN</v>
      </c>
      <c r="I95" s="9" t="s">
        <v>404</v>
      </c>
      <c r="J95" s="11" t="s">
        <v>73</v>
      </c>
      <c r="K95" s="11" t="s">
        <v>73</v>
      </c>
      <c r="L95" s="11" t="n">
        <v>0</v>
      </c>
      <c r="M95" s="11" t="s">
        <v>41</v>
      </c>
    </row>
    <row r="96" customFormat="false" ht="15" hidden="false" customHeight="false" outlineLevel="0" collapsed="false">
      <c r="A96" s="20" t="str">
        <f aca="false">"MR-"&amp;'State Bays'!A51&amp;"-L2"</f>
        <v>MR-BAY-LF-REC-1-L2</v>
      </c>
      <c r="B96" s="20" t="str">
        <f aca="false">'State Bays'!A51</f>
        <v>BAY-LF-REC-1</v>
      </c>
      <c r="C96" s="20" t="str">
        <f aca="false">'State Bays'!B51</f>
        <v>ST-LF-REC</v>
      </c>
      <c r="D96" s="20" t="str">
        <f aca="false">'State Bays'!C51</f>
        <v>MS-LF</v>
      </c>
      <c r="E96" s="20" t="str">
        <f aca="false">'State Bays'!D51</f>
        <v>LF-B</v>
      </c>
      <c r="F96" s="20" t="str">
        <f aca="false">'State Bays'!E51</f>
        <v>RECONSTRUCTION</v>
      </c>
      <c r="G96" s="20" t="str">
        <f aca="false">'State Bays'!F51</f>
        <v>LF-RS1</v>
      </c>
      <c r="H96" s="20" t="str">
        <f aca="false">'State Bays'!H51</f>
        <v>RECOVERY AND BURDEN</v>
      </c>
      <c r="I96" s="9" t="s">
        <v>405</v>
      </c>
      <c r="J96" s="11" t="s">
        <v>73</v>
      </c>
      <c r="K96" s="11" t="s">
        <v>73</v>
      </c>
      <c r="L96" s="11" t="n">
        <v>0</v>
      </c>
      <c r="M96" s="11" t="s">
        <v>41</v>
      </c>
    </row>
    <row r="97" customFormat="false" ht="15" hidden="false" customHeight="false" outlineLevel="0" collapsed="false">
      <c r="A97" s="20" t="str">
        <f aca="false">"MR-"&amp;'State Bays'!A52&amp;"-L1"</f>
        <v>MR-BAY-LF-REC-2-L1</v>
      </c>
      <c r="B97" s="20" t="str">
        <f aca="false">'State Bays'!A52</f>
        <v>BAY-LF-REC-2</v>
      </c>
      <c r="C97" s="20" t="str">
        <f aca="false">'State Bays'!B52</f>
        <v>ST-LF-REC</v>
      </c>
      <c r="D97" s="20" t="str">
        <f aca="false">'State Bays'!C52</f>
        <v>MS-LF</v>
      </c>
      <c r="E97" s="20" t="str">
        <f aca="false">'State Bays'!D52</f>
        <v>LF-B</v>
      </c>
      <c r="F97" s="20" t="str">
        <f aca="false">'State Bays'!E52</f>
        <v>RECONSTRUCTION</v>
      </c>
      <c r="G97" s="20" t="str">
        <f aca="false">'State Bays'!F52</f>
        <v>LF-RS2</v>
      </c>
      <c r="H97" s="20" t="str">
        <f aca="false">'State Bays'!H52</f>
        <v>RECOVERY AND BURDEN</v>
      </c>
      <c r="I97" s="9" t="s">
        <v>404</v>
      </c>
      <c r="J97" s="11" t="s">
        <v>73</v>
      </c>
      <c r="K97" s="11" t="s">
        <v>73</v>
      </c>
      <c r="L97" s="11" t="n">
        <v>0</v>
      </c>
      <c r="M97" s="11" t="s">
        <v>41</v>
      </c>
    </row>
    <row r="98" customFormat="false" ht="15" hidden="false" customHeight="false" outlineLevel="0" collapsed="false">
      <c r="A98" s="20" t="str">
        <f aca="false">"MR-"&amp;'State Bays'!A52&amp;"-L2"</f>
        <v>MR-BAY-LF-REC-2-L2</v>
      </c>
      <c r="B98" s="20" t="str">
        <f aca="false">'State Bays'!A52</f>
        <v>BAY-LF-REC-2</v>
      </c>
      <c r="C98" s="20" t="str">
        <f aca="false">'State Bays'!B52</f>
        <v>ST-LF-REC</v>
      </c>
      <c r="D98" s="20" t="str">
        <f aca="false">'State Bays'!C52</f>
        <v>MS-LF</v>
      </c>
      <c r="E98" s="20" t="str">
        <f aca="false">'State Bays'!D52</f>
        <v>LF-B</v>
      </c>
      <c r="F98" s="20" t="str">
        <f aca="false">'State Bays'!E52</f>
        <v>RECONSTRUCTION</v>
      </c>
      <c r="G98" s="20" t="str">
        <f aca="false">'State Bays'!F52</f>
        <v>LF-RS2</v>
      </c>
      <c r="H98" s="20" t="str">
        <f aca="false">'State Bays'!H52</f>
        <v>RECOVERY AND BURDEN</v>
      </c>
      <c r="I98" s="9" t="s">
        <v>405</v>
      </c>
      <c r="J98" s="11" t="s">
        <v>73</v>
      </c>
      <c r="K98" s="11" t="s">
        <v>73</v>
      </c>
      <c r="L98" s="11" t="n">
        <v>0</v>
      </c>
      <c r="M98" s="11" t="s">
        <v>41</v>
      </c>
    </row>
    <row r="99" customFormat="false" ht="15" hidden="false" customHeight="false" outlineLevel="0" collapsed="false">
      <c r="A99" s="20" t="str">
        <f aca="false">"MR-"&amp;'State Bays'!A53&amp;"-L1"</f>
        <v>MR-BAY-LF-REC-3-L1</v>
      </c>
      <c r="B99" s="20" t="str">
        <f aca="false">'State Bays'!A53</f>
        <v>BAY-LF-REC-3</v>
      </c>
      <c r="C99" s="20" t="str">
        <f aca="false">'State Bays'!B53</f>
        <v>ST-LF-REC</v>
      </c>
      <c r="D99" s="20" t="str">
        <f aca="false">'State Bays'!C53</f>
        <v>MS-LF</v>
      </c>
      <c r="E99" s="20" t="str">
        <f aca="false">'State Bays'!D53</f>
        <v>LF-B</v>
      </c>
      <c r="F99" s="20" t="str">
        <f aca="false">'State Bays'!E53</f>
        <v>RECONSTRUCTION</v>
      </c>
      <c r="G99" s="20" t="str">
        <f aca="false">'State Bays'!F53</f>
        <v>LF-RS3</v>
      </c>
      <c r="H99" s="20" t="str">
        <f aca="false">'State Bays'!H53</f>
        <v>RECOVERY AND BURDEN</v>
      </c>
      <c r="I99" s="9" t="s">
        <v>404</v>
      </c>
      <c r="J99" s="11" t="s">
        <v>73</v>
      </c>
      <c r="K99" s="11" t="s">
        <v>73</v>
      </c>
      <c r="L99" s="11" t="n">
        <v>0</v>
      </c>
      <c r="M99" s="11" t="s">
        <v>41</v>
      </c>
    </row>
    <row r="100" customFormat="false" ht="15" hidden="false" customHeight="false" outlineLevel="0" collapsed="false">
      <c r="A100" s="20" t="str">
        <f aca="false">"MR-"&amp;'State Bays'!A53&amp;"-L2"</f>
        <v>MR-BAY-LF-REC-3-L2</v>
      </c>
      <c r="B100" s="20" t="str">
        <f aca="false">'State Bays'!A53</f>
        <v>BAY-LF-REC-3</v>
      </c>
      <c r="C100" s="20" t="str">
        <f aca="false">'State Bays'!B53</f>
        <v>ST-LF-REC</v>
      </c>
      <c r="D100" s="20" t="str">
        <f aca="false">'State Bays'!C53</f>
        <v>MS-LF</v>
      </c>
      <c r="E100" s="20" t="str">
        <f aca="false">'State Bays'!D53</f>
        <v>LF-B</v>
      </c>
      <c r="F100" s="20" t="str">
        <f aca="false">'State Bays'!E53</f>
        <v>RECONSTRUCTION</v>
      </c>
      <c r="G100" s="20" t="str">
        <f aca="false">'State Bays'!F53</f>
        <v>LF-RS3</v>
      </c>
      <c r="H100" s="20" t="str">
        <f aca="false">'State Bays'!H53</f>
        <v>RECOVERY AND BURDEN</v>
      </c>
      <c r="I100" s="9" t="s">
        <v>405</v>
      </c>
      <c r="J100" s="11" t="s">
        <v>73</v>
      </c>
      <c r="K100" s="11" t="s">
        <v>73</v>
      </c>
      <c r="L100" s="11" t="n">
        <v>0</v>
      </c>
      <c r="M100" s="11" t="s">
        <v>41</v>
      </c>
    </row>
    <row r="101" customFormat="false" ht="15" hidden="false" customHeight="false" outlineLevel="0" collapsed="false">
      <c r="A101" s="20" t="str">
        <f aca="false">"MR-"&amp;'State Bays'!A54&amp;"-L1"</f>
        <v>MR-BAY-LF-REC-4-L1</v>
      </c>
      <c r="B101" s="20" t="str">
        <f aca="false">'State Bays'!A54</f>
        <v>BAY-LF-REC-4</v>
      </c>
      <c r="C101" s="20" t="str">
        <f aca="false">'State Bays'!B54</f>
        <v>ST-LF-REC</v>
      </c>
      <c r="D101" s="20" t="str">
        <f aca="false">'State Bays'!C54</f>
        <v>MS-LF</v>
      </c>
      <c r="E101" s="20" t="str">
        <f aca="false">'State Bays'!D54</f>
        <v>LF-B</v>
      </c>
      <c r="F101" s="20" t="str">
        <f aca="false">'State Bays'!E54</f>
        <v>RECONSTRUCTION</v>
      </c>
      <c r="G101" s="20" t="str">
        <f aca="false">'State Bays'!F54</f>
        <v>LF-RS4</v>
      </c>
      <c r="H101" s="20" t="str">
        <f aca="false">'State Bays'!H54</f>
        <v>RECOVERY AND BURDEN</v>
      </c>
      <c r="I101" s="9" t="s">
        <v>404</v>
      </c>
      <c r="J101" s="11" t="s">
        <v>73</v>
      </c>
      <c r="K101" s="11" t="s">
        <v>73</v>
      </c>
      <c r="L101" s="11" t="n">
        <v>0</v>
      </c>
      <c r="M101" s="11" t="s">
        <v>41</v>
      </c>
    </row>
    <row r="102" customFormat="false" ht="15" hidden="false" customHeight="false" outlineLevel="0" collapsed="false">
      <c r="A102" s="20" t="str">
        <f aca="false">"MR-"&amp;'State Bays'!A54&amp;"-L2"</f>
        <v>MR-BAY-LF-REC-4-L2</v>
      </c>
      <c r="B102" s="20" t="str">
        <f aca="false">'State Bays'!A54</f>
        <v>BAY-LF-REC-4</v>
      </c>
      <c r="C102" s="20" t="str">
        <f aca="false">'State Bays'!B54</f>
        <v>ST-LF-REC</v>
      </c>
      <c r="D102" s="20" t="str">
        <f aca="false">'State Bays'!C54</f>
        <v>MS-LF</v>
      </c>
      <c r="E102" s="20" t="str">
        <f aca="false">'State Bays'!D54</f>
        <v>LF-B</v>
      </c>
      <c r="F102" s="20" t="str">
        <f aca="false">'State Bays'!E54</f>
        <v>RECONSTRUCTION</v>
      </c>
      <c r="G102" s="20" t="str">
        <f aca="false">'State Bays'!F54</f>
        <v>LF-RS4</v>
      </c>
      <c r="H102" s="20" t="str">
        <f aca="false">'State Bays'!H54</f>
        <v>RECOVERY AND BURDEN</v>
      </c>
      <c r="I102" s="9" t="s">
        <v>405</v>
      </c>
      <c r="J102" s="11" t="s">
        <v>73</v>
      </c>
      <c r="K102" s="11" t="s">
        <v>73</v>
      </c>
      <c r="L102" s="11" t="n">
        <v>0</v>
      </c>
      <c r="M102" s="11" t="s">
        <v>41</v>
      </c>
    </row>
    <row r="103" customFormat="false" ht="15" hidden="false" customHeight="false" outlineLevel="0" collapsed="false">
      <c r="A103" s="20" t="str">
        <f aca="false">"MR-"&amp;'State Bays'!A55&amp;"-L1"</f>
        <v>MR-BAY-HU-CHA-1-L1</v>
      </c>
      <c r="B103" s="20" t="str">
        <f aca="false">'State Bays'!A55</f>
        <v>BAY-HU-CHA-1</v>
      </c>
      <c r="C103" s="20" t="str">
        <f aca="false">'State Bays'!B55</f>
        <v>ST-HU-CHA</v>
      </c>
      <c r="D103" s="20" t="str">
        <f aca="false">'State Bays'!C55</f>
        <v>MS-HU</v>
      </c>
      <c r="E103" s="20" t="str">
        <f aca="false">'State Bays'!D55</f>
        <v>HU-A</v>
      </c>
      <c r="F103" s="20" t="str">
        <f aca="false">'State Bays'!E55</f>
        <v>CHALLENGE</v>
      </c>
      <c r="G103" s="20" t="str">
        <f aca="false">'State Bays'!F55</f>
        <v>HU-RS1</v>
      </c>
      <c r="H103" s="20" t="str">
        <f aca="false">'State Bays'!H55</f>
        <v>DENIED CONDITION</v>
      </c>
      <c r="I103" s="9" t="s">
        <v>404</v>
      </c>
      <c r="J103" s="11" t="s">
        <v>73</v>
      </c>
      <c r="K103" s="11" t="s">
        <v>73</v>
      </c>
      <c r="L103" s="11" t="n">
        <v>0</v>
      </c>
      <c r="M103" s="11" t="s">
        <v>41</v>
      </c>
    </row>
    <row r="104" customFormat="false" ht="15" hidden="false" customHeight="false" outlineLevel="0" collapsed="false">
      <c r="A104" s="20" t="str">
        <f aca="false">"MR-"&amp;'State Bays'!A55&amp;"-L2"</f>
        <v>MR-BAY-HU-CHA-1-L2</v>
      </c>
      <c r="B104" s="20" t="str">
        <f aca="false">'State Bays'!A55</f>
        <v>BAY-HU-CHA-1</v>
      </c>
      <c r="C104" s="20" t="str">
        <f aca="false">'State Bays'!B55</f>
        <v>ST-HU-CHA</v>
      </c>
      <c r="D104" s="20" t="str">
        <f aca="false">'State Bays'!C55</f>
        <v>MS-HU</v>
      </c>
      <c r="E104" s="20" t="str">
        <f aca="false">'State Bays'!D55</f>
        <v>HU-A</v>
      </c>
      <c r="F104" s="20" t="str">
        <f aca="false">'State Bays'!E55</f>
        <v>CHALLENGE</v>
      </c>
      <c r="G104" s="20" t="str">
        <f aca="false">'State Bays'!F55</f>
        <v>HU-RS1</v>
      </c>
      <c r="H104" s="20" t="str">
        <f aca="false">'State Bays'!H55</f>
        <v>DENIED CONDITION</v>
      </c>
      <c r="I104" s="9" t="s">
        <v>405</v>
      </c>
      <c r="J104" s="11" t="s">
        <v>73</v>
      </c>
      <c r="K104" s="11" t="s">
        <v>73</v>
      </c>
      <c r="L104" s="11" t="n">
        <v>0</v>
      </c>
      <c r="M104" s="11" t="s">
        <v>41</v>
      </c>
    </row>
    <row r="105" customFormat="false" ht="15" hidden="false" customHeight="false" outlineLevel="0" collapsed="false">
      <c r="A105" s="20" t="str">
        <f aca="false">"MR-"&amp;'State Bays'!A56&amp;"-L1"</f>
        <v>MR-BAY-HU-CHA-2-L1</v>
      </c>
      <c r="B105" s="20" t="str">
        <f aca="false">'State Bays'!A56</f>
        <v>BAY-HU-CHA-2</v>
      </c>
      <c r="C105" s="20" t="str">
        <f aca="false">'State Bays'!B56</f>
        <v>ST-HU-CHA</v>
      </c>
      <c r="D105" s="20" t="str">
        <f aca="false">'State Bays'!C56</f>
        <v>MS-HU</v>
      </c>
      <c r="E105" s="20" t="str">
        <f aca="false">'State Bays'!D56</f>
        <v>HU-A</v>
      </c>
      <c r="F105" s="20" t="str">
        <f aca="false">'State Bays'!E56</f>
        <v>CHALLENGE</v>
      </c>
      <c r="G105" s="20" t="str">
        <f aca="false">'State Bays'!F56</f>
        <v>HU-RS2</v>
      </c>
      <c r="H105" s="20" t="str">
        <f aca="false">'State Bays'!H56</f>
        <v>DENIED CONDITION</v>
      </c>
      <c r="I105" s="9" t="s">
        <v>404</v>
      </c>
      <c r="J105" s="11" t="s">
        <v>73</v>
      </c>
      <c r="K105" s="11" t="s">
        <v>73</v>
      </c>
      <c r="L105" s="11" t="n">
        <v>0</v>
      </c>
      <c r="M105" s="11" t="s">
        <v>41</v>
      </c>
    </row>
    <row r="106" customFormat="false" ht="15" hidden="false" customHeight="false" outlineLevel="0" collapsed="false">
      <c r="A106" s="20" t="str">
        <f aca="false">"MR-"&amp;'State Bays'!A56&amp;"-L2"</f>
        <v>MR-BAY-HU-CHA-2-L2</v>
      </c>
      <c r="B106" s="20" t="str">
        <f aca="false">'State Bays'!A56</f>
        <v>BAY-HU-CHA-2</v>
      </c>
      <c r="C106" s="20" t="str">
        <f aca="false">'State Bays'!B56</f>
        <v>ST-HU-CHA</v>
      </c>
      <c r="D106" s="20" t="str">
        <f aca="false">'State Bays'!C56</f>
        <v>MS-HU</v>
      </c>
      <c r="E106" s="20" t="str">
        <f aca="false">'State Bays'!D56</f>
        <v>HU-A</v>
      </c>
      <c r="F106" s="20" t="str">
        <f aca="false">'State Bays'!E56</f>
        <v>CHALLENGE</v>
      </c>
      <c r="G106" s="20" t="str">
        <f aca="false">'State Bays'!F56</f>
        <v>HU-RS2</v>
      </c>
      <c r="H106" s="20" t="str">
        <f aca="false">'State Bays'!H56</f>
        <v>DENIED CONDITION</v>
      </c>
      <c r="I106" s="9" t="s">
        <v>405</v>
      </c>
      <c r="J106" s="11" t="s">
        <v>73</v>
      </c>
      <c r="K106" s="11" t="s">
        <v>73</v>
      </c>
      <c r="L106" s="11" t="n">
        <v>0</v>
      </c>
      <c r="M106" s="11" t="s">
        <v>41</v>
      </c>
    </row>
    <row r="107" customFormat="false" ht="15" hidden="false" customHeight="false" outlineLevel="0" collapsed="false">
      <c r="A107" s="20" t="str">
        <f aca="false">"MR-"&amp;'State Bays'!A57&amp;"-L1"</f>
        <v>MR-BAY-HU-CHA-3-L1</v>
      </c>
      <c r="B107" s="20" t="str">
        <f aca="false">'State Bays'!A57</f>
        <v>BAY-HU-CHA-3</v>
      </c>
      <c r="C107" s="20" t="str">
        <f aca="false">'State Bays'!B57</f>
        <v>ST-HU-CHA</v>
      </c>
      <c r="D107" s="20" t="str">
        <f aca="false">'State Bays'!C57</f>
        <v>MS-HU</v>
      </c>
      <c r="E107" s="20" t="str">
        <f aca="false">'State Bays'!D57</f>
        <v>HU-A</v>
      </c>
      <c r="F107" s="20" t="str">
        <f aca="false">'State Bays'!E57</f>
        <v>CHALLENGE</v>
      </c>
      <c r="G107" s="20" t="str">
        <f aca="false">'State Bays'!F57</f>
        <v>HU-RS3</v>
      </c>
      <c r="H107" s="20" t="str">
        <f aca="false">'State Bays'!H57</f>
        <v>DENIED CONDITION</v>
      </c>
      <c r="I107" s="9" t="s">
        <v>404</v>
      </c>
      <c r="J107" s="11" t="s">
        <v>73</v>
      </c>
      <c r="K107" s="11" t="s">
        <v>73</v>
      </c>
      <c r="L107" s="11" t="n">
        <v>0</v>
      </c>
      <c r="M107" s="11" t="s">
        <v>41</v>
      </c>
    </row>
    <row r="108" customFormat="false" ht="15" hidden="false" customHeight="false" outlineLevel="0" collapsed="false">
      <c r="A108" s="20" t="str">
        <f aca="false">"MR-"&amp;'State Bays'!A57&amp;"-L2"</f>
        <v>MR-BAY-HU-CHA-3-L2</v>
      </c>
      <c r="B108" s="20" t="str">
        <f aca="false">'State Bays'!A57</f>
        <v>BAY-HU-CHA-3</v>
      </c>
      <c r="C108" s="20" t="str">
        <f aca="false">'State Bays'!B57</f>
        <v>ST-HU-CHA</v>
      </c>
      <c r="D108" s="20" t="str">
        <f aca="false">'State Bays'!C57</f>
        <v>MS-HU</v>
      </c>
      <c r="E108" s="20" t="str">
        <f aca="false">'State Bays'!D57</f>
        <v>HU-A</v>
      </c>
      <c r="F108" s="20" t="str">
        <f aca="false">'State Bays'!E57</f>
        <v>CHALLENGE</v>
      </c>
      <c r="G108" s="20" t="str">
        <f aca="false">'State Bays'!F57</f>
        <v>HU-RS3</v>
      </c>
      <c r="H108" s="20" t="str">
        <f aca="false">'State Bays'!H57</f>
        <v>DENIED CONDITION</v>
      </c>
      <c r="I108" s="9" t="s">
        <v>405</v>
      </c>
      <c r="J108" s="11" t="s">
        <v>73</v>
      </c>
      <c r="K108" s="11" t="s">
        <v>73</v>
      </c>
      <c r="L108" s="11" t="n">
        <v>0</v>
      </c>
      <c r="M108" s="11" t="s">
        <v>41</v>
      </c>
    </row>
    <row r="109" customFormat="false" ht="15" hidden="false" customHeight="false" outlineLevel="0" collapsed="false">
      <c r="A109" s="20" t="str">
        <f aca="false">"MR-"&amp;'State Bays'!A58&amp;"-L1"</f>
        <v>MR-BAY-HU-CHA-4-L1</v>
      </c>
      <c r="B109" s="20" t="str">
        <f aca="false">'State Bays'!A58</f>
        <v>BAY-HU-CHA-4</v>
      </c>
      <c r="C109" s="20" t="str">
        <f aca="false">'State Bays'!B58</f>
        <v>ST-HU-CHA</v>
      </c>
      <c r="D109" s="20" t="str">
        <f aca="false">'State Bays'!C58</f>
        <v>MS-HU</v>
      </c>
      <c r="E109" s="20" t="str">
        <f aca="false">'State Bays'!D58</f>
        <v>HU-A</v>
      </c>
      <c r="F109" s="20" t="str">
        <f aca="false">'State Bays'!E58</f>
        <v>CHALLENGE</v>
      </c>
      <c r="G109" s="20" t="str">
        <f aca="false">'State Bays'!F58</f>
        <v>HU-RS4</v>
      </c>
      <c r="H109" s="20" t="str">
        <f aca="false">'State Bays'!H58</f>
        <v>DENIED CONDITION</v>
      </c>
      <c r="I109" s="9" t="s">
        <v>404</v>
      </c>
      <c r="J109" s="11" t="s">
        <v>73</v>
      </c>
      <c r="K109" s="11" t="s">
        <v>73</v>
      </c>
      <c r="L109" s="11" t="n">
        <v>0</v>
      </c>
      <c r="M109" s="11" t="s">
        <v>41</v>
      </c>
    </row>
    <row r="110" customFormat="false" ht="15" hidden="false" customHeight="false" outlineLevel="0" collapsed="false">
      <c r="A110" s="20" t="str">
        <f aca="false">"MR-"&amp;'State Bays'!A58&amp;"-L2"</f>
        <v>MR-BAY-HU-CHA-4-L2</v>
      </c>
      <c r="B110" s="20" t="str">
        <f aca="false">'State Bays'!A58</f>
        <v>BAY-HU-CHA-4</v>
      </c>
      <c r="C110" s="20" t="str">
        <f aca="false">'State Bays'!B58</f>
        <v>ST-HU-CHA</v>
      </c>
      <c r="D110" s="20" t="str">
        <f aca="false">'State Bays'!C58</f>
        <v>MS-HU</v>
      </c>
      <c r="E110" s="20" t="str">
        <f aca="false">'State Bays'!D58</f>
        <v>HU-A</v>
      </c>
      <c r="F110" s="20" t="str">
        <f aca="false">'State Bays'!E58</f>
        <v>CHALLENGE</v>
      </c>
      <c r="G110" s="20" t="str">
        <f aca="false">'State Bays'!F58</f>
        <v>HU-RS4</v>
      </c>
      <c r="H110" s="20" t="str">
        <f aca="false">'State Bays'!H58</f>
        <v>DENIED CONDITION</v>
      </c>
      <c r="I110" s="9" t="s">
        <v>405</v>
      </c>
      <c r="J110" s="11" t="s">
        <v>73</v>
      </c>
      <c r="K110" s="11" t="s">
        <v>73</v>
      </c>
      <c r="L110" s="11" t="n">
        <v>0</v>
      </c>
      <c r="M110" s="11" t="s">
        <v>41</v>
      </c>
    </row>
    <row r="111" customFormat="false" ht="15" hidden="false" customHeight="false" outlineLevel="0" collapsed="false">
      <c r="A111" s="20" t="str">
        <f aca="false">"MR-"&amp;'State Bays'!A59&amp;"-L1"</f>
        <v>MR-BAY-HU-CON-1-L1</v>
      </c>
      <c r="B111" s="20" t="str">
        <f aca="false">'State Bays'!A59</f>
        <v>BAY-HU-CON-1</v>
      </c>
      <c r="C111" s="20" t="str">
        <f aca="false">'State Bays'!B59</f>
        <v>ST-HU-CON</v>
      </c>
      <c r="D111" s="20" t="str">
        <f aca="false">'State Bays'!C59</f>
        <v>MS-HU</v>
      </c>
      <c r="E111" s="20" t="str">
        <f aca="false">'State Bays'!D59</f>
        <v>HU-A</v>
      </c>
      <c r="F111" s="20" t="str">
        <f aca="false">'State Bays'!E59</f>
        <v>CONTROL</v>
      </c>
      <c r="G111" s="20" t="str">
        <f aca="false">'State Bays'!F59</f>
        <v>HU-RS1</v>
      </c>
      <c r="H111" s="20" t="str">
        <f aca="false">'State Bays'!H59</f>
        <v>LOAD AND QUALITY</v>
      </c>
      <c r="I111" s="9" t="s">
        <v>404</v>
      </c>
      <c r="J111" s="11" t="s">
        <v>73</v>
      </c>
      <c r="K111" s="11" t="s">
        <v>73</v>
      </c>
      <c r="L111" s="11" t="n">
        <v>0</v>
      </c>
      <c r="M111" s="11" t="s">
        <v>41</v>
      </c>
    </row>
    <row r="112" customFormat="false" ht="15" hidden="false" customHeight="false" outlineLevel="0" collapsed="false">
      <c r="A112" s="20" t="str">
        <f aca="false">"MR-"&amp;'State Bays'!A59&amp;"-L2"</f>
        <v>MR-BAY-HU-CON-1-L2</v>
      </c>
      <c r="B112" s="20" t="str">
        <f aca="false">'State Bays'!A59</f>
        <v>BAY-HU-CON-1</v>
      </c>
      <c r="C112" s="20" t="str">
        <f aca="false">'State Bays'!B59</f>
        <v>ST-HU-CON</v>
      </c>
      <c r="D112" s="20" t="str">
        <f aca="false">'State Bays'!C59</f>
        <v>MS-HU</v>
      </c>
      <c r="E112" s="20" t="str">
        <f aca="false">'State Bays'!D59</f>
        <v>HU-A</v>
      </c>
      <c r="F112" s="20" t="str">
        <f aca="false">'State Bays'!E59</f>
        <v>CONTROL</v>
      </c>
      <c r="G112" s="20" t="str">
        <f aca="false">'State Bays'!F59</f>
        <v>HU-RS1</v>
      </c>
      <c r="H112" s="20" t="str">
        <f aca="false">'State Bays'!H59</f>
        <v>LOAD AND QUALITY</v>
      </c>
      <c r="I112" s="9" t="s">
        <v>405</v>
      </c>
      <c r="J112" s="11" t="s">
        <v>73</v>
      </c>
      <c r="K112" s="11" t="s">
        <v>73</v>
      </c>
      <c r="L112" s="11" t="n">
        <v>0</v>
      </c>
      <c r="M112" s="11" t="s">
        <v>41</v>
      </c>
    </row>
    <row r="113" customFormat="false" ht="15" hidden="false" customHeight="false" outlineLevel="0" collapsed="false">
      <c r="A113" s="20" t="str">
        <f aca="false">"MR-"&amp;'State Bays'!A60&amp;"-L1"</f>
        <v>MR-BAY-HU-CON-2-L1</v>
      </c>
      <c r="B113" s="20" t="str">
        <f aca="false">'State Bays'!A60</f>
        <v>BAY-HU-CON-2</v>
      </c>
      <c r="C113" s="20" t="str">
        <f aca="false">'State Bays'!B60</f>
        <v>ST-HU-CON</v>
      </c>
      <c r="D113" s="20" t="str">
        <f aca="false">'State Bays'!C60</f>
        <v>MS-HU</v>
      </c>
      <c r="E113" s="20" t="str">
        <f aca="false">'State Bays'!D60</f>
        <v>HU-A</v>
      </c>
      <c r="F113" s="20" t="str">
        <f aca="false">'State Bays'!E60</f>
        <v>CONTROL</v>
      </c>
      <c r="G113" s="20" t="str">
        <f aca="false">'State Bays'!F60</f>
        <v>HU-RS2</v>
      </c>
      <c r="H113" s="20" t="str">
        <f aca="false">'State Bays'!H60</f>
        <v>LOAD AND QUALITY</v>
      </c>
      <c r="I113" s="9" t="s">
        <v>404</v>
      </c>
      <c r="J113" s="11" t="s">
        <v>73</v>
      </c>
      <c r="K113" s="11" t="s">
        <v>73</v>
      </c>
      <c r="L113" s="11" t="n">
        <v>0</v>
      </c>
      <c r="M113" s="11" t="s">
        <v>41</v>
      </c>
    </row>
    <row r="114" customFormat="false" ht="15" hidden="false" customHeight="false" outlineLevel="0" collapsed="false">
      <c r="A114" s="20" t="str">
        <f aca="false">"MR-"&amp;'State Bays'!A60&amp;"-L2"</f>
        <v>MR-BAY-HU-CON-2-L2</v>
      </c>
      <c r="B114" s="20" t="str">
        <f aca="false">'State Bays'!A60</f>
        <v>BAY-HU-CON-2</v>
      </c>
      <c r="C114" s="20" t="str">
        <f aca="false">'State Bays'!B60</f>
        <v>ST-HU-CON</v>
      </c>
      <c r="D114" s="20" t="str">
        <f aca="false">'State Bays'!C60</f>
        <v>MS-HU</v>
      </c>
      <c r="E114" s="20" t="str">
        <f aca="false">'State Bays'!D60</f>
        <v>HU-A</v>
      </c>
      <c r="F114" s="20" t="str">
        <f aca="false">'State Bays'!E60</f>
        <v>CONTROL</v>
      </c>
      <c r="G114" s="20" t="str">
        <f aca="false">'State Bays'!F60</f>
        <v>HU-RS2</v>
      </c>
      <c r="H114" s="20" t="str">
        <f aca="false">'State Bays'!H60</f>
        <v>LOAD AND QUALITY</v>
      </c>
      <c r="I114" s="9" t="s">
        <v>405</v>
      </c>
      <c r="J114" s="11" t="s">
        <v>73</v>
      </c>
      <c r="K114" s="11" t="s">
        <v>73</v>
      </c>
      <c r="L114" s="11" t="n">
        <v>0</v>
      </c>
      <c r="M114" s="11" t="s">
        <v>41</v>
      </c>
    </row>
    <row r="115" customFormat="false" ht="15" hidden="false" customHeight="false" outlineLevel="0" collapsed="false">
      <c r="A115" s="20" t="str">
        <f aca="false">"MR-"&amp;'State Bays'!A61&amp;"-L1"</f>
        <v>MR-BAY-HU-CON-3-L1</v>
      </c>
      <c r="B115" s="20" t="str">
        <f aca="false">'State Bays'!A61</f>
        <v>BAY-HU-CON-3</v>
      </c>
      <c r="C115" s="20" t="str">
        <f aca="false">'State Bays'!B61</f>
        <v>ST-HU-CON</v>
      </c>
      <c r="D115" s="20" t="str">
        <f aca="false">'State Bays'!C61</f>
        <v>MS-HU</v>
      </c>
      <c r="E115" s="20" t="str">
        <f aca="false">'State Bays'!D61</f>
        <v>HU-A</v>
      </c>
      <c r="F115" s="20" t="str">
        <f aca="false">'State Bays'!E61</f>
        <v>CONTROL</v>
      </c>
      <c r="G115" s="20" t="str">
        <f aca="false">'State Bays'!F61</f>
        <v>HU-RS3</v>
      </c>
      <c r="H115" s="20" t="str">
        <f aca="false">'State Bays'!H61</f>
        <v>LOAD AND QUALITY</v>
      </c>
      <c r="I115" s="9" t="s">
        <v>404</v>
      </c>
      <c r="J115" s="11" t="s">
        <v>73</v>
      </c>
      <c r="K115" s="11" t="s">
        <v>73</v>
      </c>
      <c r="L115" s="11" t="n">
        <v>0</v>
      </c>
      <c r="M115" s="11" t="s">
        <v>41</v>
      </c>
    </row>
    <row r="116" customFormat="false" ht="15" hidden="false" customHeight="false" outlineLevel="0" collapsed="false">
      <c r="A116" s="20" t="str">
        <f aca="false">"MR-"&amp;'State Bays'!A61&amp;"-L2"</f>
        <v>MR-BAY-HU-CON-3-L2</v>
      </c>
      <c r="B116" s="20" t="str">
        <f aca="false">'State Bays'!A61</f>
        <v>BAY-HU-CON-3</v>
      </c>
      <c r="C116" s="20" t="str">
        <f aca="false">'State Bays'!B61</f>
        <v>ST-HU-CON</v>
      </c>
      <c r="D116" s="20" t="str">
        <f aca="false">'State Bays'!C61</f>
        <v>MS-HU</v>
      </c>
      <c r="E116" s="20" t="str">
        <f aca="false">'State Bays'!D61</f>
        <v>HU-A</v>
      </c>
      <c r="F116" s="20" t="str">
        <f aca="false">'State Bays'!E61</f>
        <v>CONTROL</v>
      </c>
      <c r="G116" s="20" t="str">
        <f aca="false">'State Bays'!F61</f>
        <v>HU-RS3</v>
      </c>
      <c r="H116" s="20" t="str">
        <f aca="false">'State Bays'!H61</f>
        <v>LOAD AND QUALITY</v>
      </c>
      <c r="I116" s="9" t="s">
        <v>405</v>
      </c>
      <c r="J116" s="11" t="s">
        <v>73</v>
      </c>
      <c r="K116" s="11" t="s">
        <v>73</v>
      </c>
      <c r="L116" s="11" t="n">
        <v>0</v>
      </c>
      <c r="M116" s="11" t="s">
        <v>41</v>
      </c>
    </row>
    <row r="117" customFormat="false" ht="15" hidden="false" customHeight="false" outlineLevel="0" collapsed="false">
      <c r="A117" s="20" t="str">
        <f aca="false">"MR-"&amp;'State Bays'!A62&amp;"-L1"</f>
        <v>MR-BAY-HU-CON-4-L1</v>
      </c>
      <c r="B117" s="20" t="str">
        <f aca="false">'State Bays'!A62</f>
        <v>BAY-HU-CON-4</v>
      </c>
      <c r="C117" s="20" t="str">
        <f aca="false">'State Bays'!B62</f>
        <v>ST-HU-CON</v>
      </c>
      <c r="D117" s="20" t="str">
        <f aca="false">'State Bays'!C62</f>
        <v>MS-HU</v>
      </c>
      <c r="E117" s="20" t="str">
        <f aca="false">'State Bays'!D62</f>
        <v>HU-A</v>
      </c>
      <c r="F117" s="20" t="str">
        <f aca="false">'State Bays'!E62</f>
        <v>CONTROL</v>
      </c>
      <c r="G117" s="20" t="str">
        <f aca="false">'State Bays'!F62</f>
        <v>HU-RS4</v>
      </c>
      <c r="H117" s="20" t="str">
        <f aca="false">'State Bays'!H62</f>
        <v>LOAD AND QUALITY</v>
      </c>
      <c r="I117" s="9" t="s">
        <v>404</v>
      </c>
      <c r="J117" s="11" t="s">
        <v>73</v>
      </c>
      <c r="K117" s="11" t="s">
        <v>73</v>
      </c>
      <c r="L117" s="11" t="n">
        <v>0</v>
      </c>
      <c r="M117" s="11" t="s">
        <v>41</v>
      </c>
    </row>
    <row r="118" customFormat="false" ht="15" hidden="false" customHeight="false" outlineLevel="0" collapsed="false">
      <c r="A118" s="20" t="str">
        <f aca="false">"MR-"&amp;'State Bays'!A62&amp;"-L2"</f>
        <v>MR-BAY-HU-CON-4-L2</v>
      </c>
      <c r="B118" s="20" t="str">
        <f aca="false">'State Bays'!A62</f>
        <v>BAY-HU-CON-4</v>
      </c>
      <c r="C118" s="20" t="str">
        <f aca="false">'State Bays'!B62</f>
        <v>ST-HU-CON</v>
      </c>
      <c r="D118" s="20" t="str">
        <f aca="false">'State Bays'!C62</f>
        <v>MS-HU</v>
      </c>
      <c r="E118" s="20" t="str">
        <f aca="false">'State Bays'!D62</f>
        <v>HU-A</v>
      </c>
      <c r="F118" s="20" t="str">
        <f aca="false">'State Bays'!E62</f>
        <v>CONTROL</v>
      </c>
      <c r="G118" s="20" t="str">
        <f aca="false">'State Bays'!F62</f>
        <v>HU-RS4</v>
      </c>
      <c r="H118" s="20" t="str">
        <f aca="false">'State Bays'!H62</f>
        <v>LOAD AND QUALITY</v>
      </c>
      <c r="I118" s="9" t="s">
        <v>405</v>
      </c>
      <c r="J118" s="11" t="s">
        <v>73</v>
      </c>
      <c r="K118" s="11" t="s">
        <v>73</v>
      </c>
      <c r="L118" s="11" t="n">
        <v>0</v>
      </c>
      <c r="M118" s="11" t="s">
        <v>41</v>
      </c>
    </row>
    <row r="119" customFormat="false" ht="15" hidden="false" customHeight="false" outlineLevel="0" collapsed="false">
      <c r="A119" s="20" t="str">
        <f aca="false">"MR-"&amp;'State Bays'!A63&amp;"-L1"</f>
        <v>MR-BAY-HU-REC-1-L1</v>
      </c>
      <c r="B119" s="20" t="str">
        <f aca="false">'State Bays'!A63</f>
        <v>BAY-HU-REC-1</v>
      </c>
      <c r="C119" s="20" t="str">
        <f aca="false">'State Bays'!B63</f>
        <v>ST-HU-REC</v>
      </c>
      <c r="D119" s="20" t="str">
        <f aca="false">'State Bays'!C63</f>
        <v>MS-HU</v>
      </c>
      <c r="E119" s="20" t="str">
        <f aca="false">'State Bays'!D63</f>
        <v>HU-A</v>
      </c>
      <c r="F119" s="20" t="str">
        <f aca="false">'State Bays'!E63</f>
        <v>RECONSTRUCTION</v>
      </c>
      <c r="G119" s="20" t="str">
        <f aca="false">'State Bays'!F63</f>
        <v>HU-RS1</v>
      </c>
      <c r="H119" s="20" t="str">
        <f aca="false">'State Bays'!H63</f>
        <v>RECOVERY AND BURDEN</v>
      </c>
      <c r="I119" s="9" t="s">
        <v>404</v>
      </c>
      <c r="J119" s="11" t="s">
        <v>73</v>
      </c>
      <c r="K119" s="11" t="s">
        <v>73</v>
      </c>
      <c r="L119" s="11" t="n">
        <v>0</v>
      </c>
      <c r="M119" s="11" t="s">
        <v>41</v>
      </c>
    </row>
    <row r="120" customFormat="false" ht="15" hidden="false" customHeight="false" outlineLevel="0" collapsed="false">
      <c r="A120" s="20" t="str">
        <f aca="false">"MR-"&amp;'State Bays'!A63&amp;"-L2"</f>
        <v>MR-BAY-HU-REC-1-L2</v>
      </c>
      <c r="B120" s="20" t="str">
        <f aca="false">'State Bays'!A63</f>
        <v>BAY-HU-REC-1</v>
      </c>
      <c r="C120" s="20" t="str">
        <f aca="false">'State Bays'!B63</f>
        <v>ST-HU-REC</v>
      </c>
      <c r="D120" s="20" t="str">
        <f aca="false">'State Bays'!C63</f>
        <v>MS-HU</v>
      </c>
      <c r="E120" s="20" t="str">
        <f aca="false">'State Bays'!D63</f>
        <v>HU-A</v>
      </c>
      <c r="F120" s="20" t="str">
        <f aca="false">'State Bays'!E63</f>
        <v>RECONSTRUCTION</v>
      </c>
      <c r="G120" s="20" t="str">
        <f aca="false">'State Bays'!F63</f>
        <v>HU-RS1</v>
      </c>
      <c r="H120" s="20" t="str">
        <f aca="false">'State Bays'!H63</f>
        <v>RECOVERY AND BURDEN</v>
      </c>
      <c r="I120" s="9" t="s">
        <v>405</v>
      </c>
      <c r="J120" s="11" t="s">
        <v>73</v>
      </c>
      <c r="K120" s="11" t="s">
        <v>73</v>
      </c>
      <c r="L120" s="11" t="n">
        <v>0</v>
      </c>
      <c r="M120" s="11" t="s">
        <v>41</v>
      </c>
    </row>
    <row r="121" customFormat="false" ht="15" hidden="false" customHeight="false" outlineLevel="0" collapsed="false">
      <c r="A121" s="20" t="str">
        <f aca="false">"MR-"&amp;'State Bays'!A64&amp;"-L1"</f>
        <v>MR-BAY-HU-REC-2-L1</v>
      </c>
      <c r="B121" s="20" t="str">
        <f aca="false">'State Bays'!A64</f>
        <v>BAY-HU-REC-2</v>
      </c>
      <c r="C121" s="20" t="str">
        <f aca="false">'State Bays'!B64</f>
        <v>ST-HU-REC</v>
      </c>
      <c r="D121" s="20" t="str">
        <f aca="false">'State Bays'!C64</f>
        <v>MS-HU</v>
      </c>
      <c r="E121" s="20" t="str">
        <f aca="false">'State Bays'!D64</f>
        <v>HU-A</v>
      </c>
      <c r="F121" s="20" t="str">
        <f aca="false">'State Bays'!E64</f>
        <v>RECONSTRUCTION</v>
      </c>
      <c r="G121" s="20" t="str">
        <f aca="false">'State Bays'!F64</f>
        <v>HU-RS2</v>
      </c>
      <c r="H121" s="20" t="str">
        <f aca="false">'State Bays'!H64</f>
        <v>RECOVERY AND BURDEN</v>
      </c>
      <c r="I121" s="9" t="s">
        <v>404</v>
      </c>
      <c r="J121" s="11" t="s">
        <v>73</v>
      </c>
      <c r="K121" s="11" t="s">
        <v>73</v>
      </c>
      <c r="L121" s="11" t="n">
        <v>0</v>
      </c>
      <c r="M121" s="11" t="s">
        <v>41</v>
      </c>
    </row>
    <row r="122" customFormat="false" ht="15" hidden="false" customHeight="false" outlineLevel="0" collapsed="false">
      <c r="A122" s="20" t="str">
        <f aca="false">"MR-"&amp;'State Bays'!A64&amp;"-L2"</f>
        <v>MR-BAY-HU-REC-2-L2</v>
      </c>
      <c r="B122" s="20" t="str">
        <f aca="false">'State Bays'!A64</f>
        <v>BAY-HU-REC-2</v>
      </c>
      <c r="C122" s="20" t="str">
        <f aca="false">'State Bays'!B64</f>
        <v>ST-HU-REC</v>
      </c>
      <c r="D122" s="20" t="str">
        <f aca="false">'State Bays'!C64</f>
        <v>MS-HU</v>
      </c>
      <c r="E122" s="20" t="str">
        <f aca="false">'State Bays'!D64</f>
        <v>HU-A</v>
      </c>
      <c r="F122" s="20" t="str">
        <f aca="false">'State Bays'!E64</f>
        <v>RECONSTRUCTION</v>
      </c>
      <c r="G122" s="20" t="str">
        <f aca="false">'State Bays'!F64</f>
        <v>HU-RS2</v>
      </c>
      <c r="H122" s="20" t="str">
        <f aca="false">'State Bays'!H64</f>
        <v>RECOVERY AND BURDEN</v>
      </c>
      <c r="I122" s="9" t="s">
        <v>405</v>
      </c>
      <c r="J122" s="11" t="s">
        <v>73</v>
      </c>
      <c r="K122" s="11" t="s">
        <v>73</v>
      </c>
      <c r="L122" s="11" t="n">
        <v>0</v>
      </c>
      <c r="M122" s="11" t="s">
        <v>41</v>
      </c>
    </row>
    <row r="123" customFormat="false" ht="15" hidden="false" customHeight="false" outlineLevel="0" collapsed="false">
      <c r="A123" s="20" t="str">
        <f aca="false">"MR-"&amp;'State Bays'!A65&amp;"-L1"</f>
        <v>MR-BAY-HU-REC-3-L1</v>
      </c>
      <c r="B123" s="20" t="str">
        <f aca="false">'State Bays'!A65</f>
        <v>BAY-HU-REC-3</v>
      </c>
      <c r="C123" s="20" t="str">
        <f aca="false">'State Bays'!B65</f>
        <v>ST-HU-REC</v>
      </c>
      <c r="D123" s="20" t="str">
        <f aca="false">'State Bays'!C65</f>
        <v>MS-HU</v>
      </c>
      <c r="E123" s="20" t="str">
        <f aca="false">'State Bays'!D65</f>
        <v>HU-A</v>
      </c>
      <c r="F123" s="20" t="str">
        <f aca="false">'State Bays'!E65</f>
        <v>RECONSTRUCTION</v>
      </c>
      <c r="G123" s="20" t="str">
        <f aca="false">'State Bays'!F65</f>
        <v>HU-RS3</v>
      </c>
      <c r="H123" s="20" t="str">
        <f aca="false">'State Bays'!H65</f>
        <v>RECOVERY AND BURDEN</v>
      </c>
      <c r="I123" s="9" t="s">
        <v>404</v>
      </c>
      <c r="J123" s="11" t="s">
        <v>73</v>
      </c>
      <c r="K123" s="11" t="s">
        <v>73</v>
      </c>
      <c r="L123" s="11" t="n">
        <v>0</v>
      </c>
      <c r="M123" s="11" t="s">
        <v>41</v>
      </c>
    </row>
    <row r="124" customFormat="false" ht="15" hidden="false" customHeight="false" outlineLevel="0" collapsed="false">
      <c r="A124" s="20" t="str">
        <f aca="false">"MR-"&amp;'State Bays'!A65&amp;"-L2"</f>
        <v>MR-BAY-HU-REC-3-L2</v>
      </c>
      <c r="B124" s="20" t="str">
        <f aca="false">'State Bays'!A65</f>
        <v>BAY-HU-REC-3</v>
      </c>
      <c r="C124" s="20" t="str">
        <f aca="false">'State Bays'!B65</f>
        <v>ST-HU-REC</v>
      </c>
      <c r="D124" s="20" t="str">
        <f aca="false">'State Bays'!C65</f>
        <v>MS-HU</v>
      </c>
      <c r="E124" s="20" t="str">
        <f aca="false">'State Bays'!D65</f>
        <v>HU-A</v>
      </c>
      <c r="F124" s="20" t="str">
        <f aca="false">'State Bays'!E65</f>
        <v>RECONSTRUCTION</v>
      </c>
      <c r="G124" s="20" t="str">
        <f aca="false">'State Bays'!F65</f>
        <v>HU-RS3</v>
      </c>
      <c r="H124" s="20" t="str">
        <f aca="false">'State Bays'!H65</f>
        <v>RECOVERY AND BURDEN</v>
      </c>
      <c r="I124" s="9" t="s">
        <v>405</v>
      </c>
      <c r="J124" s="11" t="s">
        <v>73</v>
      </c>
      <c r="K124" s="11" t="s">
        <v>73</v>
      </c>
      <c r="L124" s="11" t="n">
        <v>0</v>
      </c>
      <c r="M124" s="11" t="s">
        <v>41</v>
      </c>
    </row>
    <row r="125" customFormat="false" ht="15" hidden="false" customHeight="false" outlineLevel="0" collapsed="false">
      <c r="A125" s="20" t="str">
        <f aca="false">"MR-"&amp;'State Bays'!A66&amp;"-L1"</f>
        <v>MR-BAY-HU-REC-4-L1</v>
      </c>
      <c r="B125" s="20" t="str">
        <f aca="false">'State Bays'!A66</f>
        <v>BAY-HU-REC-4</v>
      </c>
      <c r="C125" s="20" t="str">
        <f aca="false">'State Bays'!B66</f>
        <v>ST-HU-REC</v>
      </c>
      <c r="D125" s="20" t="str">
        <f aca="false">'State Bays'!C66</f>
        <v>MS-HU</v>
      </c>
      <c r="E125" s="20" t="str">
        <f aca="false">'State Bays'!D66</f>
        <v>HU-A</v>
      </c>
      <c r="F125" s="20" t="str">
        <f aca="false">'State Bays'!E66</f>
        <v>RECONSTRUCTION</v>
      </c>
      <c r="G125" s="20" t="str">
        <f aca="false">'State Bays'!F66</f>
        <v>HU-RS4</v>
      </c>
      <c r="H125" s="20" t="str">
        <f aca="false">'State Bays'!H66</f>
        <v>RECOVERY AND BURDEN</v>
      </c>
      <c r="I125" s="9" t="s">
        <v>404</v>
      </c>
      <c r="J125" s="11" t="s">
        <v>73</v>
      </c>
      <c r="K125" s="11" t="s">
        <v>73</v>
      </c>
      <c r="L125" s="11" t="n">
        <v>0</v>
      </c>
      <c r="M125" s="11" t="s">
        <v>41</v>
      </c>
    </row>
    <row r="126" customFormat="false" ht="15" hidden="false" customHeight="false" outlineLevel="0" collapsed="false">
      <c r="A126" s="20" t="str">
        <f aca="false">"MR-"&amp;'State Bays'!A66&amp;"-L2"</f>
        <v>MR-BAY-HU-REC-4-L2</v>
      </c>
      <c r="B126" s="20" t="str">
        <f aca="false">'State Bays'!A66</f>
        <v>BAY-HU-REC-4</v>
      </c>
      <c r="C126" s="20" t="str">
        <f aca="false">'State Bays'!B66</f>
        <v>ST-HU-REC</v>
      </c>
      <c r="D126" s="20" t="str">
        <f aca="false">'State Bays'!C66</f>
        <v>MS-HU</v>
      </c>
      <c r="E126" s="20" t="str">
        <f aca="false">'State Bays'!D66</f>
        <v>HU-A</v>
      </c>
      <c r="F126" s="20" t="str">
        <f aca="false">'State Bays'!E66</f>
        <v>RECONSTRUCTION</v>
      </c>
      <c r="G126" s="20" t="str">
        <f aca="false">'State Bays'!F66</f>
        <v>HU-RS4</v>
      </c>
      <c r="H126" s="20" t="str">
        <f aca="false">'State Bays'!H66</f>
        <v>RECOVERY AND BURDEN</v>
      </c>
      <c r="I126" s="9" t="s">
        <v>405</v>
      </c>
      <c r="J126" s="11" t="s">
        <v>73</v>
      </c>
      <c r="K126" s="11" t="s">
        <v>73</v>
      </c>
      <c r="L126" s="11" t="n">
        <v>0</v>
      </c>
      <c r="M126" s="11" t="s">
        <v>41</v>
      </c>
    </row>
    <row r="127" customFormat="false" ht="15" hidden="false" customHeight="false" outlineLevel="0" collapsed="false">
      <c r="A127" s="20" t="str">
        <f aca="false">"MR-"&amp;'State Bays'!A67&amp;"-L1"</f>
        <v>MR-BAY-RT-CHA-1-L1</v>
      </c>
      <c r="B127" s="20" t="str">
        <f aca="false">'State Bays'!A67</f>
        <v>BAY-RT-CHA-1</v>
      </c>
      <c r="C127" s="20" t="str">
        <f aca="false">'State Bays'!B67</f>
        <v>ST-RT-CHA</v>
      </c>
      <c r="D127" s="20" t="str">
        <f aca="false">'State Bays'!C67</f>
        <v>MS-RT</v>
      </c>
      <c r="E127" s="20" t="str">
        <f aca="false">'State Bays'!D67</f>
        <v>RT-B</v>
      </c>
      <c r="F127" s="20" t="str">
        <f aca="false">'State Bays'!E67</f>
        <v>CHALLENGE</v>
      </c>
      <c r="G127" s="20" t="str">
        <f aca="false">'State Bays'!F67</f>
        <v>RT-RS1</v>
      </c>
      <c r="H127" s="20" t="str">
        <f aca="false">'State Bays'!H67</f>
        <v>DENIED CONDITION</v>
      </c>
      <c r="I127" s="9" t="s">
        <v>404</v>
      </c>
      <c r="J127" s="11" t="s">
        <v>73</v>
      </c>
      <c r="K127" s="11" t="s">
        <v>73</v>
      </c>
      <c r="L127" s="11" t="n">
        <v>0</v>
      </c>
      <c r="M127" s="11" t="s">
        <v>41</v>
      </c>
    </row>
    <row r="128" customFormat="false" ht="15" hidden="false" customHeight="false" outlineLevel="0" collapsed="false">
      <c r="A128" s="20" t="str">
        <f aca="false">"MR-"&amp;'State Bays'!A67&amp;"-L2"</f>
        <v>MR-BAY-RT-CHA-1-L2</v>
      </c>
      <c r="B128" s="20" t="str">
        <f aca="false">'State Bays'!A67</f>
        <v>BAY-RT-CHA-1</v>
      </c>
      <c r="C128" s="20" t="str">
        <f aca="false">'State Bays'!B67</f>
        <v>ST-RT-CHA</v>
      </c>
      <c r="D128" s="20" t="str">
        <f aca="false">'State Bays'!C67</f>
        <v>MS-RT</v>
      </c>
      <c r="E128" s="20" t="str">
        <f aca="false">'State Bays'!D67</f>
        <v>RT-B</v>
      </c>
      <c r="F128" s="20" t="str">
        <f aca="false">'State Bays'!E67</f>
        <v>CHALLENGE</v>
      </c>
      <c r="G128" s="20" t="str">
        <f aca="false">'State Bays'!F67</f>
        <v>RT-RS1</v>
      </c>
      <c r="H128" s="20" t="str">
        <f aca="false">'State Bays'!H67</f>
        <v>DENIED CONDITION</v>
      </c>
      <c r="I128" s="9" t="s">
        <v>405</v>
      </c>
      <c r="J128" s="11" t="s">
        <v>73</v>
      </c>
      <c r="K128" s="11" t="s">
        <v>73</v>
      </c>
      <c r="L128" s="11" t="n">
        <v>0</v>
      </c>
      <c r="M128" s="11" t="s">
        <v>41</v>
      </c>
    </row>
    <row r="129" customFormat="false" ht="15" hidden="false" customHeight="false" outlineLevel="0" collapsed="false">
      <c r="A129" s="20" t="str">
        <f aca="false">"MR-"&amp;'State Bays'!A68&amp;"-L1"</f>
        <v>MR-BAY-RT-CHA-2-L1</v>
      </c>
      <c r="B129" s="20" t="str">
        <f aca="false">'State Bays'!A68</f>
        <v>BAY-RT-CHA-2</v>
      </c>
      <c r="C129" s="20" t="str">
        <f aca="false">'State Bays'!B68</f>
        <v>ST-RT-CHA</v>
      </c>
      <c r="D129" s="20" t="str">
        <f aca="false">'State Bays'!C68</f>
        <v>MS-RT</v>
      </c>
      <c r="E129" s="20" t="str">
        <f aca="false">'State Bays'!D68</f>
        <v>RT-B</v>
      </c>
      <c r="F129" s="20" t="str">
        <f aca="false">'State Bays'!E68</f>
        <v>CHALLENGE</v>
      </c>
      <c r="G129" s="20" t="str">
        <f aca="false">'State Bays'!F68</f>
        <v>RT-RS2</v>
      </c>
      <c r="H129" s="20" t="str">
        <f aca="false">'State Bays'!H68</f>
        <v>DENIED CONDITION</v>
      </c>
      <c r="I129" s="9" t="s">
        <v>404</v>
      </c>
      <c r="J129" s="11" t="s">
        <v>73</v>
      </c>
      <c r="K129" s="11" t="s">
        <v>73</v>
      </c>
      <c r="L129" s="11" t="n">
        <v>0</v>
      </c>
      <c r="M129" s="11" t="s">
        <v>41</v>
      </c>
    </row>
    <row r="130" customFormat="false" ht="15" hidden="false" customHeight="false" outlineLevel="0" collapsed="false">
      <c r="A130" s="20" t="str">
        <f aca="false">"MR-"&amp;'State Bays'!A68&amp;"-L2"</f>
        <v>MR-BAY-RT-CHA-2-L2</v>
      </c>
      <c r="B130" s="20" t="str">
        <f aca="false">'State Bays'!A68</f>
        <v>BAY-RT-CHA-2</v>
      </c>
      <c r="C130" s="20" t="str">
        <f aca="false">'State Bays'!B68</f>
        <v>ST-RT-CHA</v>
      </c>
      <c r="D130" s="20" t="str">
        <f aca="false">'State Bays'!C68</f>
        <v>MS-RT</v>
      </c>
      <c r="E130" s="20" t="str">
        <f aca="false">'State Bays'!D68</f>
        <v>RT-B</v>
      </c>
      <c r="F130" s="20" t="str">
        <f aca="false">'State Bays'!E68</f>
        <v>CHALLENGE</v>
      </c>
      <c r="G130" s="20" t="str">
        <f aca="false">'State Bays'!F68</f>
        <v>RT-RS2</v>
      </c>
      <c r="H130" s="20" t="str">
        <f aca="false">'State Bays'!H68</f>
        <v>DENIED CONDITION</v>
      </c>
      <c r="I130" s="9" t="s">
        <v>405</v>
      </c>
      <c r="J130" s="11" t="s">
        <v>73</v>
      </c>
      <c r="K130" s="11" t="s">
        <v>73</v>
      </c>
      <c r="L130" s="11" t="n">
        <v>0</v>
      </c>
      <c r="M130" s="11" t="s">
        <v>41</v>
      </c>
    </row>
    <row r="131" customFormat="false" ht="15" hidden="false" customHeight="false" outlineLevel="0" collapsed="false">
      <c r="A131" s="20" t="str">
        <f aca="false">"MR-"&amp;'State Bays'!A69&amp;"-L1"</f>
        <v>MR-BAY-RT-CHA-3-L1</v>
      </c>
      <c r="B131" s="20" t="str">
        <f aca="false">'State Bays'!A69</f>
        <v>BAY-RT-CHA-3</v>
      </c>
      <c r="C131" s="20" t="str">
        <f aca="false">'State Bays'!B69</f>
        <v>ST-RT-CHA</v>
      </c>
      <c r="D131" s="20" t="str">
        <f aca="false">'State Bays'!C69</f>
        <v>MS-RT</v>
      </c>
      <c r="E131" s="20" t="str">
        <f aca="false">'State Bays'!D69</f>
        <v>RT-B</v>
      </c>
      <c r="F131" s="20" t="str">
        <f aca="false">'State Bays'!E69</f>
        <v>CHALLENGE</v>
      </c>
      <c r="G131" s="20" t="str">
        <f aca="false">'State Bays'!F69</f>
        <v>RT-RS3</v>
      </c>
      <c r="H131" s="20" t="str">
        <f aca="false">'State Bays'!H69</f>
        <v>DENIED CONDITION</v>
      </c>
      <c r="I131" s="9" t="s">
        <v>404</v>
      </c>
      <c r="J131" s="11" t="s">
        <v>73</v>
      </c>
      <c r="K131" s="11" t="s">
        <v>73</v>
      </c>
      <c r="L131" s="11" t="n">
        <v>0</v>
      </c>
      <c r="M131" s="11" t="s">
        <v>41</v>
      </c>
    </row>
    <row r="132" customFormat="false" ht="15" hidden="false" customHeight="false" outlineLevel="0" collapsed="false">
      <c r="A132" s="20" t="str">
        <f aca="false">"MR-"&amp;'State Bays'!A69&amp;"-L2"</f>
        <v>MR-BAY-RT-CHA-3-L2</v>
      </c>
      <c r="B132" s="20" t="str">
        <f aca="false">'State Bays'!A69</f>
        <v>BAY-RT-CHA-3</v>
      </c>
      <c r="C132" s="20" t="str">
        <f aca="false">'State Bays'!B69</f>
        <v>ST-RT-CHA</v>
      </c>
      <c r="D132" s="20" t="str">
        <f aca="false">'State Bays'!C69</f>
        <v>MS-RT</v>
      </c>
      <c r="E132" s="20" t="str">
        <f aca="false">'State Bays'!D69</f>
        <v>RT-B</v>
      </c>
      <c r="F132" s="20" t="str">
        <f aca="false">'State Bays'!E69</f>
        <v>CHALLENGE</v>
      </c>
      <c r="G132" s="20" t="str">
        <f aca="false">'State Bays'!F69</f>
        <v>RT-RS3</v>
      </c>
      <c r="H132" s="20" t="str">
        <f aca="false">'State Bays'!H69</f>
        <v>DENIED CONDITION</v>
      </c>
      <c r="I132" s="9" t="s">
        <v>405</v>
      </c>
      <c r="J132" s="11" t="s">
        <v>73</v>
      </c>
      <c r="K132" s="11" t="s">
        <v>73</v>
      </c>
      <c r="L132" s="11" t="n">
        <v>0</v>
      </c>
      <c r="M132" s="11" t="s">
        <v>41</v>
      </c>
    </row>
    <row r="133" customFormat="false" ht="15" hidden="false" customHeight="false" outlineLevel="0" collapsed="false">
      <c r="A133" s="20" t="str">
        <f aca="false">"MR-"&amp;'State Bays'!A70&amp;"-L1"</f>
        <v>MR-BAY-RT-CHA-4-L1</v>
      </c>
      <c r="B133" s="20" t="str">
        <f aca="false">'State Bays'!A70</f>
        <v>BAY-RT-CHA-4</v>
      </c>
      <c r="C133" s="20" t="str">
        <f aca="false">'State Bays'!B70</f>
        <v>ST-RT-CHA</v>
      </c>
      <c r="D133" s="20" t="str">
        <f aca="false">'State Bays'!C70</f>
        <v>MS-RT</v>
      </c>
      <c r="E133" s="20" t="str">
        <f aca="false">'State Bays'!D70</f>
        <v>RT-B</v>
      </c>
      <c r="F133" s="20" t="str">
        <f aca="false">'State Bays'!E70</f>
        <v>CHALLENGE</v>
      </c>
      <c r="G133" s="20" t="str">
        <f aca="false">'State Bays'!F70</f>
        <v>RT-RS4</v>
      </c>
      <c r="H133" s="20" t="str">
        <f aca="false">'State Bays'!H70</f>
        <v>DENIED CONDITION</v>
      </c>
      <c r="I133" s="9" t="s">
        <v>404</v>
      </c>
      <c r="J133" s="11" t="s">
        <v>73</v>
      </c>
      <c r="K133" s="11" t="s">
        <v>73</v>
      </c>
      <c r="L133" s="11" t="n">
        <v>0</v>
      </c>
      <c r="M133" s="11" t="s">
        <v>41</v>
      </c>
    </row>
    <row r="134" customFormat="false" ht="15" hidden="false" customHeight="false" outlineLevel="0" collapsed="false">
      <c r="A134" s="20" t="str">
        <f aca="false">"MR-"&amp;'State Bays'!A70&amp;"-L2"</f>
        <v>MR-BAY-RT-CHA-4-L2</v>
      </c>
      <c r="B134" s="20" t="str">
        <f aca="false">'State Bays'!A70</f>
        <v>BAY-RT-CHA-4</v>
      </c>
      <c r="C134" s="20" t="str">
        <f aca="false">'State Bays'!B70</f>
        <v>ST-RT-CHA</v>
      </c>
      <c r="D134" s="20" t="str">
        <f aca="false">'State Bays'!C70</f>
        <v>MS-RT</v>
      </c>
      <c r="E134" s="20" t="str">
        <f aca="false">'State Bays'!D70</f>
        <v>RT-B</v>
      </c>
      <c r="F134" s="20" t="str">
        <f aca="false">'State Bays'!E70</f>
        <v>CHALLENGE</v>
      </c>
      <c r="G134" s="20" t="str">
        <f aca="false">'State Bays'!F70</f>
        <v>RT-RS4</v>
      </c>
      <c r="H134" s="20" t="str">
        <f aca="false">'State Bays'!H70</f>
        <v>DENIED CONDITION</v>
      </c>
      <c r="I134" s="9" t="s">
        <v>405</v>
      </c>
      <c r="J134" s="11" t="s">
        <v>73</v>
      </c>
      <c r="K134" s="11" t="s">
        <v>73</v>
      </c>
      <c r="L134" s="11" t="n">
        <v>0</v>
      </c>
      <c r="M134" s="11" t="s">
        <v>41</v>
      </c>
    </row>
    <row r="135" customFormat="false" ht="15" hidden="false" customHeight="false" outlineLevel="0" collapsed="false">
      <c r="A135" s="20" t="str">
        <f aca="false">"MR-"&amp;'State Bays'!A71&amp;"-L1"</f>
        <v>MR-BAY-RT-CON-1-L1</v>
      </c>
      <c r="B135" s="20" t="str">
        <f aca="false">'State Bays'!A71</f>
        <v>BAY-RT-CON-1</v>
      </c>
      <c r="C135" s="20" t="str">
        <f aca="false">'State Bays'!B71</f>
        <v>ST-RT-CON</v>
      </c>
      <c r="D135" s="20" t="str">
        <f aca="false">'State Bays'!C71</f>
        <v>MS-RT</v>
      </c>
      <c r="E135" s="20" t="str">
        <f aca="false">'State Bays'!D71</f>
        <v>RT-B</v>
      </c>
      <c r="F135" s="20" t="str">
        <f aca="false">'State Bays'!E71</f>
        <v>CONTROL</v>
      </c>
      <c r="G135" s="20" t="str">
        <f aca="false">'State Bays'!F71</f>
        <v>RT-RS1</v>
      </c>
      <c r="H135" s="20" t="str">
        <f aca="false">'State Bays'!H71</f>
        <v>LOAD AND QUALITY</v>
      </c>
      <c r="I135" s="9" t="s">
        <v>404</v>
      </c>
      <c r="J135" s="11" t="s">
        <v>73</v>
      </c>
      <c r="K135" s="11" t="s">
        <v>73</v>
      </c>
      <c r="L135" s="11" t="n">
        <v>0</v>
      </c>
      <c r="M135" s="11" t="s">
        <v>41</v>
      </c>
    </row>
    <row r="136" customFormat="false" ht="15" hidden="false" customHeight="false" outlineLevel="0" collapsed="false">
      <c r="A136" s="20" t="str">
        <f aca="false">"MR-"&amp;'State Bays'!A71&amp;"-L2"</f>
        <v>MR-BAY-RT-CON-1-L2</v>
      </c>
      <c r="B136" s="20" t="str">
        <f aca="false">'State Bays'!A71</f>
        <v>BAY-RT-CON-1</v>
      </c>
      <c r="C136" s="20" t="str">
        <f aca="false">'State Bays'!B71</f>
        <v>ST-RT-CON</v>
      </c>
      <c r="D136" s="20" t="str">
        <f aca="false">'State Bays'!C71</f>
        <v>MS-RT</v>
      </c>
      <c r="E136" s="20" t="str">
        <f aca="false">'State Bays'!D71</f>
        <v>RT-B</v>
      </c>
      <c r="F136" s="20" t="str">
        <f aca="false">'State Bays'!E71</f>
        <v>CONTROL</v>
      </c>
      <c r="G136" s="20" t="str">
        <f aca="false">'State Bays'!F71</f>
        <v>RT-RS1</v>
      </c>
      <c r="H136" s="20" t="str">
        <f aca="false">'State Bays'!H71</f>
        <v>LOAD AND QUALITY</v>
      </c>
      <c r="I136" s="9" t="s">
        <v>405</v>
      </c>
      <c r="J136" s="11" t="s">
        <v>73</v>
      </c>
      <c r="K136" s="11" t="s">
        <v>73</v>
      </c>
      <c r="L136" s="11" t="n">
        <v>0</v>
      </c>
      <c r="M136" s="11" t="s">
        <v>41</v>
      </c>
    </row>
    <row r="137" customFormat="false" ht="15" hidden="false" customHeight="false" outlineLevel="0" collapsed="false">
      <c r="A137" s="20" t="str">
        <f aca="false">"MR-"&amp;'State Bays'!A72&amp;"-L1"</f>
        <v>MR-BAY-RT-CON-2-L1</v>
      </c>
      <c r="B137" s="20" t="str">
        <f aca="false">'State Bays'!A72</f>
        <v>BAY-RT-CON-2</v>
      </c>
      <c r="C137" s="20" t="str">
        <f aca="false">'State Bays'!B72</f>
        <v>ST-RT-CON</v>
      </c>
      <c r="D137" s="20" t="str">
        <f aca="false">'State Bays'!C72</f>
        <v>MS-RT</v>
      </c>
      <c r="E137" s="20" t="str">
        <f aca="false">'State Bays'!D72</f>
        <v>RT-B</v>
      </c>
      <c r="F137" s="20" t="str">
        <f aca="false">'State Bays'!E72</f>
        <v>CONTROL</v>
      </c>
      <c r="G137" s="20" t="str">
        <f aca="false">'State Bays'!F72</f>
        <v>RT-RS2</v>
      </c>
      <c r="H137" s="20" t="str">
        <f aca="false">'State Bays'!H72</f>
        <v>LOAD AND QUALITY</v>
      </c>
      <c r="I137" s="9" t="s">
        <v>404</v>
      </c>
      <c r="J137" s="11" t="s">
        <v>73</v>
      </c>
      <c r="K137" s="11" t="s">
        <v>73</v>
      </c>
      <c r="L137" s="11" t="n">
        <v>0</v>
      </c>
      <c r="M137" s="11" t="s">
        <v>41</v>
      </c>
    </row>
    <row r="138" customFormat="false" ht="15" hidden="false" customHeight="false" outlineLevel="0" collapsed="false">
      <c r="A138" s="20" t="str">
        <f aca="false">"MR-"&amp;'State Bays'!A72&amp;"-L2"</f>
        <v>MR-BAY-RT-CON-2-L2</v>
      </c>
      <c r="B138" s="20" t="str">
        <f aca="false">'State Bays'!A72</f>
        <v>BAY-RT-CON-2</v>
      </c>
      <c r="C138" s="20" t="str">
        <f aca="false">'State Bays'!B72</f>
        <v>ST-RT-CON</v>
      </c>
      <c r="D138" s="20" t="str">
        <f aca="false">'State Bays'!C72</f>
        <v>MS-RT</v>
      </c>
      <c r="E138" s="20" t="str">
        <f aca="false">'State Bays'!D72</f>
        <v>RT-B</v>
      </c>
      <c r="F138" s="20" t="str">
        <f aca="false">'State Bays'!E72</f>
        <v>CONTROL</v>
      </c>
      <c r="G138" s="20" t="str">
        <f aca="false">'State Bays'!F72</f>
        <v>RT-RS2</v>
      </c>
      <c r="H138" s="20" t="str">
        <f aca="false">'State Bays'!H72</f>
        <v>LOAD AND QUALITY</v>
      </c>
      <c r="I138" s="9" t="s">
        <v>405</v>
      </c>
      <c r="J138" s="11" t="s">
        <v>73</v>
      </c>
      <c r="K138" s="11" t="s">
        <v>73</v>
      </c>
      <c r="L138" s="11" t="n">
        <v>0</v>
      </c>
      <c r="M138" s="11" t="s">
        <v>41</v>
      </c>
    </row>
    <row r="139" customFormat="false" ht="15" hidden="false" customHeight="false" outlineLevel="0" collapsed="false">
      <c r="A139" s="20" t="str">
        <f aca="false">"MR-"&amp;'State Bays'!A73&amp;"-L1"</f>
        <v>MR-BAY-RT-CON-3-L1</v>
      </c>
      <c r="B139" s="20" t="str">
        <f aca="false">'State Bays'!A73</f>
        <v>BAY-RT-CON-3</v>
      </c>
      <c r="C139" s="20" t="str">
        <f aca="false">'State Bays'!B73</f>
        <v>ST-RT-CON</v>
      </c>
      <c r="D139" s="20" t="str">
        <f aca="false">'State Bays'!C73</f>
        <v>MS-RT</v>
      </c>
      <c r="E139" s="20" t="str">
        <f aca="false">'State Bays'!D73</f>
        <v>RT-B</v>
      </c>
      <c r="F139" s="20" t="str">
        <f aca="false">'State Bays'!E73</f>
        <v>CONTROL</v>
      </c>
      <c r="G139" s="20" t="str">
        <f aca="false">'State Bays'!F73</f>
        <v>RT-RS3</v>
      </c>
      <c r="H139" s="20" t="str">
        <f aca="false">'State Bays'!H73</f>
        <v>LOAD AND QUALITY</v>
      </c>
      <c r="I139" s="9" t="s">
        <v>404</v>
      </c>
      <c r="J139" s="11" t="s">
        <v>73</v>
      </c>
      <c r="K139" s="11" t="s">
        <v>73</v>
      </c>
      <c r="L139" s="11" t="n">
        <v>0</v>
      </c>
      <c r="M139" s="11" t="s">
        <v>41</v>
      </c>
    </row>
    <row r="140" customFormat="false" ht="15" hidden="false" customHeight="false" outlineLevel="0" collapsed="false">
      <c r="A140" s="20" t="str">
        <f aca="false">"MR-"&amp;'State Bays'!A73&amp;"-L2"</f>
        <v>MR-BAY-RT-CON-3-L2</v>
      </c>
      <c r="B140" s="20" t="str">
        <f aca="false">'State Bays'!A73</f>
        <v>BAY-RT-CON-3</v>
      </c>
      <c r="C140" s="20" t="str">
        <f aca="false">'State Bays'!B73</f>
        <v>ST-RT-CON</v>
      </c>
      <c r="D140" s="20" t="str">
        <f aca="false">'State Bays'!C73</f>
        <v>MS-RT</v>
      </c>
      <c r="E140" s="20" t="str">
        <f aca="false">'State Bays'!D73</f>
        <v>RT-B</v>
      </c>
      <c r="F140" s="20" t="str">
        <f aca="false">'State Bays'!E73</f>
        <v>CONTROL</v>
      </c>
      <c r="G140" s="20" t="str">
        <f aca="false">'State Bays'!F73</f>
        <v>RT-RS3</v>
      </c>
      <c r="H140" s="20" t="str">
        <f aca="false">'State Bays'!H73</f>
        <v>LOAD AND QUALITY</v>
      </c>
      <c r="I140" s="9" t="s">
        <v>405</v>
      </c>
      <c r="J140" s="11" t="s">
        <v>73</v>
      </c>
      <c r="K140" s="11" t="s">
        <v>73</v>
      </c>
      <c r="L140" s="11" t="n">
        <v>0</v>
      </c>
      <c r="M140" s="11" t="s">
        <v>41</v>
      </c>
    </row>
    <row r="141" customFormat="false" ht="15" hidden="false" customHeight="false" outlineLevel="0" collapsed="false">
      <c r="A141" s="20" t="str">
        <f aca="false">"MR-"&amp;'State Bays'!A74&amp;"-L1"</f>
        <v>MR-BAY-RT-CON-4-L1</v>
      </c>
      <c r="B141" s="20" t="str">
        <f aca="false">'State Bays'!A74</f>
        <v>BAY-RT-CON-4</v>
      </c>
      <c r="C141" s="20" t="str">
        <f aca="false">'State Bays'!B74</f>
        <v>ST-RT-CON</v>
      </c>
      <c r="D141" s="20" t="str">
        <f aca="false">'State Bays'!C74</f>
        <v>MS-RT</v>
      </c>
      <c r="E141" s="20" t="str">
        <f aca="false">'State Bays'!D74</f>
        <v>RT-B</v>
      </c>
      <c r="F141" s="20" t="str">
        <f aca="false">'State Bays'!E74</f>
        <v>CONTROL</v>
      </c>
      <c r="G141" s="20" t="str">
        <f aca="false">'State Bays'!F74</f>
        <v>RT-RS4</v>
      </c>
      <c r="H141" s="20" t="str">
        <f aca="false">'State Bays'!H74</f>
        <v>LOAD AND QUALITY</v>
      </c>
      <c r="I141" s="9" t="s">
        <v>404</v>
      </c>
      <c r="J141" s="11" t="s">
        <v>73</v>
      </c>
      <c r="K141" s="11" t="s">
        <v>73</v>
      </c>
      <c r="L141" s="11" t="n">
        <v>0</v>
      </c>
      <c r="M141" s="11" t="s">
        <v>41</v>
      </c>
    </row>
    <row r="142" customFormat="false" ht="15" hidden="false" customHeight="false" outlineLevel="0" collapsed="false">
      <c r="A142" s="20" t="str">
        <f aca="false">"MR-"&amp;'State Bays'!A74&amp;"-L2"</f>
        <v>MR-BAY-RT-CON-4-L2</v>
      </c>
      <c r="B142" s="20" t="str">
        <f aca="false">'State Bays'!A74</f>
        <v>BAY-RT-CON-4</v>
      </c>
      <c r="C142" s="20" t="str">
        <f aca="false">'State Bays'!B74</f>
        <v>ST-RT-CON</v>
      </c>
      <c r="D142" s="20" t="str">
        <f aca="false">'State Bays'!C74</f>
        <v>MS-RT</v>
      </c>
      <c r="E142" s="20" t="str">
        <f aca="false">'State Bays'!D74</f>
        <v>RT-B</v>
      </c>
      <c r="F142" s="20" t="str">
        <f aca="false">'State Bays'!E74</f>
        <v>CONTROL</v>
      </c>
      <c r="G142" s="20" t="str">
        <f aca="false">'State Bays'!F74</f>
        <v>RT-RS4</v>
      </c>
      <c r="H142" s="20" t="str">
        <f aca="false">'State Bays'!H74</f>
        <v>LOAD AND QUALITY</v>
      </c>
      <c r="I142" s="9" t="s">
        <v>405</v>
      </c>
      <c r="J142" s="11" t="s">
        <v>73</v>
      </c>
      <c r="K142" s="11" t="s">
        <v>73</v>
      </c>
      <c r="L142" s="11" t="n">
        <v>0</v>
      </c>
      <c r="M142" s="11" t="s">
        <v>41</v>
      </c>
    </row>
    <row r="143" customFormat="false" ht="15" hidden="false" customHeight="false" outlineLevel="0" collapsed="false">
      <c r="A143" s="20" t="str">
        <f aca="false">"MR-"&amp;'State Bays'!A75&amp;"-L1"</f>
        <v>MR-BAY-RT-REC-1-L1</v>
      </c>
      <c r="B143" s="20" t="str">
        <f aca="false">'State Bays'!A75</f>
        <v>BAY-RT-REC-1</v>
      </c>
      <c r="C143" s="20" t="str">
        <f aca="false">'State Bays'!B75</f>
        <v>ST-RT-REC</v>
      </c>
      <c r="D143" s="20" t="str">
        <f aca="false">'State Bays'!C75</f>
        <v>MS-RT</v>
      </c>
      <c r="E143" s="20" t="str">
        <f aca="false">'State Bays'!D75</f>
        <v>RT-B</v>
      </c>
      <c r="F143" s="20" t="str">
        <f aca="false">'State Bays'!E75</f>
        <v>RECONSTRUCTION</v>
      </c>
      <c r="G143" s="20" t="str">
        <f aca="false">'State Bays'!F75</f>
        <v>RT-RS1</v>
      </c>
      <c r="H143" s="20" t="str">
        <f aca="false">'State Bays'!H75</f>
        <v>RECOVERY AND BURDEN</v>
      </c>
      <c r="I143" s="9" t="s">
        <v>404</v>
      </c>
      <c r="J143" s="11" t="s">
        <v>73</v>
      </c>
      <c r="K143" s="11" t="s">
        <v>73</v>
      </c>
      <c r="L143" s="11" t="n">
        <v>0</v>
      </c>
      <c r="M143" s="11" t="s">
        <v>41</v>
      </c>
    </row>
    <row r="144" customFormat="false" ht="15" hidden="false" customHeight="false" outlineLevel="0" collapsed="false">
      <c r="A144" s="20" t="str">
        <f aca="false">"MR-"&amp;'State Bays'!A75&amp;"-L2"</f>
        <v>MR-BAY-RT-REC-1-L2</v>
      </c>
      <c r="B144" s="20" t="str">
        <f aca="false">'State Bays'!A75</f>
        <v>BAY-RT-REC-1</v>
      </c>
      <c r="C144" s="20" t="str">
        <f aca="false">'State Bays'!B75</f>
        <v>ST-RT-REC</v>
      </c>
      <c r="D144" s="20" t="str">
        <f aca="false">'State Bays'!C75</f>
        <v>MS-RT</v>
      </c>
      <c r="E144" s="20" t="str">
        <f aca="false">'State Bays'!D75</f>
        <v>RT-B</v>
      </c>
      <c r="F144" s="20" t="str">
        <f aca="false">'State Bays'!E75</f>
        <v>RECONSTRUCTION</v>
      </c>
      <c r="G144" s="20" t="str">
        <f aca="false">'State Bays'!F75</f>
        <v>RT-RS1</v>
      </c>
      <c r="H144" s="20" t="str">
        <f aca="false">'State Bays'!H75</f>
        <v>RECOVERY AND BURDEN</v>
      </c>
      <c r="I144" s="9" t="s">
        <v>405</v>
      </c>
      <c r="J144" s="11" t="s">
        <v>73</v>
      </c>
      <c r="K144" s="11" t="s">
        <v>73</v>
      </c>
      <c r="L144" s="11" t="n">
        <v>0</v>
      </c>
      <c r="M144" s="11" t="s">
        <v>41</v>
      </c>
    </row>
    <row r="145" customFormat="false" ht="15" hidden="false" customHeight="false" outlineLevel="0" collapsed="false">
      <c r="A145" s="20" t="str">
        <f aca="false">"MR-"&amp;'State Bays'!A76&amp;"-L1"</f>
        <v>MR-BAY-RT-REC-2-L1</v>
      </c>
      <c r="B145" s="20" t="str">
        <f aca="false">'State Bays'!A76</f>
        <v>BAY-RT-REC-2</v>
      </c>
      <c r="C145" s="20" t="str">
        <f aca="false">'State Bays'!B76</f>
        <v>ST-RT-REC</v>
      </c>
      <c r="D145" s="20" t="str">
        <f aca="false">'State Bays'!C76</f>
        <v>MS-RT</v>
      </c>
      <c r="E145" s="20" t="str">
        <f aca="false">'State Bays'!D76</f>
        <v>RT-B</v>
      </c>
      <c r="F145" s="20" t="str">
        <f aca="false">'State Bays'!E76</f>
        <v>RECONSTRUCTION</v>
      </c>
      <c r="G145" s="20" t="str">
        <f aca="false">'State Bays'!F76</f>
        <v>RT-RS2</v>
      </c>
      <c r="H145" s="20" t="str">
        <f aca="false">'State Bays'!H76</f>
        <v>RECOVERY AND BURDEN</v>
      </c>
      <c r="I145" s="9" t="s">
        <v>404</v>
      </c>
      <c r="J145" s="11" t="s">
        <v>73</v>
      </c>
      <c r="K145" s="11" t="s">
        <v>73</v>
      </c>
      <c r="L145" s="11" t="n">
        <v>0</v>
      </c>
      <c r="M145" s="11" t="s">
        <v>41</v>
      </c>
    </row>
    <row r="146" customFormat="false" ht="15" hidden="false" customHeight="false" outlineLevel="0" collapsed="false">
      <c r="A146" s="20" t="str">
        <f aca="false">"MR-"&amp;'State Bays'!A76&amp;"-L2"</f>
        <v>MR-BAY-RT-REC-2-L2</v>
      </c>
      <c r="B146" s="20" t="str">
        <f aca="false">'State Bays'!A76</f>
        <v>BAY-RT-REC-2</v>
      </c>
      <c r="C146" s="20" t="str">
        <f aca="false">'State Bays'!B76</f>
        <v>ST-RT-REC</v>
      </c>
      <c r="D146" s="20" t="str">
        <f aca="false">'State Bays'!C76</f>
        <v>MS-RT</v>
      </c>
      <c r="E146" s="20" t="str">
        <f aca="false">'State Bays'!D76</f>
        <v>RT-B</v>
      </c>
      <c r="F146" s="20" t="str">
        <f aca="false">'State Bays'!E76</f>
        <v>RECONSTRUCTION</v>
      </c>
      <c r="G146" s="20" t="str">
        <f aca="false">'State Bays'!F76</f>
        <v>RT-RS2</v>
      </c>
      <c r="H146" s="20" t="str">
        <f aca="false">'State Bays'!H76</f>
        <v>RECOVERY AND BURDEN</v>
      </c>
      <c r="I146" s="9" t="s">
        <v>405</v>
      </c>
      <c r="J146" s="11" t="s">
        <v>73</v>
      </c>
      <c r="K146" s="11" t="s">
        <v>73</v>
      </c>
      <c r="L146" s="11" t="n">
        <v>0</v>
      </c>
      <c r="M146" s="11" t="s">
        <v>41</v>
      </c>
    </row>
    <row r="147" customFormat="false" ht="15" hidden="false" customHeight="false" outlineLevel="0" collapsed="false">
      <c r="A147" s="20" t="str">
        <f aca="false">"MR-"&amp;'State Bays'!A77&amp;"-L1"</f>
        <v>MR-BAY-RT-REC-3-L1</v>
      </c>
      <c r="B147" s="20" t="str">
        <f aca="false">'State Bays'!A77</f>
        <v>BAY-RT-REC-3</v>
      </c>
      <c r="C147" s="20" t="str">
        <f aca="false">'State Bays'!B77</f>
        <v>ST-RT-REC</v>
      </c>
      <c r="D147" s="20" t="str">
        <f aca="false">'State Bays'!C77</f>
        <v>MS-RT</v>
      </c>
      <c r="E147" s="20" t="str">
        <f aca="false">'State Bays'!D77</f>
        <v>RT-B</v>
      </c>
      <c r="F147" s="20" t="str">
        <f aca="false">'State Bays'!E77</f>
        <v>RECONSTRUCTION</v>
      </c>
      <c r="G147" s="20" t="str">
        <f aca="false">'State Bays'!F77</f>
        <v>RT-RS3</v>
      </c>
      <c r="H147" s="20" t="str">
        <f aca="false">'State Bays'!H77</f>
        <v>RECOVERY AND BURDEN</v>
      </c>
      <c r="I147" s="9" t="s">
        <v>404</v>
      </c>
      <c r="J147" s="11" t="s">
        <v>73</v>
      </c>
      <c r="K147" s="11" t="s">
        <v>73</v>
      </c>
      <c r="L147" s="11" t="n">
        <v>0</v>
      </c>
      <c r="M147" s="11" t="s">
        <v>41</v>
      </c>
    </row>
    <row r="148" customFormat="false" ht="15" hidden="false" customHeight="false" outlineLevel="0" collapsed="false">
      <c r="A148" s="20" t="str">
        <f aca="false">"MR-"&amp;'State Bays'!A77&amp;"-L2"</f>
        <v>MR-BAY-RT-REC-3-L2</v>
      </c>
      <c r="B148" s="20" t="str">
        <f aca="false">'State Bays'!A77</f>
        <v>BAY-RT-REC-3</v>
      </c>
      <c r="C148" s="20" t="str">
        <f aca="false">'State Bays'!B77</f>
        <v>ST-RT-REC</v>
      </c>
      <c r="D148" s="20" t="str">
        <f aca="false">'State Bays'!C77</f>
        <v>MS-RT</v>
      </c>
      <c r="E148" s="20" t="str">
        <f aca="false">'State Bays'!D77</f>
        <v>RT-B</v>
      </c>
      <c r="F148" s="20" t="str">
        <f aca="false">'State Bays'!E77</f>
        <v>RECONSTRUCTION</v>
      </c>
      <c r="G148" s="20" t="str">
        <f aca="false">'State Bays'!F77</f>
        <v>RT-RS3</v>
      </c>
      <c r="H148" s="20" t="str">
        <f aca="false">'State Bays'!H77</f>
        <v>RECOVERY AND BURDEN</v>
      </c>
      <c r="I148" s="9" t="s">
        <v>405</v>
      </c>
      <c r="J148" s="11" t="s">
        <v>73</v>
      </c>
      <c r="K148" s="11" t="s">
        <v>73</v>
      </c>
      <c r="L148" s="11" t="n">
        <v>0</v>
      </c>
      <c r="M148" s="11" t="s">
        <v>41</v>
      </c>
    </row>
    <row r="149" customFormat="false" ht="15" hidden="false" customHeight="false" outlineLevel="0" collapsed="false">
      <c r="A149" s="20" t="str">
        <f aca="false">"MR-"&amp;'State Bays'!A78&amp;"-L1"</f>
        <v>MR-BAY-RT-REC-4-L1</v>
      </c>
      <c r="B149" s="20" t="str">
        <f aca="false">'State Bays'!A78</f>
        <v>BAY-RT-REC-4</v>
      </c>
      <c r="C149" s="20" t="str">
        <f aca="false">'State Bays'!B78</f>
        <v>ST-RT-REC</v>
      </c>
      <c r="D149" s="20" t="str">
        <f aca="false">'State Bays'!C78</f>
        <v>MS-RT</v>
      </c>
      <c r="E149" s="20" t="str">
        <f aca="false">'State Bays'!D78</f>
        <v>RT-B</v>
      </c>
      <c r="F149" s="20" t="str">
        <f aca="false">'State Bays'!E78</f>
        <v>RECONSTRUCTION</v>
      </c>
      <c r="G149" s="20" t="str">
        <f aca="false">'State Bays'!F78</f>
        <v>RT-RS4</v>
      </c>
      <c r="H149" s="20" t="str">
        <f aca="false">'State Bays'!H78</f>
        <v>RECOVERY AND BURDEN</v>
      </c>
      <c r="I149" s="9" t="s">
        <v>404</v>
      </c>
      <c r="J149" s="11" t="s">
        <v>73</v>
      </c>
      <c r="K149" s="11" t="s">
        <v>73</v>
      </c>
      <c r="L149" s="11" t="n">
        <v>0</v>
      </c>
      <c r="M149" s="11" t="s">
        <v>41</v>
      </c>
    </row>
    <row r="150" customFormat="false" ht="15" hidden="false" customHeight="false" outlineLevel="0" collapsed="false">
      <c r="A150" s="23" t="str">
        <f aca="false">"MR-"&amp;'State Bays'!A78&amp;"-L2"</f>
        <v>MR-BAY-RT-REC-4-L2</v>
      </c>
      <c r="B150" s="23" t="str">
        <f aca="false">'State Bays'!A78</f>
        <v>BAY-RT-REC-4</v>
      </c>
      <c r="C150" s="23" t="str">
        <f aca="false">'State Bays'!B78</f>
        <v>ST-RT-REC</v>
      </c>
      <c r="D150" s="23" t="str">
        <f aca="false">'State Bays'!C78</f>
        <v>MS-RT</v>
      </c>
      <c r="E150" s="23" t="str">
        <f aca="false">'State Bays'!D78</f>
        <v>RT-B</v>
      </c>
      <c r="F150" s="23" t="str">
        <f aca="false">'State Bays'!E78</f>
        <v>RECONSTRUCTION</v>
      </c>
      <c r="G150" s="23" t="str">
        <f aca="false">'State Bays'!F78</f>
        <v>RT-RS4</v>
      </c>
      <c r="H150" s="23" t="str">
        <f aca="false">'State Bays'!H78</f>
        <v>RECOVERY AND BURDEN</v>
      </c>
      <c r="I150" s="12" t="s">
        <v>405</v>
      </c>
      <c r="J150" s="14" t="s">
        <v>73</v>
      </c>
      <c r="K150" s="14" t="s">
        <v>73</v>
      </c>
      <c r="L150" s="14" t="n">
        <v>0</v>
      </c>
      <c r="M150" s="14" t="s">
        <v>41</v>
      </c>
    </row>
  </sheetData>
  <mergeCells count="2">
    <mergeCell ref="A2:M2"/>
    <mergeCell ref="A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9"/>
    <col collapsed="false" customWidth="true" hidden="false" outlineLevel="0" max="6" min="6" style="0" width="16"/>
    <col collapsed="false" customWidth="true" hidden="false" outlineLevel="0" max="7" min="7" style="0" width="60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23"/>
    <col collapsed="false" customWidth="true" hidden="false" outlineLevel="0" max="11" min="11" style="0" width="14"/>
  </cols>
  <sheetData>
    <row r="2" customFormat="false" ht="24" hidden="false" customHeight="true" outlineLevel="0" collapsed="false">
      <c r="A2" s="1" t="s">
        <v>406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3" t="s">
        <v>407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23" hidden="false" customHeight="true" outlineLevel="0" collapsed="false">
      <c r="A6" s="5" t="s">
        <v>408</v>
      </c>
      <c r="B6" s="6" t="s">
        <v>216</v>
      </c>
      <c r="C6" s="6" t="s">
        <v>217</v>
      </c>
      <c r="D6" s="6" t="s">
        <v>218</v>
      </c>
      <c r="E6" s="6" t="s">
        <v>219</v>
      </c>
      <c r="F6" s="6" t="s">
        <v>409</v>
      </c>
      <c r="G6" s="6" t="s">
        <v>221</v>
      </c>
      <c r="H6" s="6" t="s">
        <v>410</v>
      </c>
      <c r="I6" s="6" t="s">
        <v>411</v>
      </c>
      <c r="J6" s="6" t="s">
        <v>412</v>
      </c>
      <c r="K6" s="7" t="s">
        <v>5</v>
      </c>
    </row>
    <row r="7" customFormat="false" ht="15" hidden="false" customHeight="false" outlineLevel="0" collapsed="false">
      <c r="A7" s="8" t="s">
        <v>413</v>
      </c>
      <c r="B7" s="8" t="s">
        <v>229</v>
      </c>
      <c r="C7" s="8" t="s">
        <v>230</v>
      </c>
      <c r="D7" s="8" t="s">
        <v>231</v>
      </c>
      <c r="E7" s="8" t="s">
        <v>232</v>
      </c>
      <c r="F7" s="8" t="s">
        <v>414</v>
      </c>
      <c r="G7" s="8" t="s">
        <v>415</v>
      </c>
      <c r="H7" s="8" t="n">
        <v>8</v>
      </c>
      <c r="I7" s="8" t="s">
        <v>416</v>
      </c>
      <c r="J7" s="30" t="s">
        <v>73</v>
      </c>
      <c r="K7" s="30" t="s">
        <v>41</v>
      </c>
    </row>
    <row r="8" customFormat="false" ht="15" hidden="false" customHeight="false" outlineLevel="0" collapsed="false">
      <c r="A8" s="9" t="s">
        <v>417</v>
      </c>
      <c r="B8" s="9" t="s">
        <v>229</v>
      </c>
      <c r="C8" s="9" t="s">
        <v>230</v>
      </c>
      <c r="D8" s="9" t="s">
        <v>231</v>
      </c>
      <c r="E8" s="9" t="s">
        <v>232</v>
      </c>
      <c r="F8" s="9" t="s">
        <v>418</v>
      </c>
      <c r="G8" s="9" t="s">
        <v>419</v>
      </c>
      <c r="H8" s="9" t="n">
        <v>8</v>
      </c>
      <c r="I8" s="9" t="s">
        <v>416</v>
      </c>
      <c r="J8" s="11" t="s">
        <v>73</v>
      </c>
      <c r="K8" s="11" t="s">
        <v>41</v>
      </c>
    </row>
    <row r="9" customFormat="false" ht="15" hidden="false" customHeight="false" outlineLevel="0" collapsed="false">
      <c r="A9" s="9" t="s">
        <v>420</v>
      </c>
      <c r="B9" s="9" t="s">
        <v>229</v>
      </c>
      <c r="C9" s="9" t="s">
        <v>230</v>
      </c>
      <c r="D9" s="9" t="s">
        <v>231</v>
      </c>
      <c r="E9" s="9" t="s">
        <v>232</v>
      </c>
      <c r="F9" s="9" t="s">
        <v>421</v>
      </c>
      <c r="G9" s="9" t="s">
        <v>422</v>
      </c>
      <c r="H9" s="9" t="n">
        <v>8</v>
      </c>
      <c r="I9" s="9" t="s">
        <v>416</v>
      </c>
      <c r="J9" s="11" t="s">
        <v>73</v>
      </c>
      <c r="K9" s="11" t="s">
        <v>41</v>
      </c>
    </row>
    <row r="10" customFormat="false" ht="15" hidden="false" customHeight="false" outlineLevel="0" collapsed="false">
      <c r="A10" s="9" t="s">
        <v>423</v>
      </c>
      <c r="B10" s="9" t="s">
        <v>229</v>
      </c>
      <c r="C10" s="9" t="s">
        <v>230</v>
      </c>
      <c r="D10" s="9" t="s">
        <v>231</v>
      </c>
      <c r="E10" s="9" t="s">
        <v>232</v>
      </c>
      <c r="F10" s="9" t="s">
        <v>424</v>
      </c>
      <c r="G10" s="9" t="s">
        <v>425</v>
      </c>
      <c r="H10" s="9" t="n">
        <v>8</v>
      </c>
      <c r="I10" s="9" t="s">
        <v>416</v>
      </c>
      <c r="J10" s="11" t="s">
        <v>73</v>
      </c>
      <c r="K10" s="11" t="s">
        <v>41</v>
      </c>
    </row>
    <row r="11" customFormat="false" ht="15" hidden="false" customHeight="false" outlineLevel="0" collapsed="false">
      <c r="A11" s="9" t="s">
        <v>426</v>
      </c>
      <c r="B11" s="9" t="s">
        <v>236</v>
      </c>
      <c r="C11" s="9" t="s">
        <v>230</v>
      </c>
      <c r="D11" s="9" t="s">
        <v>231</v>
      </c>
      <c r="E11" s="9" t="s">
        <v>237</v>
      </c>
      <c r="F11" s="9" t="s">
        <v>414</v>
      </c>
      <c r="G11" s="9" t="s">
        <v>415</v>
      </c>
      <c r="H11" s="9" t="n">
        <v>8</v>
      </c>
      <c r="I11" s="9" t="s">
        <v>416</v>
      </c>
      <c r="J11" s="11" t="s">
        <v>73</v>
      </c>
      <c r="K11" s="11" t="s">
        <v>41</v>
      </c>
    </row>
    <row r="12" customFormat="false" ht="15" hidden="false" customHeight="false" outlineLevel="0" collapsed="false">
      <c r="A12" s="9" t="s">
        <v>427</v>
      </c>
      <c r="B12" s="9" t="s">
        <v>236</v>
      </c>
      <c r="C12" s="9" t="s">
        <v>230</v>
      </c>
      <c r="D12" s="9" t="s">
        <v>231</v>
      </c>
      <c r="E12" s="9" t="s">
        <v>237</v>
      </c>
      <c r="F12" s="9" t="s">
        <v>418</v>
      </c>
      <c r="G12" s="9" t="s">
        <v>419</v>
      </c>
      <c r="H12" s="9" t="n">
        <v>8</v>
      </c>
      <c r="I12" s="9" t="s">
        <v>416</v>
      </c>
      <c r="J12" s="11" t="s">
        <v>73</v>
      </c>
      <c r="K12" s="11" t="s">
        <v>41</v>
      </c>
    </row>
    <row r="13" customFormat="false" ht="15" hidden="false" customHeight="false" outlineLevel="0" collapsed="false">
      <c r="A13" s="9" t="s">
        <v>428</v>
      </c>
      <c r="B13" s="9" t="s">
        <v>236</v>
      </c>
      <c r="C13" s="9" t="s">
        <v>230</v>
      </c>
      <c r="D13" s="9" t="s">
        <v>231</v>
      </c>
      <c r="E13" s="9" t="s">
        <v>237</v>
      </c>
      <c r="F13" s="9" t="s">
        <v>421</v>
      </c>
      <c r="G13" s="9" t="s">
        <v>422</v>
      </c>
      <c r="H13" s="9" t="n">
        <v>8</v>
      </c>
      <c r="I13" s="9" t="s">
        <v>416</v>
      </c>
      <c r="J13" s="11" t="s">
        <v>73</v>
      </c>
      <c r="K13" s="11" t="s">
        <v>41</v>
      </c>
    </row>
    <row r="14" customFormat="false" ht="15" hidden="false" customHeight="false" outlineLevel="0" collapsed="false">
      <c r="A14" s="9" t="s">
        <v>429</v>
      </c>
      <c r="B14" s="9" t="s">
        <v>236</v>
      </c>
      <c r="C14" s="9" t="s">
        <v>230</v>
      </c>
      <c r="D14" s="9" t="s">
        <v>231</v>
      </c>
      <c r="E14" s="9" t="s">
        <v>237</v>
      </c>
      <c r="F14" s="9" t="s">
        <v>424</v>
      </c>
      <c r="G14" s="9" t="s">
        <v>425</v>
      </c>
      <c r="H14" s="9" t="n">
        <v>8</v>
      </c>
      <c r="I14" s="9" t="s">
        <v>416</v>
      </c>
      <c r="J14" s="11" t="s">
        <v>73</v>
      </c>
      <c r="K14" s="11" t="s">
        <v>41</v>
      </c>
    </row>
    <row r="15" customFormat="false" ht="15" hidden="false" customHeight="false" outlineLevel="0" collapsed="false">
      <c r="A15" s="9" t="s">
        <v>430</v>
      </c>
      <c r="B15" s="9" t="s">
        <v>240</v>
      </c>
      <c r="C15" s="9" t="s">
        <v>230</v>
      </c>
      <c r="D15" s="9" t="s">
        <v>231</v>
      </c>
      <c r="E15" s="9" t="s">
        <v>241</v>
      </c>
      <c r="F15" s="9" t="s">
        <v>414</v>
      </c>
      <c r="G15" s="9" t="s">
        <v>415</v>
      </c>
      <c r="H15" s="9" t="n">
        <v>8</v>
      </c>
      <c r="I15" s="9" t="s">
        <v>416</v>
      </c>
      <c r="J15" s="11" t="s">
        <v>73</v>
      </c>
      <c r="K15" s="11" t="s">
        <v>41</v>
      </c>
    </row>
    <row r="16" customFormat="false" ht="15" hidden="false" customHeight="false" outlineLevel="0" collapsed="false">
      <c r="A16" s="9" t="s">
        <v>431</v>
      </c>
      <c r="B16" s="9" t="s">
        <v>240</v>
      </c>
      <c r="C16" s="9" t="s">
        <v>230</v>
      </c>
      <c r="D16" s="9" t="s">
        <v>231</v>
      </c>
      <c r="E16" s="9" t="s">
        <v>241</v>
      </c>
      <c r="F16" s="9" t="s">
        <v>418</v>
      </c>
      <c r="G16" s="9" t="s">
        <v>419</v>
      </c>
      <c r="H16" s="9" t="n">
        <v>8</v>
      </c>
      <c r="I16" s="9" t="s">
        <v>416</v>
      </c>
      <c r="J16" s="11" t="s">
        <v>73</v>
      </c>
      <c r="K16" s="11" t="s">
        <v>41</v>
      </c>
    </row>
    <row r="17" customFormat="false" ht="15" hidden="false" customHeight="false" outlineLevel="0" collapsed="false">
      <c r="A17" s="9" t="s">
        <v>432</v>
      </c>
      <c r="B17" s="9" t="s">
        <v>240</v>
      </c>
      <c r="C17" s="9" t="s">
        <v>230</v>
      </c>
      <c r="D17" s="9" t="s">
        <v>231</v>
      </c>
      <c r="E17" s="9" t="s">
        <v>241</v>
      </c>
      <c r="F17" s="9" t="s">
        <v>421</v>
      </c>
      <c r="G17" s="9" t="s">
        <v>422</v>
      </c>
      <c r="H17" s="9" t="n">
        <v>8</v>
      </c>
      <c r="I17" s="9" t="s">
        <v>416</v>
      </c>
      <c r="J17" s="11" t="s">
        <v>73</v>
      </c>
      <c r="K17" s="11" t="s">
        <v>41</v>
      </c>
    </row>
    <row r="18" customFormat="false" ht="15" hidden="false" customHeight="false" outlineLevel="0" collapsed="false">
      <c r="A18" s="9" t="s">
        <v>433</v>
      </c>
      <c r="B18" s="9" t="s">
        <v>240</v>
      </c>
      <c r="C18" s="9" t="s">
        <v>230</v>
      </c>
      <c r="D18" s="9" t="s">
        <v>231</v>
      </c>
      <c r="E18" s="9" t="s">
        <v>241</v>
      </c>
      <c r="F18" s="9" t="s">
        <v>424</v>
      </c>
      <c r="G18" s="9" t="s">
        <v>425</v>
      </c>
      <c r="H18" s="9" t="n">
        <v>8</v>
      </c>
      <c r="I18" s="9" t="s">
        <v>416</v>
      </c>
      <c r="J18" s="11" t="s">
        <v>73</v>
      </c>
      <c r="K18" s="11" t="s">
        <v>41</v>
      </c>
    </row>
    <row r="19" customFormat="false" ht="15" hidden="false" customHeight="false" outlineLevel="0" collapsed="false">
      <c r="A19" s="9" t="s">
        <v>434</v>
      </c>
      <c r="B19" s="9" t="s">
        <v>244</v>
      </c>
      <c r="C19" s="9" t="s">
        <v>245</v>
      </c>
      <c r="D19" s="9" t="s">
        <v>246</v>
      </c>
      <c r="E19" s="9" t="s">
        <v>232</v>
      </c>
      <c r="F19" s="9" t="s">
        <v>414</v>
      </c>
      <c r="G19" s="9" t="s">
        <v>415</v>
      </c>
      <c r="H19" s="9" t="n">
        <v>8</v>
      </c>
      <c r="I19" s="9" t="s">
        <v>416</v>
      </c>
      <c r="J19" s="11" t="s">
        <v>73</v>
      </c>
      <c r="K19" s="11" t="s">
        <v>41</v>
      </c>
    </row>
    <row r="20" customFormat="false" ht="15" hidden="false" customHeight="false" outlineLevel="0" collapsed="false">
      <c r="A20" s="9" t="s">
        <v>435</v>
      </c>
      <c r="B20" s="9" t="s">
        <v>244</v>
      </c>
      <c r="C20" s="9" t="s">
        <v>245</v>
      </c>
      <c r="D20" s="9" t="s">
        <v>246</v>
      </c>
      <c r="E20" s="9" t="s">
        <v>232</v>
      </c>
      <c r="F20" s="9" t="s">
        <v>418</v>
      </c>
      <c r="G20" s="9" t="s">
        <v>419</v>
      </c>
      <c r="H20" s="9" t="n">
        <v>8</v>
      </c>
      <c r="I20" s="9" t="s">
        <v>416</v>
      </c>
      <c r="J20" s="11" t="s">
        <v>73</v>
      </c>
      <c r="K20" s="11" t="s">
        <v>41</v>
      </c>
    </row>
    <row r="21" customFormat="false" ht="15" hidden="false" customHeight="false" outlineLevel="0" collapsed="false">
      <c r="A21" s="9" t="s">
        <v>436</v>
      </c>
      <c r="B21" s="9" t="s">
        <v>244</v>
      </c>
      <c r="C21" s="9" t="s">
        <v>245</v>
      </c>
      <c r="D21" s="9" t="s">
        <v>246</v>
      </c>
      <c r="E21" s="9" t="s">
        <v>232</v>
      </c>
      <c r="F21" s="9" t="s">
        <v>421</v>
      </c>
      <c r="G21" s="9" t="s">
        <v>422</v>
      </c>
      <c r="H21" s="9" t="n">
        <v>8</v>
      </c>
      <c r="I21" s="9" t="s">
        <v>416</v>
      </c>
      <c r="J21" s="11" t="s">
        <v>73</v>
      </c>
      <c r="K21" s="11" t="s">
        <v>41</v>
      </c>
    </row>
    <row r="22" customFormat="false" ht="15" hidden="false" customHeight="false" outlineLevel="0" collapsed="false">
      <c r="A22" s="9" t="s">
        <v>437</v>
      </c>
      <c r="B22" s="9" t="s">
        <v>244</v>
      </c>
      <c r="C22" s="9" t="s">
        <v>245</v>
      </c>
      <c r="D22" s="9" t="s">
        <v>246</v>
      </c>
      <c r="E22" s="9" t="s">
        <v>232</v>
      </c>
      <c r="F22" s="9" t="s">
        <v>424</v>
      </c>
      <c r="G22" s="9" t="s">
        <v>425</v>
      </c>
      <c r="H22" s="9" t="n">
        <v>8</v>
      </c>
      <c r="I22" s="9" t="s">
        <v>416</v>
      </c>
      <c r="J22" s="11" t="s">
        <v>73</v>
      </c>
      <c r="K22" s="11" t="s">
        <v>41</v>
      </c>
    </row>
    <row r="23" customFormat="false" ht="15" hidden="false" customHeight="false" outlineLevel="0" collapsed="false">
      <c r="A23" s="9" t="s">
        <v>438</v>
      </c>
      <c r="B23" s="9" t="s">
        <v>247</v>
      </c>
      <c r="C23" s="9" t="s">
        <v>245</v>
      </c>
      <c r="D23" s="9" t="s">
        <v>246</v>
      </c>
      <c r="E23" s="9" t="s">
        <v>237</v>
      </c>
      <c r="F23" s="9" t="s">
        <v>414</v>
      </c>
      <c r="G23" s="9" t="s">
        <v>415</v>
      </c>
      <c r="H23" s="9" t="n">
        <v>8</v>
      </c>
      <c r="I23" s="9" t="s">
        <v>416</v>
      </c>
      <c r="J23" s="11" t="s">
        <v>73</v>
      </c>
      <c r="K23" s="11" t="s">
        <v>41</v>
      </c>
    </row>
    <row r="24" customFormat="false" ht="15" hidden="false" customHeight="false" outlineLevel="0" collapsed="false">
      <c r="A24" s="9" t="s">
        <v>439</v>
      </c>
      <c r="B24" s="9" t="s">
        <v>247</v>
      </c>
      <c r="C24" s="9" t="s">
        <v>245</v>
      </c>
      <c r="D24" s="9" t="s">
        <v>246</v>
      </c>
      <c r="E24" s="9" t="s">
        <v>237</v>
      </c>
      <c r="F24" s="9" t="s">
        <v>418</v>
      </c>
      <c r="G24" s="9" t="s">
        <v>419</v>
      </c>
      <c r="H24" s="9" t="n">
        <v>8</v>
      </c>
      <c r="I24" s="9" t="s">
        <v>416</v>
      </c>
      <c r="J24" s="11" t="s">
        <v>73</v>
      </c>
      <c r="K24" s="11" t="s">
        <v>41</v>
      </c>
    </row>
    <row r="25" customFormat="false" ht="15" hidden="false" customHeight="false" outlineLevel="0" collapsed="false">
      <c r="A25" s="9" t="s">
        <v>440</v>
      </c>
      <c r="B25" s="9" t="s">
        <v>247</v>
      </c>
      <c r="C25" s="9" t="s">
        <v>245</v>
      </c>
      <c r="D25" s="9" t="s">
        <v>246</v>
      </c>
      <c r="E25" s="9" t="s">
        <v>237</v>
      </c>
      <c r="F25" s="9" t="s">
        <v>421</v>
      </c>
      <c r="G25" s="9" t="s">
        <v>422</v>
      </c>
      <c r="H25" s="9" t="n">
        <v>8</v>
      </c>
      <c r="I25" s="9" t="s">
        <v>416</v>
      </c>
      <c r="J25" s="11" t="s">
        <v>73</v>
      </c>
      <c r="K25" s="11" t="s">
        <v>41</v>
      </c>
    </row>
    <row r="26" customFormat="false" ht="15" hidden="false" customHeight="false" outlineLevel="0" collapsed="false">
      <c r="A26" s="9" t="s">
        <v>441</v>
      </c>
      <c r="B26" s="9" t="s">
        <v>247</v>
      </c>
      <c r="C26" s="9" t="s">
        <v>245</v>
      </c>
      <c r="D26" s="9" t="s">
        <v>246</v>
      </c>
      <c r="E26" s="9" t="s">
        <v>237</v>
      </c>
      <c r="F26" s="9" t="s">
        <v>424</v>
      </c>
      <c r="G26" s="9" t="s">
        <v>425</v>
      </c>
      <c r="H26" s="9" t="n">
        <v>8</v>
      </c>
      <c r="I26" s="9" t="s">
        <v>416</v>
      </c>
      <c r="J26" s="11" t="s">
        <v>73</v>
      </c>
      <c r="K26" s="11" t="s">
        <v>41</v>
      </c>
    </row>
    <row r="27" customFormat="false" ht="15" hidden="false" customHeight="false" outlineLevel="0" collapsed="false">
      <c r="A27" s="9" t="s">
        <v>442</v>
      </c>
      <c r="B27" s="9" t="s">
        <v>248</v>
      </c>
      <c r="C27" s="9" t="s">
        <v>245</v>
      </c>
      <c r="D27" s="9" t="s">
        <v>246</v>
      </c>
      <c r="E27" s="9" t="s">
        <v>241</v>
      </c>
      <c r="F27" s="9" t="s">
        <v>414</v>
      </c>
      <c r="G27" s="9" t="s">
        <v>415</v>
      </c>
      <c r="H27" s="9" t="n">
        <v>8</v>
      </c>
      <c r="I27" s="9" t="s">
        <v>416</v>
      </c>
      <c r="J27" s="11" t="s">
        <v>73</v>
      </c>
      <c r="K27" s="11" t="s">
        <v>41</v>
      </c>
    </row>
    <row r="28" customFormat="false" ht="15" hidden="false" customHeight="false" outlineLevel="0" collapsed="false">
      <c r="A28" s="9" t="s">
        <v>443</v>
      </c>
      <c r="B28" s="9" t="s">
        <v>248</v>
      </c>
      <c r="C28" s="9" t="s">
        <v>245</v>
      </c>
      <c r="D28" s="9" t="s">
        <v>246</v>
      </c>
      <c r="E28" s="9" t="s">
        <v>241</v>
      </c>
      <c r="F28" s="9" t="s">
        <v>418</v>
      </c>
      <c r="G28" s="9" t="s">
        <v>419</v>
      </c>
      <c r="H28" s="9" t="n">
        <v>8</v>
      </c>
      <c r="I28" s="9" t="s">
        <v>416</v>
      </c>
      <c r="J28" s="11" t="s">
        <v>73</v>
      </c>
      <c r="K28" s="11" t="s">
        <v>41</v>
      </c>
    </row>
    <row r="29" customFormat="false" ht="15" hidden="false" customHeight="false" outlineLevel="0" collapsed="false">
      <c r="A29" s="9" t="s">
        <v>444</v>
      </c>
      <c r="B29" s="9" t="s">
        <v>248</v>
      </c>
      <c r="C29" s="9" t="s">
        <v>245</v>
      </c>
      <c r="D29" s="9" t="s">
        <v>246</v>
      </c>
      <c r="E29" s="9" t="s">
        <v>241</v>
      </c>
      <c r="F29" s="9" t="s">
        <v>421</v>
      </c>
      <c r="G29" s="9" t="s">
        <v>422</v>
      </c>
      <c r="H29" s="9" t="n">
        <v>8</v>
      </c>
      <c r="I29" s="9" t="s">
        <v>416</v>
      </c>
      <c r="J29" s="11" t="s">
        <v>73</v>
      </c>
      <c r="K29" s="11" t="s">
        <v>41</v>
      </c>
    </row>
    <row r="30" customFormat="false" ht="15" hidden="false" customHeight="false" outlineLevel="0" collapsed="false">
      <c r="A30" s="9" t="s">
        <v>445</v>
      </c>
      <c r="B30" s="9" t="s">
        <v>248</v>
      </c>
      <c r="C30" s="9" t="s">
        <v>245</v>
      </c>
      <c r="D30" s="9" t="s">
        <v>246</v>
      </c>
      <c r="E30" s="9" t="s">
        <v>241</v>
      </c>
      <c r="F30" s="9" t="s">
        <v>424</v>
      </c>
      <c r="G30" s="9" t="s">
        <v>425</v>
      </c>
      <c r="H30" s="9" t="n">
        <v>8</v>
      </c>
      <c r="I30" s="9" t="s">
        <v>416</v>
      </c>
      <c r="J30" s="11" t="s">
        <v>73</v>
      </c>
      <c r="K30" s="11" t="s">
        <v>41</v>
      </c>
    </row>
    <row r="31" customFormat="false" ht="15" hidden="false" customHeight="false" outlineLevel="0" collapsed="false">
      <c r="A31" s="9" t="s">
        <v>446</v>
      </c>
      <c r="B31" s="9" t="s">
        <v>249</v>
      </c>
      <c r="C31" s="9" t="s">
        <v>250</v>
      </c>
      <c r="D31" s="9" t="s">
        <v>251</v>
      </c>
      <c r="E31" s="9" t="s">
        <v>232</v>
      </c>
      <c r="F31" s="9" t="s">
        <v>414</v>
      </c>
      <c r="G31" s="9" t="s">
        <v>415</v>
      </c>
      <c r="H31" s="9" t="n">
        <v>8</v>
      </c>
      <c r="I31" s="9" t="s">
        <v>416</v>
      </c>
      <c r="J31" s="11" t="s">
        <v>73</v>
      </c>
      <c r="K31" s="11" t="s">
        <v>41</v>
      </c>
    </row>
    <row r="32" customFormat="false" ht="15" hidden="false" customHeight="false" outlineLevel="0" collapsed="false">
      <c r="A32" s="9" t="s">
        <v>447</v>
      </c>
      <c r="B32" s="9" t="s">
        <v>249</v>
      </c>
      <c r="C32" s="9" t="s">
        <v>250</v>
      </c>
      <c r="D32" s="9" t="s">
        <v>251</v>
      </c>
      <c r="E32" s="9" t="s">
        <v>232</v>
      </c>
      <c r="F32" s="9" t="s">
        <v>418</v>
      </c>
      <c r="G32" s="9" t="s">
        <v>419</v>
      </c>
      <c r="H32" s="9" t="n">
        <v>8</v>
      </c>
      <c r="I32" s="9" t="s">
        <v>416</v>
      </c>
      <c r="J32" s="11" t="s">
        <v>73</v>
      </c>
      <c r="K32" s="11" t="s">
        <v>41</v>
      </c>
    </row>
    <row r="33" customFormat="false" ht="15" hidden="false" customHeight="false" outlineLevel="0" collapsed="false">
      <c r="A33" s="9" t="s">
        <v>448</v>
      </c>
      <c r="B33" s="9" t="s">
        <v>249</v>
      </c>
      <c r="C33" s="9" t="s">
        <v>250</v>
      </c>
      <c r="D33" s="9" t="s">
        <v>251</v>
      </c>
      <c r="E33" s="9" t="s">
        <v>232</v>
      </c>
      <c r="F33" s="9" t="s">
        <v>421</v>
      </c>
      <c r="G33" s="9" t="s">
        <v>422</v>
      </c>
      <c r="H33" s="9" t="n">
        <v>8</v>
      </c>
      <c r="I33" s="9" t="s">
        <v>416</v>
      </c>
      <c r="J33" s="11" t="s">
        <v>73</v>
      </c>
      <c r="K33" s="11" t="s">
        <v>41</v>
      </c>
    </row>
    <row r="34" customFormat="false" ht="15" hidden="false" customHeight="false" outlineLevel="0" collapsed="false">
      <c r="A34" s="9" t="s">
        <v>449</v>
      </c>
      <c r="B34" s="9" t="s">
        <v>249</v>
      </c>
      <c r="C34" s="9" t="s">
        <v>250</v>
      </c>
      <c r="D34" s="9" t="s">
        <v>251</v>
      </c>
      <c r="E34" s="9" t="s">
        <v>232</v>
      </c>
      <c r="F34" s="9" t="s">
        <v>424</v>
      </c>
      <c r="G34" s="9" t="s">
        <v>425</v>
      </c>
      <c r="H34" s="9" t="n">
        <v>8</v>
      </c>
      <c r="I34" s="9" t="s">
        <v>416</v>
      </c>
      <c r="J34" s="11" t="s">
        <v>73</v>
      </c>
      <c r="K34" s="11" t="s">
        <v>41</v>
      </c>
    </row>
    <row r="35" customFormat="false" ht="15" hidden="false" customHeight="false" outlineLevel="0" collapsed="false">
      <c r="A35" s="9" t="s">
        <v>450</v>
      </c>
      <c r="B35" s="9" t="s">
        <v>252</v>
      </c>
      <c r="C35" s="9" t="s">
        <v>250</v>
      </c>
      <c r="D35" s="9" t="s">
        <v>251</v>
      </c>
      <c r="E35" s="9" t="s">
        <v>237</v>
      </c>
      <c r="F35" s="9" t="s">
        <v>414</v>
      </c>
      <c r="G35" s="9" t="s">
        <v>415</v>
      </c>
      <c r="H35" s="9" t="n">
        <v>8</v>
      </c>
      <c r="I35" s="9" t="s">
        <v>416</v>
      </c>
      <c r="J35" s="11" t="s">
        <v>73</v>
      </c>
      <c r="K35" s="11" t="s">
        <v>41</v>
      </c>
    </row>
    <row r="36" customFormat="false" ht="15" hidden="false" customHeight="false" outlineLevel="0" collapsed="false">
      <c r="A36" s="9" t="s">
        <v>451</v>
      </c>
      <c r="B36" s="9" t="s">
        <v>252</v>
      </c>
      <c r="C36" s="9" t="s">
        <v>250</v>
      </c>
      <c r="D36" s="9" t="s">
        <v>251</v>
      </c>
      <c r="E36" s="9" t="s">
        <v>237</v>
      </c>
      <c r="F36" s="9" t="s">
        <v>418</v>
      </c>
      <c r="G36" s="9" t="s">
        <v>419</v>
      </c>
      <c r="H36" s="9" t="n">
        <v>8</v>
      </c>
      <c r="I36" s="9" t="s">
        <v>416</v>
      </c>
      <c r="J36" s="11" t="s">
        <v>73</v>
      </c>
      <c r="K36" s="11" t="s">
        <v>41</v>
      </c>
    </row>
    <row r="37" customFormat="false" ht="15" hidden="false" customHeight="false" outlineLevel="0" collapsed="false">
      <c r="A37" s="9" t="s">
        <v>452</v>
      </c>
      <c r="B37" s="9" t="s">
        <v>252</v>
      </c>
      <c r="C37" s="9" t="s">
        <v>250</v>
      </c>
      <c r="D37" s="9" t="s">
        <v>251</v>
      </c>
      <c r="E37" s="9" t="s">
        <v>237</v>
      </c>
      <c r="F37" s="9" t="s">
        <v>421</v>
      </c>
      <c r="G37" s="9" t="s">
        <v>422</v>
      </c>
      <c r="H37" s="9" t="n">
        <v>8</v>
      </c>
      <c r="I37" s="9" t="s">
        <v>416</v>
      </c>
      <c r="J37" s="11" t="s">
        <v>73</v>
      </c>
      <c r="K37" s="11" t="s">
        <v>41</v>
      </c>
    </row>
    <row r="38" customFormat="false" ht="15" hidden="false" customHeight="false" outlineLevel="0" collapsed="false">
      <c r="A38" s="9" t="s">
        <v>453</v>
      </c>
      <c r="B38" s="9" t="s">
        <v>252</v>
      </c>
      <c r="C38" s="9" t="s">
        <v>250</v>
      </c>
      <c r="D38" s="9" t="s">
        <v>251</v>
      </c>
      <c r="E38" s="9" t="s">
        <v>237</v>
      </c>
      <c r="F38" s="9" t="s">
        <v>424</v>
      </c>
      <c r="G38" s="9" t="s">
        <v>425</v>
      </c>
      <c r="H38" s="9" t="n">
        <v>8</v>
      </c>
      <c r="I38" s="9" t="s">
        <v>416</v>
      </c>
      <c r="J38" s="11" t="s">
        <v>73</v>
      </c>
      <c r="K38" s="11" t="s">
        <v>41</v>
      </c>
    </row>
    <row r="39" customFormat="false" ht="15" hidden="false" customHeight="false" outlineLevel="0" collapsed="false">
      <c r="A39" s="9" t="s">
        <v>454</v>
      </c>
      <c r="B39" s="9" t="s">
        <v>253</v>
      </c>
      <c r="C39" s="9" t="s">
        <v>250</v>
      </c>
      <c r="D39" s="9" t="s">
        <v>251</v>
      </c>
      <c r="E39" s="9" t="s">
        <v>241</v>
      </c>
      <c r="F39" s="9" t="s">
        <v>414</v>
      </c>
      <c r="G39" s="9" t="s">
        <v>415</v>
      </c>
      <c r="H39" s="9" t="n">
        <v>8</v>
      </c>
      <c r="I39" s="9" t="s">
        <v>416</v>
      </c>
      <c r="J39" s="11" t="s">
        <v>73</v>
      </c>
      <c r="K39" s="11" t="s">
        <v>41</v>
      </c>
    </row>
    <row r="40" customFormat="false" ht="15" hidden="false" customHeight="false" outlineLevel="0" collapsed="false">
      <c r="A40" s="9" t="s">
        <v>455</v>
      </c>
      <c r="B40" s="9" t="s">
        <v>253</v>
      </c>
      <c r="C40" s="9" t="s">
        <v>250</v>
      </c>
      <c r="D40" s="9" t="s">
        <v>251</v>
      </c>
      <c r="E40" s="9" t="s">
        <v>241</v>
      </c>
      <c r="F40" s="9" t="s">
        <v>418</v>
      </c>
      <c r="G40" s="9" t="s">
        <v>419</v>
      </c>
      <c r="H40" s="9" t="n">
        <v>8</v>
      </c>
      <c r="I40" s="9" t="s">
        <v>416</v>
      </c>
      <c r="J40" s="11" t="s">
        <v>73</v>
      </c>
      <c r="K40" s="11" t="s">
        <v>41</v>
      </c>
    </row>
    <row r="41" customFormat="false" ht="15" hidden="false" customHeight="false" outlineLevel="0" collapsed="false">
      <c r="A41" s="9" t="s">
        <v>456</v>
      </c>
      <c r="B41" s="9" t="s">
        <v>253</v>
      </c>
      <c r="C41" s="9" t="s">
        <v>250</v>
      </c>
      <c r="D41" s="9" t="s">
        <v>251</v>
      </c>
      <c r="E41" s="9" t="s">
        <v>241</v>
      </c>
      <c r="F41" s="9" t="s">
        <v>421</v>
      </c>
      <c r="G41" s="9" t="s">
        <v>422</v>
      </c>
      <c r="H41" s="9" t="n">
        <v>8</v>
      </c>
      <c r="I41" s="9" t="s">
        <v>416</v>
      </c>
      <c r="J41" s="11" t="s">
        <v>73</v>
      </c>
      <c r="K41" s="11" t="s">
        <v>41</v>
      </c>
    </row>
    <row r="42" customFormat="false" ht="15" hidden="false" customHeight="false" outlineLevel="0" collapsed="false">
      <c r="A42" s="9" t="s">
        <v>457</v>
      </c>
      <c r="B42" s="9" t="s">
        <v>253</v>
      </c>
      <c r="C42" s="9" t="s">
        <v>250</v>
      </c>
      <c r="D42" s="9" t="s">
        <v>251</v>
      </c>
      <c r="E42" s="9" t="s">
        <v>241</v>
      </c>
      <c r="F42" s="9" t="s">
        <v>424</v>
      </c>
      <c r="G42" s="9" t="s">
        <v>425</v>
      </c>
      <c r="H42" s="9" t="n">
        <v>8</v>
      </c>
      <c r="I42" s="9" t="s">
        <v>416</v>
      </c>
      <c r="J42" s="11" t="s">
        <v>73</v>
      </c>
      <c r="K42" s="11" t="s">
        <v>41</v>
      </c>
    </row>
    <row r="43" customFormat="false" ht="15" hidden="false" customHeight="false" outlineLevel="0" collapsed="false">
      <c r="A43" s="9" t="s">
        <v>458</v>
      </c>
      <c r="B43" s="9" t="s">
        <v>254</v>
      </c>
      <c r="C43" s="9" t="s">
        <v>255</v>
      </c>
      <c r="D43" s="9" t="s">
        <v>256</v>
      </c>
      <c r="E43" s="9" t="s">
        <v>232</v>
      </c>
      <c r="F43" s="9" t="s">
        <v>414</v>
      </c>
      <c r="G43" s="9" t="s">
        <v>415</v>
      </c>
      <c r="H43" s="9" t="n">
        <v>8</v>
      </c>
      <c r="I43" s="9" t="s">
        <v>416</v>
      </c>
      <c r="J43" s="11" t="s">
        <v>73</v>
      </c>
      <c r="K43" s="11" t="s">
        <v>41</v>
      </c>
    </row>
    <row r="44" customFormat="false" ht="15" hidden="false" customHeight="false" outlineLevel="0" collapsed="false">
      <c r="A44" s="9" t="s">
        <v>459</v>
      </c>
      <c r="B44" s="9" t="s">
        <v>254</v>
      </c>
      <c r="C44" s="9" t="s">
        <v>255</v>
      </c>
      <c r="D44" s="9" t="s">
        <v>256</v>
      </c>
      <c r="E44" s="9" t="s">
        <v>232</v>
      </c>
      <c r="F44" s="9" t="s">
        <v>418</v>
      </c>
      <c r="G44" s="9" t="s">
        <v>419</v>
      </c>
      <c r="H44" s="9" t="n">
        <v>8</v>
      </c>
      <c r="I44" s="9" t="s">
        <v>416</v>
      </c>
      <c r="J44" s="11" t="s">
        <v>73</v>
      </c>
      <c r="K44" s="11" t="s">
        <v>41</v>
      </c>
    </row>
    <row r="45" customFormat="false" ht="15" hidden="false" customHeight="false" outlineLevel="0" collapsed="false">
      <c r="A45" s="9" t="s">
        <v>460</v>
      </c>
      <c r="B45" s="9" t="s">
        <v>254</v>
      </c>
      <c r="C45" s="9" t="s">
        <v>255</v>
      </c>
      <c r="D45" s="9" t="s">
        <v>256</v>
      </c>
      <c r="E45" s="9" t="s">
        <v>232</v>
      </c>
      <c r="F45" s="9" t="s">
        <v>421</v>
      </c>
      <c r="G45" s="9" t="s">
        <v>422</v>
      </c>
      <c r="H45" s="9" t="n">
        <v>8</v>
      </c>
      <c r="I45" s="9" t="s">
        <v>416</v>
      </c>
      <c r="J45" s="11" t="s">
        <v>73</v>
      </c>
      <c r="K45" s="11" t="s">
        <v>41</v>
      </c>
    </row>
    <row r="46" customFormat="false" ht="15" hidden="false" customHeight="false" outlineLevel="0" collapsed="false">
      <c r="A46" s="9" t="s">
        <v>461</v>
      </c>
      <c r="B46" s="9" t="s">
        <v>254</v>
      </c>
      <c r="C46" s="9" t="s">
        <v>255</v>
      </c>
      <c r="D46" s="9" t="s">
        <v>256</v>
      </c>
      <c r="E46" s="9" t="s">
        <v>232</v>
      </c>
      <c r="F46" s="9" t="s">
        <v>424</v>
      </c>
      <c r="G46" s="9" t="s">
        <v>425</v>
      </c>
      <c r="H46" s="9" t="n">
        <v>8</v>
      </c>
      <c r="I46" s="9" t="s">
        <v>416</v>
      </c>
      <c r="J46" s="11" t="s">
        <v>73</v>
      </c>
      <c r="K46" s="11" t="s">
        <v>41</v>
      </c>
    </row>
    <row r="47" customFormat="false" ht="15" hidden="false" customHeight="false" outlineLevel="0" collapsed="false">
      <c r="A47" s="9" t="s">
        <v>462</v>
      </c>
      <c r="B47" s="9" t="s">
        <v>257</v>
      </c>
      <c r="C47" s="9" t="s">
        <v>255</v>
      </c>
      <c r="D47" s="9" t="s">
        <v>256</v>
      </c>
      <c r="E47" s="9" t="s">
        <v>237</v>
      </c>
      <c r="F47" s="9" t="s">
        <v>414</v>
      </c>
      <c r="G47" s="9" t="s">
        <v>415</v>
      </c>
      <c r="H47" s="9" t="n">
        <v>8</v>
      </c>
      <c r="I47" s="9" t="s">
        <v>416</v>
      </c>
      <c r="J47" s="11" t="s">
        <v>73</v>
      </c>
      <c r="K47" s="11" t="s">
        <v>41</v>
      </c>
    </row>
    <row r="48" customFormat="false" ht="15" hidden="false" customHeight="false" outlineLevel="0" collapsed="false">
      <c r="A48" s="9" t="s">
        <v>463</v>
      </c>
      <c r="B48" s="9" t="s">
        <v>257</v>
      </c>
      <c r="C48" s="9" t="s">
        <v>255</v>
      </c>
      <c r="D48" s="9" t="s">
        <v>256</v>
      </c>
      <c r="E48" s="9" t="s">
        <v>237</v>
      </c>
      <c r="F48" s="9" t="s">
        <v>418</v>
      </c>
      <c r="G48" s="9" t="s">
        <v>419</v>
      </c>
      <c r="H48" s="9" t="n">
        <v>8</v>
      </c>
      <c r="I48" s="9" t="s">
        <v>416</v>
      </c>
      <c r="J48" s="11" t="s">
        <v>73</v>
      </c>
      <c r="K48" s="11" t="s">
        <v>41</v>
      </c>
    </row>
    <row r="49" customFormat="false" ht="15" hidden="false" customHeight="false" outlineLevel="0" collapsed="false">
      <c r="A49" s="9" t="s">
        <v>464</v>
      </c>
      <c r="B49" s="9" t="s">
        <v>257</v>
      </c>
      <c r="C49" s="9" t="s">
        <v>255</v>
      </c>
      <c r="D49" s="9" t="s">
        <v>256</v>
      </c>
      <c r="E49" s="9" t="s">
        <v>237</v>
      </c>
      <c r="F49" s="9" t="s">
        <v>421</v>
      </c>
      <c r="G49" s="9" t="s">
        <v>422</v>
      </c>
      <c r="H49" s="9" t="n">
        <v>8</v>
      </c>
      <c r="I49" s="9" t="s">
        <v>416</v>
      </c>
      <c r="J49" s="11" t="s">
        <v>73</v>
      </c>
      <c r="K49" s="11" t="s">
        <v>41</v>
      </c>
    </row>
    <row r="50" customFormat="false" ht="15" hidden="false" customHeight="false" outlineLevel="0" collapsed="false">
      <c r="A50" s="9" t="s">
        <v>465</v>
      </c>
      <c r="B50" s="9" t="s">
        <v>257</v>
      </c>
      <c r="C50" s="9" t="s">
        <v>255</v>
      </c>
      <c r="D50" s="9" t="s">
        <v>256</v>
      </c>
      <c r="E50" s="9" t="s">
        <v>237</v>
      </c>
      <c r="F50" s="9" t="s">
        <v>424</v>
      </c>
      <c r="G50" s="9" t="s">
        <v>425</v>
      </c>
      <c r="H50" s="9" t="n">
        <v>8</v>
      </c>
      <c r="I50" s="9" t="s">
        <v>416</v>
      </c>
      <c r="J50" s="11" t="s">
        <v>73</v>
      </c>
      <c r="K50" s="11" t="s">
        <v>41</v>
      </c>
    </row>
    <row r="51" customFormat="false" ht="15" hidden="false" customHeight="false" outlineLevel="0" collapsed="false">
      <c r="A51" s="9" t="s">
        <v>466</v>
      </c>
      <c r="B51" s="9" t="s">
        <v>258</v>
      </c>
      <c r="C51" s="9" t="s">
        <v>255</v>
      </c>
      <c r="D51" s="9" t="s">
        <v>256</v>
      </c>
      <c r="E51" s="9" t="s">
        <v>241</v>
      </c>
      <c r="F51" s="9" t="s">
        <v>414</v>
      </c>
      <c r="G51" s="9" t="s">
        <v>415</v>
      </c>
      <c r="H51" s="9" t="n">
        <v>8</v>
      </c>
      <c r="I51" s="9" t="s">
        <v>416</v>
      </c>
      <c r="J51" s="11" t="s">
        <v>73</v>
      </c>
      <c r="K51" s="11" t="s">
        <v>41</v>
      </c>
    </row>
    <row r="52" customFormat="false" ht="15" hidden="false" customHeight="false" outlineLevel="0" collapsed="false">
      <c r="A52" s="9" t="s">
        <v>467</v>
      </c>
      <c r="B52" s="9" t="s">
        <v>258</v>
      </c>
      <c r="C52" s="9" t="s">
        <v>255</v>
      </c>
      <c r="D52" s="9" t="s">
        <v>256</v>
      </c>
      <c r="E52" s="9" t="s">
        <v>241</v>
      </c>
      <c r="F52" s="9" t="s">
        <v>418</v>
      </c>
      <c r="G52" s="9" t="s">
        <v>419</v>
      </c>
      <c r="H52" s="9" t="n">
        <v>8</v>
      </c>
      <c r="I52" s="9" t="s">
        <v>416</v>
      </c>
      <c r="J52" s="11" t="s">
        <v>73</v>
      </c>
      <c r="K52" s="11" t="s">
        <v>41</v>
      </c>
    </row>
    <row r="53" customFormat="false" ht="15" hidden="false" customHeight="false" outlineLevel="0" collapsed="false">
      <c r="A53" s="9" t="s">
        <v>468</v>
      </c>
      <c r="B53" s="9" t="s">
        <v>258</v>
      </c>
      <c r="C53" s="9" t="s">
        <v>255</v>
      </c>
      <c r="D53" s="9" t="s">
        <v>256</v>
      </c>
      <c r="E53" s="9" t="s">
        <v>241</v>
      </c>
      <c r="F53" s="9" t="s">
        <v>421</v>
      </c>
      <c r="G53" s="9" t="s">
        <v>422</v>
      </c>
      <c r="H53" s="9" t="n">
        <v>8</v>
      </c>
      <c r="I53" s="9" t="s">
        <v>416</v>
      </c>
      <c r="J53" s="11" t="s">
        <v>73</v>
      </c>
      <c r="K53" s="11" t="s">
        <v>41</v>
      </c>
    </row>
    <row r="54" customFormat="false" ht="15" hidden="false" customHeight="false" outlineLevel="0" collapsed="false">
      <c r="A54" s="9" t="s">
        <v>469</v>
      </c>
      <c r="B54" s="9" t="s">
        <v>258</v>
      </c>
      <c r="C54" s="9" t="s">
        <v>255</v>
      </c>
      <c r="D54" s="9" t="s">
        <v>256</v>
      </c>
      <c r="E54" s="9" t="s">
        <v>241</v>
      </c>
      <c r="F54" s="9" t="s">
        <v>424</v>
      </c>
      <c r="G54" s="9" t="s">
        <v>425</v>
      </c>
      <c r="H54" s="9" t="n">
        <v>8</v>
      </c>
      <c r="I54" s="9" t="s">
        <v>416</v>
      </c>
      <c r="J54" s="11" t="s">
        <v>73</v>
      </c>
      <c r="K54" s="11" t="s">
        <v>41</v>
      </c>
    </row>
    <row r="55" customFormat="false" ht="15" hidden="false" customHeight="false" outlineLevel="0" collapsed="false">
      <c r="A55" s="9" t="s">
        <v>470</v>
      </c>
      <c r="B55" s="9" t="s">
        <v>259</v>
      </c>
      <c r="C55" s="9" t="s">
        <v>260</v>
      </c>
      <c r="D55" s="9" t="s">
        <v>261</v>
      </c>
      <c r="E55" s="9" t="s">
        <v>232</v>
      </c>
      <c r="F55" s="9" t="s">
        <v>414</v>
      </c>
      <c r="G55" s="9" t="s">
        <v>415</v>
      </c>
      <c r="H55" s="9" t="n">
        <v>8</v>
      </c>
      <c r="I55" s="9" t="s">
        <v>416</v>
      </c>
      <c r="J55" s="11" t="s">
        <v>73</v>
      </c>
      <c r="K55" s="11" t="s">
        <v>41</v>
      </c>
    </row>
    <row r="56" customFormat="false" ht="15" hidden="false" customHeight="false" outlineLevel="0" collapsed="false">
      <c r="A56" s="9" t="s">
        <v>471</v>
      </c>
      <c r="B56" s="9" t="s">
        <v>259</v>
      </c>
      <c r="C56" s="9" t="s">
        <v>260</v>
      </c>
      <c r="D56" s="9" t="s">
        <v>261</v>
      </c>
      <c r="E56" s="9" t="s">
        <v>232</v>
      </c>
      <c r="F56" s="9" t="s">
        <v>418</v>
      </c>
      <c r="G56" s="9" t="s">
        <v>419</v>
      </c>
      <c r="H56" s="9" t="n">
        <v>8</v>
      </c>
      <c r="I56" s="9" t="s">
        <v>416</v>
      </c>
      <c r="J56" s="11" t="s">
        <v>73</v>
      </c>
      <c r="K56" s="11" t="s">
        <v>41</v>
      </c>
    </row>
    <row r="57" customFormat="false" ht="15" hidden="false" customHeight="false" outlineLevel="0" collapsed="false">
      <c r="A57" s="9" t="s">
        <v>472</v>
      </c>
      <c r="B57" s="9" t="s">
        <v>259</v>
      </c>
      <c r="C57" s="9" t="s">
        <v>260</v>
      </c>
      <c r="D57" s="9" t="s">
        <v>261</v>
      </c>
      <c r="E57" s="9" t="s">
        <v>232</v>
      </c>
      <c r="F57" s="9" t="s">
        <v>421</v>
      </c>
      <c r="G57" s="9" t="s">
        <v>422</v>
      </c>
      <c r="H57" s="9" t="n">
        <v>8</v>
      </c>
      <c r="I57" s="9" t="s">
        <v>416</v>
      </c>
      <c r="J57" s="11" t="s">
        <v>73</v>
      </c>
      <c r="K57" s="11" t="s">
        <v>41</v>
      </c>
    </row>
    <row r="58" customFormat="false" ht="15" hidden="false" customHeight="false" outlineLevel="0" collapsed="false">
      <c r="A58" s="9" t="s">
        <v>473</v>
      </c>
      <c r="B58" s="9" t="s">
        <v>259</v>
      </c>
      <c r="C58" s="9" t="s">
        <v>260</v>
      </c>
      <c r="D58" s="9" t="s">
        <v>261</v>
      </c>
      <c r="E58" s="9" t="s">
        <v>232</v>
      </c>
      <c r="F58" s="9" t="s">
        <v>424</v>
      </c>
      <c r="G58" s="9" t="s">
        <v>425</v>
      </c>
      <c r="H58" s="9" t="n">
        <v>8</v>
      </c>
      <c r="I58" s="9" t="s">
        <v>416</v>
      </c>
      <c r="J58" s="11" t="s">
        <v>73</v>
      </c>
      <c r="K58" s="11" t="s">
        <v>41</v>
      </c>
    </row>
    <row r="59" customFormat="false" ht="15" hidden="false" customHeight="false" outlineLevel="0" collapsed="false">
      <c r="A59" s="9" t="s">
        <v>474</v>
      </c>
      <c r="B59" s="9" t="s">
        <v>262</v>
      </c>
      <c r="C59" s="9" t="s">
        <v>260</v>
      </c>
      <c r="D59" s="9" t="s">
        <v>261</v>
      </c>
      <c r="E59" s="9" t="s">
        <v>237</v>
      </c>
      <c r="F59" s="9" t="s">
        <v>414</v>
      </c>
      <c r="G59" s="9" t="s">
        <v>415</v>
      </c>
      <c r="H59" s="9" t="n">
        <v>8</v>
      </c>
      <c r="I59" s="9" t="s">
        <v>416</v>
      </c>
      <c r="J59" s="11" t="s">
        <v>73</v>
      </c>
      <c r="K59" s="11" t="s">
        <v>41</v>
      </c>
    </row>
    <row r="60" customFormat="false" ht="15" hidden="false" customHeight="false" outlineLevel="0" collapsed="false">
      <c r="A60" s="9" t="s">
        <v>475</v>
      </c>
      <c r="B60" s="9" t="s">
        <v>262</v>
      </c>
      <c r="C60" s="9" t="s">
        <v>260</v>
      </c>
      <c r="D60" s="9" t="s">
        <v>261</v>
      </c>
      <c r="E60" s="9" t="s">
        <v>237</v>
      </c>
      <c r="F60" s="9" t="s">
        <v>418</v>
      </c>
      <c r="G60" s="9" t="s">
        <v>419</v>
      </c>
      <c r="H60" s="9" t="n">
        <v>8</v>
      </c>
      <c r="I60" s="9" t="s">
        <v>416</v>
      </c>
      <c r="J60" s="11" t="s">
        <v>73</v>
      </c>
      <c r="K60" s="11" t="s">
        <v>41</v>
      </c>
    </row>
    <row r="61" customFormat="false" ht="15" hidden="false" customHeight="false" outlineLevel="0" collapsed="false">
      <c r="A61" s="9" t="s">
        <v>476</v>
      </c>
      <c r="B61" s="9" t="s">
        <v>262</v>
      </c>
      <c r="C61" s="9" t="s">
        <v>260</v>
      </c>
      <c r="D61" s="9" t="s">
        <v>261</v>
      </c>
      <c r="E61" s="9" t="s">
        <v>237</v>
      </c>
      <c r="F61" s="9" t="s">
        <v>421</v>
      </c>
      <c r="G61" s="9" t="s">
        <v>422</v>
      </c>
      <c r="H61" s="9" t="n">
        <v>8</v>
      </c>
      <c r="I61" s="9" t="s">
        <v>416</v>
      </c>
      <c r="J61" s="11" t="s">
        <v>73</v>
      </c>
      <c r="K61" s="11" t="s">
        <v>41</v>
      </c>
    </row>
    <row r="62" customFormat="false" ht="15" hidden="false" customHeight="false" outlineLevel="0" collapsed="false">
      <c r="A62" s="9" t="s">
        <v>477</v>
      </c>
      <c r="B62" s="9" t="s">
        <v>262</v>
      </c>
      <c r="C62" s="9" t="s">
        <v>260</v>
      </c>
      <c r="D62" s="9" t="s">
        <v>261</v>
      </c>
      <c r="E62" s="9" t="s">
        <v>237</v>
      </c>
      <c r="F62" s="9" t="s">
        <v>424</v>
      </c>
      <c r="G62" s="9" t="s">
        <v>425</v>
      </c>
      <c r="H62" s="9" t="n">
        <v>8</v>
      </c>
      <c r="I62" s="9" t="s">
        <v>416</v>
      </c>
      <c r="J62" s="11" t="s">
        <v>73</v>
      </c>
      <c r="K62" s="11" t="s">
        <v>41</v>
      </c>
    </row>
    <row r="63" customFormat="false" ht="15" hidden="false" customHeight="false" outlineLevel="0" collapsed="false">
      <c r="A63" s="9" t="s">
        <v>478</v>
      </c>
      <c r="B63" s="9" t="s">
        <v>263</v>
      </c>
      <c r="C63" s="9" t="s">
        <v>260</v>
      </c>
      <c r="D63" s="9" t="s">
        <v>261</v>
      </c>
      <c r="E63" s="9" t="s">
        <v>241</v>
      </c>
      <c r="F63" s="9" t="s">
        <v>414</v>
      </c>
      <c r="G63" s="9" t="s">
        <v>415</v>
      </c>
      <c r="H63" s="9" t="n">
        <v>8</v>
      </c>
      <c r="I63" s="9" t="s">
        <v>416</v>
      </c>
      <c r="J63" s="11" t="s">
        <v>73</v>
      </c>
      <c r="K63" s="11" t="s">
        <v>41</v>
      </c>
    </row>
    <row r="64" customFormat="false" ht="15" hidden="false" customHeight="false" outlineLevel="0" collapsed="false">
      <c r="A64" s="9" t="s">
        <v>479</v>
      </c>
      <c r="B64" s="9" t="s">
        <v>263</v>
      </c>
      <c r="C64" s="9" t="s">
        <v>260</v>
      </c>
      <c r="D64" s="9" t="s">
        <v>261</v>
      </c>
      <c r="E64" s="9" t="s">
        <v>241</v>
      </c>
      <c r="F64" s="9" t="s">
        <v>418</v>
      </c>
      <c r="G64" s="9" t="s">
        <v>419</v>
      </c>
      <c r="H64" s="9" t="n">
        <v>8</v>
      </c>
      <c r="I64" s="9" t="s">
        <v>416</v>
      </c>
      <c r="J64" s="11" t="s">
        <v>73</v>
      </c>
      <c r="K64" s="11" t="s">
        <v>41</v>
      </c>
    </row>
    <row r="65" customFormat="false" ht="15" hidden="false" customHeight="false" outlineLevel="0" collapsed="false">
      <c r="A65" s="9" t="s">
        <v>480</v>
      </c>
      <c r="B65" s="9" t="s">
        <v>263</v>
      </c>
      <c r="C65" s="9" t="s">
        <v>260</v>
      </c>
      <c r="D65" s="9" t="s">
        <v>261</v>
      </c>
      <c r="E65" s="9" t="s">
        <v>241</v>
      </c>
      <c r="F65" s="9" t="s">
        <v>421</v>
      </c>
      <c r="G65" s="9" t="s">
        <v>422</v>
      </c>
      <c r="H65" s="9" t="n">
        <v>8</v>
      </c>
      <c r="I65" s="9" t="s">
        <v>416</v>
      </c>
      <c r="J65" s="11" t="s">
        <v>73</v>
      </c>
      <c r="K65" s="11" t="s">
        <v>41</v>
      </c>
    </row>
    <row r="66" customFormat="false" ht="15" hidden="false" customHeight="false" outlineLevel="0" collapsed="false">
      <c r="A66" s="9" t="s">
        <v>481</v>
      </c>
      <c r="B66" s="9" t="s">
        <v>263</v>
      </c>
      <c r="C66" s="9" t="s">
        <v>260</v>
      </c>
      <c r="D66" s="9" t="s">
        <v>261</v>
      </c>
      <c r="E66" s="9" t="s">
        <v>241</v>
      </c>
      <c r="F66" s="9" t="s">
        <v>424</v>
      </c>
      <c r="G66" s="9" t="s">
        <v>425</v>
      </c>
      <c r="H66" s="9" t="n">
        <v>8</v>
      </c>
      <c r="I66" s="9" t="s">
        <v>416</v>
      </c>
      <c r="J66" s="11" t="s">
        <v>73</v>
      </c>
      <c r="K66" s="11" t="s">
        <v>41</v>
      </c>
    </row>
    <row r="67" customFormat="false" ht="15" hidden="false" customHeight="false" outlineLevel="0" collapsed="false">
      <c r="A67" s="9" t="s">
        <v>482</v>
      </c>
      <c r="B67" s="9" t="s">
        <v>264</v>
      </c>
      <c r="C67" s="9" t="s">
        <v>265</v>
      </c>
      <c r="D67" s="9" t="s">
        <v>266</v>
      </c>
      <c r="E67" s="9" t="s">
        <v>232</v>
      </c>
      <c r="F67" s="9" t="s">
        <v>414</v>
      </c>
      <c r="G67" s="9" t="s">
        <v>415</v>
      </c>
      <c r="H67" s="9" t="n">
        <v>8</v>
      </c>
      <c r="I67" s="9" t="s">
        <v>416</v>
      </c>
      <c r="J67" s="11" t="s">
        <v>73</v>
      </c>
      <c r="K67" s="11" t="s">
        <v>41</v>
      </c>
    </row>
    <row r="68" customFormat="false" ht="15" hidden="false" customHeight="false" outlineLevel="0" collapsed="false">
      <c r="A68" s="9" t="s">
        <v>483</v>
      </c>
      <c r="B68" s="9" t="s">
        <v>264</v>
      </c>
      <c r="C68" s="9" t="s">
        <v>265</v>
      </c>
      <c r="D68" s="9" t="s">
        <v>266</v>
      </c>
      <c r="E68" s="9" t="s">
        <v>232</v>
      </c>
      <c r="F68" s="9" t="s">
        <v>418</v>
      </c>
      <c r="G68" s="9" t="s">
        <v>419</v>
      </c>
      <c r="H68" s="9" t="n">
        <v>8</v>
      </c>
      <c r="I68" s="9" t="s">
        <v>416</v>
      </c>
      <c r="J68" s="11" t="s">
        <v>73</v>
      </c>
      <c r="K68" s="11" t="s">
        <v>41</v>
      </c>
    </row>
    <row r="69" customFormat="false" ht="15" hidden="false" customHeight="false" outlineLevel="0" collapsed="false">
      <c r="A69" s="9" t="s">
        <v>484</v>
      </c>
      <c r="B69" s="9" t="s">
        <v>264</v>
      </c>
      <c r="C69" s="9" t="s">
        <v>265</v>
      </c>
      <c r="D69" s="9" t="s">
        <v>266</v>
      </c>
      <c r="E69" s="9" t="s">
        <v>232</v>
      </c>
      <c r="F69" s="9" t="s">
        <v>421</v>
      </c>
      <c r="G69" s="9" t="s">
        <v>422</v>
      </c>
      <c r="H69" s="9" t="n">
        <v>8</v>
      </c>
      <c r="I69" s="9" t="s">
        <v>416</v>
      </c>
      <c r="J69" s="11" t="s">
        <v>73</v>
      </c>
      <c r="K69" s="11" t="s">
        <v>41</v>
      </c>
    </row>
    <row r="70" customFormat="false" ht="15" hidden="false" customHeight="false" outlineLevel="0" collapsed="false">
      <c r="A70" s="9" t="s">
        <v>485</v>
      </c>
      <c r="B70" s="9" t="s">
        <v>264</v>
      </c>
      <c r="C70" s="9" t="s">
        <v>265</v>
      </c>
      <c r="D70" s="9" t="s">
        <v>266</v>
      </c>
      <c r="E70" s="9" t="s">
        <v>232</v>
      </c>
      <c r="F70" s="9" t="s">
        <v>424</v>
      </c>
      <c r="G70" s="9" t="s">
        <v>425</v>
      </c>
      <c r="H70" s="9" t="n">
        <v>8</v>
      </c>
      <c r="I70" s="9" t="s">
        <v>416</v>
      </c>
      <c r="J70" s="11" t="s">
        <v>73</v>
      </c>
      <c r="K70" s="11" t="s">
        <v>41</v>
      </c>
    </row>
    <row r="71" customFormat="false" ht="15" hidden="false" customHeight="false" outlineLevel="0" collapsed="false">
      <c r="A71" s="9" t="s">
        <v>486</v>
      </c>
      <c r="B71" s="9" t="s">
        <v>267</v>
      </c>
      <c r="C71" s="9" t="s">
        <v>265</v>
      </c>
      <c r="D71" s="9" t="s">
        <v>266</v>
      </c>
      <c r="E71" s="9" t="s">
        <v>237</v>
      </c>
      <c r="F71" s="9" t="s">
        <v>414</v>
      </c>
      <c r="G71" s="9" t="s">
        <v>415</v>
      </c>
      <c r="H71" s="9" t="n">
        <v>8</v>
      </c>
      <c r="I71" s="9" t="s">
        <v>416</v>
      </c>
      <c r="J71" s="11" t="s">
        <v>73</v>
      </c>
      <c r="K71" s="11" t="s">
        <v>41</v>
      </c>
    </row>
    <row r="72" customFormat="false" ht="15" hidden="false" customHeight="false" outlineLevel="0" collapsed="false">
      <c r="A72" s="9" t="s">
        <v>487</v>
      </c>
      <c r="B72" s="9" t="s">
        <v>267</v>
      </c>
      <c r="C72" s="9" t="s">
        <v>265</v>
      </c>
      <c r="D72" s="9" t="s">
        <v>266</v>
      </c>
      <c r="E72" s="9" t="s">
        <v>237</v>
      </c>
      <c r="F72" s="9" t="s">
        <v>418</v>
      </c>
      <c r="G72" s="9" t="s">
        <v>419</v>
      </c>
      <c r="H72" s="9" t="n">
        <v>8</v>
      </c>
      <c r="I72" s="9" t="s">
        <v>416</v>
      </c>
      <c r="J72" s="11" t="s">
        <v>73</v>
      </c>
      <c r="K72" s="11" t="s">
        <v>41</v>
      </c>
    </row>
    <row r="73" customFormat="false" ht="15" hidden="false" customHeight="false" outlineLevel="0" collapsed="false">
      <c r="A73" s="9" t="s">
        <v>488</v>
      </c>
      <c r="B73" s="9" t="s">
        <v>267</v>
      </c>
      <c r="C73" s="9" t="s">
        <v>265</v>
      </c>
      <c r="D73" s="9" t="s">
        <v>266</v>
      </c>
      <c r="E73" s="9" t="s">
        <v>237</v>
      </c>
      <c r="F73" s="9" t="s">
        <v>421</v>
      </c>
      <c r="G73" s="9" t="s">
        <v>422</v>
      </c>
      <c r="H73" s="9" t="n">
        <v>8</v>
      </c>
      <c r="I73" s="9" t="s">
        <v>416</v>
      </c>
      <c r="J73" s="11" t="s">
        <v>73</v>
      </c>
      <c r="K73" s="11" t="s">
        <v>41</v>
      </c>
    </row>
    <row r="74" customFormat="false" ht="15" hidden="false" customHeight="false" outlineLevel="0" collapsed="false">
      <c r="A74" s="9" t="s">
        <v>489</v>
      </c>
      <c r="B74" s="9" t="s">
        <v>267</v>
      </c>
      <c r="C74" s="9" t="s">
        <v>265</v>
      </c>
      <c r="D74" s="9" t="s">
        <v>266</v>
      </c>
      <c r="E74" s="9" t="s">
        <v>237</v>
      </c>
      <c r="F74" s="9" t="s">
        <v>424</v>
      </c>
      <c r="G74" s="9" t="s">
        <v>425</v>
      </c>
      <c r="H74" s="9" t="n">
        <v>8</v>
      </c>
      <c r="I74" s="9" t="s">
        <v>416</v>
      </c>
      <c r="J74" s="11" t="s">
        <v>73</v>
      </c>
      <c r="K74" s="11" t="s">
        <v>41</v>
      </c>
    </row>
    <row r="75" customFormat="false" ht="15" hidden="false" customHeight="false" outlineLevel="0" collapsed="false">
      <c r="A75" s="9" t="s">
        <v>490</v>
      </c>
      <c r="B75" s="9" t="s">
        <v>268</v>
      </c>
      <c r="C75" s="9" t="s">
        <v>265</v>
      </c>
      <c r="D75" s="9" t="s">
        <v>266</v>
      </c>
      <c r="E75" s="9" t="s">
        <v>241</v>
      </c>
      <c r="F75" s="9" t="s">
        <v>414</v>
      </c>
      <c r="G75" s="9" t="s">
        <v>415</v>
      </c>
      <c r="H75" s="9" t="n">
        <v>8</v>
      </c>
      <c r="I75" s="9" t="s">
        <v>416</v>
      </c>
      <c r="J75" s="11" t="s">
        <v>73</v>
      </c>
      <c r="K75" s="11" t="s">
        <v>41</v>
      </c>
    </row>
    <row r="76" customFormat="false" ht="15" hidden="false" customHeight="false" outlineLevel="0" collapsed="false">
      <c r="A76" s="9" t="s">
        <v>491</v>
      </c>
      <c r="B76" s="9" t="s">
        <v>268</v>
      </c>
      <c r="C76" s="9" t="s">
        <v>265</v>
      </c>
      <c r="D76" s="9" t="s">
        <v>266</v>
      </c>
      <c r="E76" s="9" t="s">
        <v>241</v>
      </c>
      <c r="F76" s="9" t="s">
        <v>418</v>
      </c>
      <c r="G76" s="9" t="s">
        <v>419</v>
      </c>
      <c r="H76" s="9" t="n">
        <v>8</v>
      </c>
      <c r="I76" s="9" t="s">
        <v>416</v>
      </c>
      <c r="J76" s="11" t="s">
        <v>73</v>
      </c>
      <c r="K76" s="11" t="s">
        <v>41</v>
      </c>
    </row>
    <row r="77" customFormat="false" ht="15" hidden="false" customHeight="false" outlineLevel="0" collapsed="false">
      <c r="A77" s="9" t="s">
        <v>492</v>
      </c>
      <c r="B77" s="9" t="s">
        <v>268</v>
      </c>
      <c r="C77" s="9" t="s">
        <v>265</v>
      </c>
      <c r="D77" s="9" t="s">
        <v>266</v>
      </c>
      <c r="E77" s="9" t="s">
        <v>241</v>
      </c>
      <c r="F77" s="9" t="s">
        <v>421</v>
      </c>
      <c r="G77" s="9" t="s">
        <v>422</v>
      </c>
      <c r="H77" s="9" t="n">
        <v>8</v>
      </c>
      <c r="I77" s="9" t="s">
        <v>416</v>
      </c>
      <c r="J77" s="11" t="s">
        <v>73</v>
      </c>
      <c r="K77" s="11" t="s">
        <v>41</v>
      </c>
    </row>
    <row r="78" customFormat="false" ht="15" hidden="false" customHeight="false" outlineLevel="0" collapsed="false">
      <c r="A78" s="12" t="s">
        <v>493</v>
      </c>
      <c r="B78" s="12" t="s">
        <v>268</v>
      </c>
      <c r="C78" s="12" t="s">
        <v>265</v>
      </c>
      <c r="D78" s="12" t="s">
        <v>266</v>
      </c>
      <c r="E78" s="12" t="s">
        <v>241</v>
      </c>
      <c r="F78" s="12" t="s">
        <v>424</v>
      </c>
      <c r="G78" s="12" t="s">
        <v>425</v>
      </c>
      <c r="H78" s="12" t="n">
        <v>8</v>
      </c>
      <c r="I78" s="12" t="s">
        <v>416</v>
      </c>
      <c r="J78" s="14" t="s">
        <v>73</v>
      </c>
      <c r="K78" s="14" t="s">
        <v>41</v>
      </c>
    </row>
  </sheetData>
  <mergeCells count="2">
    <mergeCell ref="A2:K2"/>
    <mergeCell ref="A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9"/>
    <col collapsed="false" customWidth="true" hidden="false" outlineLevel="0" max="4" min="4" style="0" width="19"/>
    <col collapsed="false" customWidth="true" hidden="false" outlineLevel="0" max="5" min="5" style="0" width="44"/>
    <col collapsed="false" customWidth="true" hidden="false" outlineLevel="0" max="6" min="6" style="0" width="53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9"/>
    <col collapsed="false" customWidth="true" hidden="false" outlineLevel="0" max="12" min="11" style="0" width="18"/>
    <col collapsed="false" customWidth="true" hidden="false" outlineLevel="0" max="13" min="13" style="0" width="20"/>
    <col collapsed="false" customWidth="true" hidden="false" outlineLevel="0" max="14" min="14" style="0" width="26"/>
  </cols>
  <sheetData>
    <row r="2" customFormat="false" ht="24" hidden="false" customHeight="true" outlineLevel="0" collapsed="false">
      <c r="A2" s="1" t="s">
        <v>494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495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23" hidden="false" customHeight="true" outlineLevel="0" collapsed="false">
      <c r="A6" s="5" t="s">
        <v>217</v>
      </c>
      <c r="B6" s="6" t="s">
        <v>218</v>
      </c>
      <c r="C6" s="6" t="s">
        <v>496</v>
      </c>
      <c r="D6" s="6" t="s">
        <v>497</v>
      </c>
      <c r="E6" s="6" t="s">
        <v>498</v>
      </c>
      <c r="F6" s="6" t="s">
        <v>499</v>
      </c>
      <c r="G6" s="6" t="s">
        <v>500</v>
      </c>
      <c r="H6" s="6" t="s">
        <v>226</v>
      </c>
      <c r="I6" s="6" t="s">
        <v>227</v>
      </c>
      <c r="J6" s="6" t="s">
        <v>501</v>
      </c>
      <c r="K6" s="6" t="s">
        <v>502</v>
      </c>
      <c r="L6" s="6" t="s">
        <v>503</v>
      </c>
      <c r="M6" s="6" t="s">
        <v>504</v>
      </c>
      <c r="N6" s="7" t="s">
        <v>505</v>
      </c>
    </row>
    <row r="7" customFormat="false" ht="15" hidden="false" customHeight="false" outlineLevel="0" collapsed="false">
      <c r="A7" s="8" t="s">
        <v>230</v>
      </c>
      <c r="B7" s="8" t="s">
        <v>231</v>
      </c>
      <c r="C7" s="8" t="s">
        <v>506</v>
      </c>
      <c r="D7" s="8" t="s">
        <v>507</v>
      </c>
      <c r="E7" s="8" t="s">
        <v>508</v>
      </c>
      <c r="F7" s="8" t="s">
        <v>509</v>
      </c>
      <c r="G7" s="18" t="n">
        <f aca="false">Controls!B10</f>
        <v>3</v>
      </c>
      <c r="H7" s="18" t="n">
        <f aca="false">G7*Controls!B11</f>
        <v>12</v>
      </c>
      <c r="I7" s="18" t="n">
        <f aca="false">H7*Controls!B12</f>
        <v>24</v>
      </c>
      <c r="J7" s="18" t="n">
        <f aca="false">G7*4</f>
        <v>12</v>
      </c>
      <c r="K7" s="31" t="n">
        <f aca="false">Controls!B7/Controls!B9</f>
        <v>2</v>
      </c>
      <c r="L7" s="31" t="n">
        <v>0.50047461808185</v>
      </c>
      <c r="M7" s="31" t="n">
        <f aca="false">K7+L7</f>
        <v>2.50047461808185</v>
      </c>
      <c r="N7" s="8" t="s">
        <v>510</v>
      </c>
    </row>
    <row r="8" customFormat="false" ht="15" hidden="false" customHeight="false" outlineLevel="0" collapsed="false">
      <c r="A8" s="9" t="s">
        <v>245</v>
      </c>
      <c r="B8" s="9" t="s">
        <v>246</v>
      </c>
      <c r="C8" s="9" t="s">
        <v>511</v>
      </c>
      <c r="D8" s="9" t="s">
        <v>512</v>
      </c>
      <c r="E8" s="9" t="s">
        <v>513</v>
      </c>
      <c r="F8" s="9" t="s">
        <v>514</v>
      </c>
      <c r="G8" s="20" t="n">
        <f aca="false">Controls!B10</f>
        <v>3</v>
      </c>
      <c r="H8" s="20" t="n">
        <f aca="false">G8*Controls!B11</f>
        <v>12</v>
      </c>
      <c r="I8" s="20" t="n">
        <f aca="false">H8*Controls!B12</f>
        <v>24</v>
      </c>
      <c r="J8" s="20" t="n">
        <f aca="false">G8*4</f>
        <v>12</v>
      </c>
      <c r="K8" s="32" t="n">
        <f aca="false">Controls!B7/Controls!B9</f>
        <v>2</v>
      </c>
      <c r="L8" s="32" t="n">
        <v>0.51649348177396</v>
      </c>
      <c r="M8" s="32" t="n">
        <f aca="false">K8+L8</f>
        <v>2.51649348177396</v>
      </c>
      <c r="N8" s="9" t="s">
        <v>510</v>
      </c>
    </row>
    <row r="9" customFormat="false" ht="15" hidden="false" customHeight="false" outlineLevel="0" collapsed="false">
      <c r="A9" s="9" t="s">
        <v>250</v>
      </c>
      <c r="B9" s="9" t="s">
        <v>251</v>
      </c>
      <c r="C9" s="9" t="s">
        <v>515</v>
      </c>
      <c r="D9" s="9" t="s">
        <v>507</v>
      </c>
      <c r="E9" s="9" t="s">
        <v>516</v>
      </c>
      <c r="F9" s="9" t="s">
        <v>517</v>
      </c>
      <c r="G9" s="20" t="n">
        <f aca="false">Controls!B10</f>
        <v>3</v>
      </c>
      <c r="H9" s="20" t="n">
        <f aca="false">G9*Controls!B11</f>
        <v>12</v>
      </c>
      <c r="I9" s="20" t="n">
        <f aca="false">H9*Controls!B12</f>
        <v>24</v>
      </c>
      <c r="J9" s="20" t="n">
        <f aca="false">G9*4</f>
        <v>12</v>
      </c>
      <c r="K9" s="32" t="n">
        <f aca="false">Controls!B7/Controls!B9</f>
        <v>2</v>
      </c>
      <c r="L9" s="32" t="n">
        <v>0.307221654067133</v>
      </c>
      <c r="M9" s="32" t="n">
        <f aca="false">K9+L9</f>
        <v>2.30722165406713</v>
      </c>
      <c r="N9" s="9" t="s">
        <v>510</v>
      </c>
    </row>
    <row r="10" customFormat="false" ht="15" hidden="false" customHeight="false" outlineLevel="0" collapsed="false">
      <c r="A10" s="9" t="s">
        <v>255</v>
      </c>
      <c r="B10" s="9" t="s">
        <v>256</v>
      </c>
      <c r="C10" s="9" t="s">
        <v>518</v>
      </c>
      <c r="D10" s="9" t="s">
        <v>512</v>
      </c>
      <c r="E10" s="9" t="s">
        <v>519</v>
      </c>
      <c r="F10" s="9" t="s">
        <v>520</v>
      </c>
      <c r="G10" s="20" t="n">
        <f aca="false">Controls!B10</f>
        <v>3</v>
      </c>
      <c r="H10" s="20" t="n">
        <f aca="false">G10*Controls!B11</f>
        <v>12</v>
      </c>
      <c r="I10" s="20" t="n">
        <f aca="false">H10*Controls!B12</f>
        <v>24</v>
      </c>
      <c r="J10" s="20" t="n">
        <f aca="false">G10*4</f>
        <v>12</v>
      </c>
      <c r="K10" s="32" t="n">
        <f aca="false">Controls!B7/Controls!B9</f>
        <v>2</v>
      </c>
      <c r="L10" s="32" t="n">
        <v>0.899412819320565</v>
      </c>
      <c r="M10" s="32" t="n">
        <f aca="false">K10+L10</f>
        <v>2.89941281932057</v>
      </c>
      <c r="N10" s="9" t="s">
        <v>510</v>
      </c>
    </row>
    <row r="11" customFormat="false" ht="15" hidden="false" customHeight="false" outlineLevel="0" collapsed="false">
      <c r="A11" s="9" t="s">
        <v>260</v>
      </c>
      <c r="B11" s="9" t="s">
        <v>261</v>
      </c>
      <c r="C11" s="9" t="s">
        <v>521</v>
      </c>
      <c r="D11" s="9" t="s">
        <v>522</v>
      </c>
      <c r="E11" s="9" t="s">
        <v>523</v>
      </c>
      <c r="F11" s="9" t="s">
        <v>524</v>
      </c>
      <c r="G11" s="20" t="n">
        <f aca="false">Controls!B10</f>
        <v>3</v>
      </c>
      <c r="H11" s="20" t="n">
        <f aca="false">G11*Controls!B11</f>
        <v>12</v>
      </c>
      <c r="I11" s="20" t="n">
        <f aca="false">H11*Controls!B12</f>
        <v>24</v>
      </c>
      <c r="J11" s="20" t="n">
        <f aca="false">G11*4</f>
        <v>12</v>
      </c>
      <c r="K11" s="32" t="n">
        <f aca="false">Controls!B7/Controls!B9</f>
        <v>2</v>
      </c>
      <c r="L11" s="32" t="n">
        <v>0.860712452941095</v>
      </c>
      <c r="M11" s="32" t="n">
        <f aca="false">K11+L11</f>
        <v>2.86071245294109</v>
      </c>
      <c r="N11" s="9" t="s">
        <v>510</v>
      </c>
    </row>
    <row r="12" customFormat="false" ht="15" hidden="false" customHeight="false" outlineLevel="0" collapsed="false">
      <c r="A12" s="12" t="s">
        <v>265</v>
      </c>
      <c r="B12" s="12" t="s">
        <v>266</v>
      </c>
      <c r="C12" s="12" t="s">
        <v>525</v>
      </c>
      <c r="D12" s="12" t="s">
        <v>512</v>
      </c>
      <c r="E12" s="12" t="s">
        <v>526</v>
      </c>
      <c r="F12" s="12" t="s">
        <v>527</v>
      </c>
      <c r="G12" s="23" t="n">
        <f aca="false">Controls!B10</f>
        <v>3</v>
      </c>
      <c r="H12" s="23" t="n">
        <f aca="false">G12*Controls!B11</f>
        <v>12</v>
      </c>
      <c r="I12" s="23" t="n">
        <f aca="false">H12*Controls!B12</f>
        <v>24</v>
      </c>
      <c r="J12" s="23" t="n">
        <f aca="false">G12*4</f>
        <v>12</v>
      </c>
      <c r="K12" s="33" t="n">
        <f aca="false">Controls!B7/Controls!B9</f>
        <v>2</v>
      </c>
      <c r="L12" s="33" t="n">
        <v>0.502597793135963</v>
      </c>
      <c r="M12" s="33" t="n">
        <f aca="false">K12+L12</f>
        <v>2.50259779313596</v>
      </c>
      <c r="N12" s="12" t="s">
        <v>510</v>
      </c>
    </row>
    <row r="13" customFormat="false" ht="23" hidden="false" customHeight="true" outlineLevel="0" collapsed="false">
      <c r="A13" s="15" t="s">
        <v>528</v>
      </c>
      <c r="B13" s="16" t="s">
        <v>529</v>
      </c>
      <c r="C13" s="16" t="s">
        <v>530</v>
      </c>
      <c r="D13" s="16" t="s">
        <v>531</v>
      </c>
      <c r="E13" s="16" t="s">
        <v>531</v>
      </c>
      <c r="F13" s="16" t="s">
        <v>531</v>
      </c>
      <c r="G13" s="34" t="n">
        <f aca="false">SUM(G7:G12)</f>
        <v>18</v>
      </c>
      <c r="H13" s="34" t="n">
        <f aca="false">SUM(H7:H12)</f>
        <v>72</v>
      </c>
      <c r="I13" s="34" t="n">
        <f aca="false">SUM(I7:I12)</f>
        <v>144</v>
      </c>
      <c r="J13" s="34" t="n">
        <f aca="false">SUM(J7:J12)</f>
        <v>72</v>
      </c>
      <c r="K13" s="35" t="n">
        <f aca="false">SUM(K7:K12)</f>
        <v>12</v>
      </c>
      <c r="L13" s="35" t="n">
        <f aca="false">SUM(L7:L12)</f>
        <v>3.58691281932057</v>
      </c>
      <c r="M13" s="35" t="n">
        <f aca="false">SUM(M7:M12)</f>
        <v>15.5869128193206</v>
      </c>
      <c r="N13" s="17" t="s">
        <v>235</v>
      </c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9"/>
    <col collapsed="false" customWidth="true" hidden="false" outlineLevel="0" max="3" min="3" style="0" width="39"/>
    <col collapsed="false" customWidth="true" hidden="false" outlineLevel="0" max="4" min="4" style="0" width="41"/>
    <col collapsed="false" customWidth="true" hidden="false" outlineLevel="0" max="5" min="5" style="0" width="24"/>
    <col collapsed="false" customWidth="true" hidden="false" outlineLevel="0" max="6" min="6" style="0" width="31"/>
    <col collapsed="false" customWidth="true" hidden="false" outlineLevel="0" max="7" min="7" style="0" width="19"/>
  </cols>
  <sheetData>
    <row r="2" customFormat="false" ht="24" hidden="false" customHeight="true" outlineLevel="0" collapsed="false">
      <c r="A2" s="1" t="s">
        <v>532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533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534</v>
      </c>
      <c r="B6" s="6" t="s">
        <v>535</v>
      </c>
      <c r="C6" s="6" t="s">
        <v>498</v>
      </c>
      <c r="D6" s="6" t="s">
        <v>536</v>
      </c>
      <c r="E6" s="6" t="s">
        <v>537</v>
      </c>
      <c r="F6" s="6" t="s">
        <v>538</v>
      </c>
      <c r="G6" s="7" t="s">
        <v>539</v>
      </c>
    </row>
    <row r="7" customFormat="false" ht="15" hidden="false" customHeight="false" outlineLevel="0" collapsed="false">
      <c r="A7" s="8" t="s">
        <v>540</v>
      </c>
      <c r="B7" s="8" t="s">
        <v>541</v>
      </c>
      <c r="C7" s="8" t="s">
        <v>542</v>
      </c>
      <c r="D7" s="8" t="s">
        <v>543</v>
      </c>
      <c r="E7" s="8" t="s">
        <v>416</v>
      </c>
      <c r="F7" s="8" t="s">
        <v>544</v>
      </c>
      <c r="G7" s="8" t="s">
        <v>545</v>
      </c>
    </row>
    <row r="8" customFormat="false" ht="15" hidden="false" customHeight="false" outlineLevel="0" collapsed="false">
      <c r="A8" s="9" t="s">
        <v>546</v>
      </c>
      <c r="B8" s="9" t="s">
        <v>547</v>
      </c>
      <c r="C8" s="9" t="s">
        <v>548</v>
      </c>
      <c r="D8" s="9" t="s">
        <v>549</v>
      </c>
      <c r="E8" s="9" t="s">
        <v>416</v>
      </c>
      <c r="F8" s="9" t="s">
        <v>550</v>
      </c>
      <c r="G8" s="9" t="s">
        <v>545</v>
      </c>
    </row>
    <row r="9" customFormat="false" ht="15" hidden="false" customHeight="false" outlineLevel="0" collapsed="false">
      <c r="A9" s="9" t="s">
        <v>551</v>
      </c>
      <c r="B9" s="9" t="s">
        <v>552</v>
      </c>
      <c r="C9" s="9" t="s">
        <v>553</v>
      </c>
      <c r="D9" s="9" t="s">
        <v>554</v>
      </c>
      <c r="E9" s="9" t="s">
        <v>416</v>
      </c>
      <c r="F9" s="9" t="s">
        <v>555</v>
      </c>
      <c r="G9" s="9" t="s">
        <v>545</v>
      </c>
    </row>
    <row r="10" customFormat="false" ht="15" hidden="false" customHeight="false" outlineLevel="0" collapsed="false">
      <c r="A10" s="9" t="s">
        <v>556</v>
      </c>
      <c r="B10" s="9" t="s">
        <v>557</v>
      </c>
      <c r="C10" s="9" t="s">
        <v>558</v>
      </c>
      <c r="D10" s="9" t="s">
        <v>559</v>
      </c>
      <c r="E10" s="9" t="s">
        <v>416</v>
      </c>
      <c r="F10" s="9" t="s">
        <v>560</v>
      </c>
      <c r="G10" s="9" t="s">
        <v>545</v>
      </c>
    </row>
    <row r="11" customFormat="false" ht="15" hidden="false" customHeight="false" outlineLevel="0" collapsed="false">
      <c r="A11" s="9" t="s">
        <v>561</v>
      </c>
      <c r="B11" s="9" t="s">
        <v>562</v>
      </c>
      <c r="C11" s="9" t="s">
        <v>563</v>
      </c>
      <c r="D11" s="9" t="s">
        <v>564</v>
      </c>
      <c r="E11" s="9" t="s">
        <v>565</v>
      </c>
      <c r="F11" s="9" t="s">
        <v>566</v>
      </c>
      <c r="G11" s="9" t="s">
        <v>545</v>
      </c>
    </row>
    <row r="12" customFormat="false" ht="15" hidden="false" customHeight="false" outlineLevel="0" collapsed="false">
      <c r="A12" s="12" t="s">
        <v>567</v>
      </c>
      <c r="B12" s="12" t="s">
        <v>568</v>
      </c>
      <c r="C12" s="12" t="s">
        <v>569</v>
      </c>
      <c r="D12" s="12" t="s">
        <v>570</v>
      </c>
      <c r="E12" s="12" t="s">
        <v>416</v>
      </c>
      <c r="F12" s="12" t="s">
        <v>571</v>
      </c>
      <c r="G12" s="12" t="s">
        <v>545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9"/>
    <col collapsed="false" customWidth="true" hidden="false" outlineLevel="0" max="3" min="3" style="0" width="39"/>
    <col collapsed="false" customWidth="true" hidden="false" outlineLevel="0" max="4" min="4" style="0" width="41"/>
    <col collapsed="false" customWidth="true" hidden="false" outlineLevel="0" max="5" min="5" style="0" width="24"/>
    <col collapsed="false" customWidth="true" hidden="false" outlineLevel="0" max="6" min="6" style="0" width="31"/>
    <col collapsed="false" customWidth="true" hidden="false" outlineLevel="0" max="7" min="7" style="0" width="19"/>
  </cols>
  <sheetData>
    <row r="2" customFormat="false" ht="24" hidden="false" customHeight="true" outlineLevel="0" collapsed="false">
      <c r="A2" s="1" t="s">
        <v>572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533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534</v>
      </c>
      <c r="B6" s="6" t="s">
        <v>535</v>
      </c>
      <c r="C6" s="6" t="s">
        <v>498</v>
      </c>
      <c r="D6" s="6" t="s">
        <v>536</v>
      </c>
      <c r="E6" s="6" t="s">
        <v>537</v>
      </c>
      <c r="F6" s="6" t="s">
        <v>538</v>
      </c>
      <c r="G6" s="7" t="s">
        <v>539</v>
      </c>
    </row>
    <row r="7" customFormat="false" ht="15" hidden="false" customHeight="false" outlineLevel="0" collapsed="false">
      <c r="A7" s="8" t="s">
        <v>573</v>
      </c>
      <c r="B7" s="8" t="s">
        <v>574</v>
      </c>
      <c r="C7" s="8" t="s">
        <v>575</v>
      </c>
      <c r="D7" s="8" t="s">
        <v>576</v>
      </c>
      <c r="E7" s="8" t="s">
        <v>416</v>
      </c>
      <c r="F7" s="8" t="s">
        <v>577</v>
      </c>
      <c r="G7" s="8" t="s">
        <v>545</v>
      </c>
    </row>
    <row r="8" customFormat="false" ht="15" hidden="false" customHeight="false" outlineLevel="0" collapsed="false">
      <c r="A8" s="9" t="s">
        <v>578</v>
      </c>
      <c r="B8" s="9" t="s">
        <v>579</v>
      </c>
      <c r="C8" s="9" t="s">
        <v>580</v>
      </c>
      <c r="D8" s="9" t="s">
        <v>581</v>
      </c>
      <c r="E8" s="9" t="s">
        <v>416</v>
      </c>
      <c r="F8" s="9" t="s">
        <v>582</v>
      </c>
      <c r="G8" s="9" t="s">
        <v>545</v>
      </c>
    </row>
    <row r="9" customFormat="false" ht="15" hidden="false" customHeight="false" outlineLevel="0" collapsed="false">
      <c r="A9" s="9" t="s">
        <v>583</v>
      </c>
      <c r="B9" s="9" t="s">
        <v>584</v>
      </c>
      <c r="C9" s="9" t="s">
        <v>585</v>
      </c>
      <c r="D9" s="9" t="s">
        <v>586</v>
      </c>
      <c r="E9" s="9" t="s">
        <v>416</v>
      </c>
      <c r="F9" s="9" t="s">
        <v>587</v>
      </c>
      <c r="G9" s="9" t="s">
        <v>545</v>
      </c>
    </row>
    <row r="10" customFormat="false" ht="15" hidden="false" customHeight="false" outlineLevel="0" collapsed="false">
      <c r="A10" s="9" t="s">
        <v>588</v>
      </c>
      <c r="B10" s="9" t="s">
        <v>589</v>
      </c>
      <c r="C10" s="9" t="s">
        <v>590</v>
      </c>
      <c r="D10" s="9" t="s">
        <v>591</v>
      </c>
      <c r="E10" s="9" t="s">
        <v>416</v>
      </c>
      <c r="F10" s="9" t="s">
        <v>592</v>
      </c>
      <c r="G10" s="9" t="s">
        <v>545</v>
      </c>
    </row>
    <row r="11" customFormat="false" ht="15" hidden="false" customHeight="false" outlineLevel="0" collapsed="false">
      <c r="A11" s="9" t="s">
        <v>593</v>
      </c>
      <c r="B11" s="9" t="s">
        <v>594</v>
      </c>
      <c r="C11" s="9" t="s">
        <v>595</v>
      </c>
      <c r="D11" s="9" t="s">
        <v>596</v>
      </c>
      <c r="E11" s="9" t="s">
        <v>416</v>
      </c>
      <c r="F11" s="9" t="s">
        <v>597</v>
      </c>
      <c r="G11" s="9" t="s">
        <v>545</v>
      </c>
    </row>
    <row r="12" customFormat="false" ht="15" hidden="false" customHeight="false" outlineLevel="0" collapsed="false">
      <c r="A12" s="12" t="s">
        <v>598</v>
      </c>
      <c r="B12" s="12" t="s">
        <v>599</v>
      </c>
      <c r="C12" s="12" t="s">
        <v>600</v>
      </c>
      <c r="D12" s="12" t="s">
        <v>601</v>
      </c>
      <c r="E12" s="12" t="s">
        <v>565</v>
      </c>
      <c r="F12" s="12" t="s">
        <v>602</v>
      </c>
      <c r="G12" s="12" t="s">
        <v>545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9"/>
    <col collapsed="false" customWidth="true" hidden="false" outlineLevel="0" max="3" min="3" style="0" width="39"/>
    <col collapsed="false" customWidth="true" hidden="false" outlineLevel="0" max="4" min="4" style="0" width="41"/>
    <col collapsed="false" customWidth="true" hidden="false" outlineLevel="0" max="5" min="5" style="0" width="24"/>
    <col collapsed="false" customWidth="true" hidden="false" outlineLevel="0" max="6" min="6" style="0" width="31"/>
    <col collapsed="false" customWidth="true" hidden="false" outlineLevel="0" max="7" min="7" style="0" width="19"/>
  </cols>
  <sheetData>
    <row r="2" customFormat="false" ht="24" hidden="false" customHeight="true" outlineLevel="0" collapsed="false">
      <c r="A2" s="1" t="s">
        <v>603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533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534</v>
      </c>
      <c r="B6" s="6" t="s">
        <v>535</v>
      </c>
      <c r="C6" s="6" t="s">
        <v>498</v>
      </c>
      <c r="D6" s="6" t="s">
        <v>536</v>
      </c>
      <c r="E6" s="6" t="s">
        <v>537</v>
      </c>
      <c r="F6" s="6" t="s">
        <v>538</v>
      </c>
      <c r="G6" s="7" t="s">
        <v>539</v>
      </c>
    </row>
    <row r="7" customFormat="false" ht="15" hidden="false" customHeight="false" outlineLevel="0" collapsed="false">
      <c r="A7" s="8" t="s">
        <v>604</v>
      </c>
      <c r="B7" s="8" t="s">
        <v>605</v>
      </c>
      <c r="C7" s="8" t="s">
        <v>606</v>
      </c>
      <c r="D7" s="8" t="s">
        <v>607</v>
      </c>
      <c r="E7" s="8" t="s">
        <v>416</v>
      </c>
      <c r="F7" s="8" t="s">
        <v>608</v>
      </c>
      <c r="G7" s="8" t="s">
        <v>545</v>
      </c>
    </row>
    <row r="8" customFormat="false" ht="15" hidden="false" customHeight="false" outlineLevel="0" collapsed="false">
      <c r="A8" s="9" t="s">
        <v>609</v>
      </c>
      <c r="B8" s="9" t="s">
        <v>610</v>
      </c>
      <c r="C8" s="9" t="s">
        <v>611</v>
      </c>
      <c r="D8" s="9" t="s">
        <v>612</v>
      </c>
      <c r="E8" s="9" t="s">
        <v>416</v>
      </c>
      <c r="F8" s="9" t="s">
        <v>613</v>
      </c>
      <c r="G8" s="9" t="s">
        <v>545</v>
      </c>
    </row>
    <row r="9" customFormat="false" ht="15" hidden="false" customHeight="false" outlineLevel="0" collapsed="false">
      <c r="A9" s="9" t="s">
        <v>614</v>
      </c>
      <c r="B9" s="9" t="s">
        <v>615</v>
      </c>
      <c r="C9" s="9" t="s">
        <v>616</v>
      </c>
      <c r="D9" s="9" t="s">
        <v>617</v>
      </c>
      <c r="E9" s="9" t="s">
        <v>416</v>
      </c>
      <c r="F9" s="9" t="s">
        <v>618</v>
      </c>
      <c r="G9" s="9" t="s">
        <v>545</v>
      </c>
    </row>
    <row r="10" customFormat="false" ht="15" hidden="false" customHeight="false" outlineLevel="0" collapsed="false">
      <c r="A10" s="9" t="s">
        <v>619</v>
      </c>
      <c r="B10" s="9" t="s">
        <v>620</v>
      </c>
      <c r="C10" s="9" t="s">
        <v>621</v>
      </c>
      <c r="D10" s="9" t="s">
        <v>622</v>
      </c>
      <c r="E10" s="9" t="s">
        <v>416</v>
      </c>
      <c r="F10" s="9" t="s">
        <v>623</v>
      </c>
      <c r="G10" s="9" t="s">
        <v>545</v>
      </c>
    </row>
    <row r="11" customFormat="false" ht="15" hidden="false" customHeight="false" outlineLevel="0" collapsed="false">
      <c r="A11" s="9" t="s">
        <v>624</v>
      </c>
      <c r="B11" s="9" t="s">
        <v>625</v>
      </c>
      <c r="C11" s="9" t="s">
        <v>626</v>
      </c>
      <c r="D11" s="9" t="s">
        <v>627</v>
      </c>
      <c r="E11" s="9" t="s">
        <v>416</v>
      </c>
      <c r="F11" s="9" t="s">
        <v>628</v>
      </c>
      <c r="G11" s="9" t="s">
        <v>545</v>
      </c>
    </row>
    <row r="12" customFormat="false" ht="15" hidden="false" customHeight="false" outlineLevel="0" collapsed="false">
      <c r="A12" s="12" t="s">
        <v>629</v>
      </c>
      <c r="B12" s="12" t="s">
        <v>630</v>
      </c>
      <c r="C12" s="12" t="s">
        <v>631</v>
      </c>
      <c r="D12" s="12" t="s">
        <v>632</v>
      </c>
      <c r="E12" s="12" t="s">
        <v>565</v>
      </c>
      <c r="F12" s="12" t="s">
        <v>633</v>
      </c>
      <c r="G12" s="12" t="s">
        <v>545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9"/>
    <col collapsed="false" customWidth="true" hidden="false" outlineLevel="0" max="3" min="3" style="0" width="39"/>
    <col collapsed="false" customWidth="true" hidden="false" outlineLevel="0" max="4" min="4" style="0" width="41"/>
    <col collapsed="false" customWidth="true" hidden="false" outlineLevel="0" max="5" min="5" style="0" width="24"/>
    <col collapsed="false" customWidth="true" hidden="false" outlineLevel="0" max="6" min="6" style="0" width="31"/>
    <col collapsed="false" customWidth="true" hidden="false" outlineLevel="0" max="7" min="7" style="0" width="19"/>
  </cols>
  <sheetData>
    <row r="2" customFormat="false" ht="24" hidden="false" customHeight="true" outlineLevel="0" collapsed="false">
      <c r="A2" s="1" t="s">
        <v>634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533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534</v>
      </c>
      <c r="B6" s="6" t="s">
        <v>535</v>
      </c>
      <c r="C6" s="6" t="s">
        <v>498</v>
      </c>
      <c r="D6" s="6" t="s">
        <v>536</v>
      </c>
      <c r="E6" s="6" t="s">
        <v>537</v>
      </c>
      <c r="F6" s="6" t="s">
        <v>538</v>
      </c>
      <c r="G6" s="7" t="s">
        <v>539</v>
      </c>
    </row>
    <row r="7" customFormat="false" ht="15" hidden="false" customHeight="false" outlineLevel="0" collapsed="false">
      <c r="A7" s="8" t="s">
        <v>635</v>
      </c>
      <c r="B7" s="8" t="s">
        <v>636</v>
      </c>
      <c r="C7" s="8" t="s">
        <v>637</v>
      </c>
      <c r="D7" s="8" t="s">
        <v>638</v>
      </c>
      <c r="E7" s="8" t="s">
        <v>416</v>
      </c>
      <c r="F7" s="8" t="s">
        <v>639</v>
      </c>
      <c r="G7" s="8" t="s">
        <v>545</v>
      </c>
    </row>
    <row r="8" customFormat="false" ht="15" hidden="false" customHeight="false" outlineLevel="0" collapsed="false">
      <c r="A8" s="9" t="s">
        <v>640</v>
      </c>
      <c r="B8" s="9" t="s">
        <v>641</v>
      </c>
      <c r="C8" s="9" t="s">
        <v>642</v>
      </c>
      <c r="D8" s="9" t="s">
        <v>643</v>
      </c>
      <c r="E8" s="9" t="s">
        <v>416</v>
      </c>
      <c r="F8" s="9" t="s">
        <v>644</v>
      </c>
      <c r="G8" s="9" t="s">
        <v>545</v>
      </c>
    </row>
    <row r="9" customFormat="false" ht="15" hidden="false" customHeight="false" outlineLevel="0" collapsed="false">
      <c r="A9" s="9" t="s">
        <v>645</v>
      </c>
      <c r="B9" s="9" t="s">
        <v>646</v>
      </c>
      <c r="C9" s="9" t="s">
        <v>647</v>
      </c>
      <c r="D9" s="9" t="s">
        <v>648</v>
      </c>
      <c r="E9" s="9" t="s">
        <v>416</v>
      </c>
      <c r="F9" s="9" t="s">
        <v>649</v>
      </c>
      <c r="G9" s="9" t="s">
        <v>545</v>
      </c>
    </row>
    <row r="10" customFormat="false" ht="15" hidden="false" customHeight="false" outlineLevel="0" collapsed="false">
      <c r="A10" s="9" t="s">
        <v>650</v>
      </c>
      <c r="B10" s="9" t="s">
        <v>651</v>
      </c>
      <c r="C10" s="9" t="s">
        <v>652</v>
      </c>
      <c r="D10" s="9" t="s">
        <v>653</v>
      </c>
      <c r="E10" s="9" t="s">
        <v>416</v>
      </c>
      <c r="F10" s="9" t="s">
        <v>654</v>
      </c>
      <c r="G10" s="9" t="s">
        <v>545</v>
      </c>
    </row>
    <row r="11" customFormat="false" ht="15" hidden="false" customHeight="false" outlineLevel="0" collapsed="false">
      <c r="A11" s="9" t="s">
        <v>655</v>
      </c>
      <c r="B11" s="9" t="s">
        <v>656</v>
      </c>
      <c r="C11" s="9" t="s">
        <v>657</v>
      </c>
      <c r="D11" s="9" t="s">
        <v>658</v>
      </c>
      <c r="E11" s="9" t="s">
        <v>416</v>
      </c>
      <c r="F11" s="9" t="s">
        <v>659</v>
      </c>
      <c r="G11" s="9" t="s">
        <v>545</v>
      </c>
    </row>
    <row r="12" customFormat="false" ht="15" hidden="false" customHeight="false" outlineLevel="0" collapsed="false">
      <c r="A12" s="12" t="s">
        <v>660</v>
      </c>
      <c r="B12" s="12" t="s">
        <v>661</v>
      </c>
      <c r="C12" s="12" t="s">
        <v>662</v>
      </c>
      <c r="D12" s="12" t="s">
        <v>663</v>
      </c>
      <c r="E12" s="12" t="s">
        <v>416</v>
      </c>
      <c r="F12" s="12" t="s">
        <v>664</v>
      </c>
      <c r="G12" s="12" t="s">
        <v>545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9"/>
    <col collapsed="false" customWidth="true" hidden="false" outlineLevel="0" max="3" min="3" style="0" width="39"/>
    <col collapsed="false" customWidth="true" hidden="false" outlineLevel="0" max="4" min="4" style="0" width="41"/>
    <col collapsed="false" customWidth="true" hidden="false" outlineLevel="0" max="5" min="5" style="0" width="24"/>
    <col collapsed="false" customWidth="true" hidden="false" outlineLevel="0" max="6" min="6" style="0" width="31"/>
    <col collapsed="false" customWidth="true" hidden="false" outlineLevel="0" max="7" min="7" style="0" width="19"/>
  </cols>
  <sheetData>
    <row r="2" customFormat="false" ht="24" hidden="false" customHeight="true" outlineLevel="0" collapsed="false">
      <c r="A2" s="1" t="s">
        <v>665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533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534</v>
      </c>
      <c r="B6" s="6" t="s">
        <v>535</v>
      </c>
      <c r="C6" s="6" t="s">
        <v>498</v>
      </c>
      <c r="D6" s="6" t="s">
        <v>536</v>
      </c>
      <c r="E6" s="6" t="s">
        <v>537</v>
      </c>
      <c r="F6" s="6" t="s">
        <v>538</v>
      </c>
      <c r="G6" s="7" t="s">
        <v>539</v>
      </c>
    </row>
    <row r="7" customFormat="false" ht="15" hidden="false" customHeight="false" outlineLevel="0" collapsed="false">
      <c r="A7" s="8" t="s">
        <v>666</v>
      </c>
      <c r="B7" s="8" t="s">
        <v>667</v>
      </c>
      <c r="C7" s="8" t="s">
        <v>668</v>
      </c>
      <c r="D7" s="8" t="s">
        <v>669</v>
      </c>
      <c r="E7" s="8" t="s">
        <v>416</v>
      </c>
      <c r="F7" s="8" t="s">
        <v>670</v>
      </c>
      <c r="G7" s="8" t="s">
        <v>545</v>
      </c>
    </row>
    <row r="8" customFormat="false" ht="15" hidden="false" customHeight="false" outlineLevel="0" collapsed="false">
      <c r="A8" s="9" t="s">
        <v>671</v>
      </c>
      <c r="B8" s="9" t="s">
        <v>672</v>
      </c>
      <c r="C8" s="9" t="s">
        <v>673</v>
      </c>
      <c r="D8" s="9" t="s">
        <v>674</v>
      </c>
      <c r="E8" s="9" t="s">
        <v>565</v>
      </c>
      <c r="F8" s="9" t="s">
        <v>675</v>
      </c>
      <c r="G8" s="9" t="s">
        <v>545</v>
      </c>
    </row>
    <row r="9" customFormat="false" ht="15" hidden="false" customHeight="false" outlineLevel="0" collapsed="false">
      <c r="A9" s="9" t="s">
        <v>676</v>
      </c>
      <c r="B9" s="9" t="s">
        <v>677</v>
      </c>
      <c r="C9" s="9" t="s">
        <v>678</v>
      </c>
      <c r="D9" s="9" t="s">
        <v>679</v>
      </c>
      <c r="E9" s="9" t="s">
        <v>416</v>
      </c>
      <c r="F9" s="9" t="s">
        <v>680</v>
      </c>
      <c r="G9" s="9" t="s">
        <v>545</v>
      </c>
    </row>
    <row r="10" customFormat="false" ht="15" hidden="false" customHeight="false" outlineLevel="0" collapsed="false">
      <c r="A10" s="9" t="s">
        <v>681</v>
      </c>
      <c r="B10" s="9" t="s">
        <v>682</v>
      </c>
      <c r="C10" s="9" t="s">
        <v>683</v>
      </c>
      <c r="D10" s="9" t="s">
        <v>684</v>
      </c>
      <c r="E10" s="9" t="s">
        <v>416</v>
      </c>
      <c r="F10" s="9" t="s">
        <v>685</v>
      </c>
      <c r="G10" s="9" t="s">
        <v>545</v>
      </c>
    </row>
    <row r="11" customFormat="false" ht="15" hidden="false" customHeight="false" outlineLevel="0" collapsed="false">
      <c r="A11" s="9" t="s">
        <v>686</v>
      </c>
      <c r="B11" s="9" t="s">
        <v>687</v>
      </c>
      <c r="C11" s="9" t="s">
        <v>688</v>
      </c>
      <c r="D11" s="9" t="s">
        <v>689</v>
      </c>
      <c r="E11" s="9" t="s">
        <v>416</v>
      </c>
      <c r="F11" s="9" t="s">
        <v>690</v>
      </c>
      <c r="G11" s="9" t="s">
        <v>545</v>
      </c>
    </row>
    <row r="12" customFormat="false" ht="15" hidden="false" customHeight="false" outlineLevel="0" collapsed="false">
      <c r="A12" s="12" t="s">
        <v>691</v>
      </c>
      <c r="B12" s="12" t="s">
        <v>692</v>
      </c>
      <c r="C12" s="12" t="s">
        <v>693</v>
      </c>
      <c r="D12" s="12" t="s">
        <v>632</v>
      </c>
      <c r="E12" s="12" t="s">
        <v>565</v>
      </c>
      <c r="F12" s="12" t="s">
        <v>694</v>
      </c>
      <c r="G12" s="12" t="s">
        <v>545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9"/>
    <col collapsed="false" customWidth="true" hidden="false" outlineLevel="0" max="3" min="3" style="0" width="39"/>
    <col collapsed="false" customWidth="true" hidden="false" outlineLevel="0" max="4" min="4" style="0" width="41"/>
    <col collapsed="false" customWidth="true" hidden="false" outlineLevel="0" max="5" min="5" style="0" width="24"/>
    <col collapsed="false" customWidth="true" hidden="false" outlineLevel="0" max="6" min="6" style="0" width="31"/>
    <col collapsed="false" customWidth="true" hidden="false" outlineLevel="0" max="7" min="7" style="0" width="19"/>
  </cols>
  <sheetData>
    <row r="2" customFormat="false" ht="24" hidden="false" customHeight="true" outlineLevel="0" collapsed="false">
      <c r="A2" s="1" t="s">
        <v>695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533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534</v>
      </c>
      <c r="B6" s="6" t="s">
        <v>535</v>
      </c>
      <c r="C6" s="6" t="s">
        <v>498</v>
      </c>
      <c r="D6" s="6" t="s">
        <v>536</v>
      </c>
      <c r="E6" s="6" t="s">
        <v>537</v>
      </c>
      <c r="F6" s="6" t="s">
        <v>538</v>
      </c>
      <c r="G6" s="7" t="s">
        <v>539</v>
      </c>
    </row>
    <row r="7" customFormat="false" ht="15" hidden="false" customHeight="false" outlineLevel="0" collapsed="false">
      <c r="A7" s="8" t="s">
        <v>696</v>
      </c>
      <c r="B7" s="8" t="s">
        <v>697</v>
      </c>
      <c r="C7" s="8" t="s">
        <v>698</v>
      </c>
      <c r="D7" s="8" t="s">
        <v>699</v>
      </c>
      <c r="E7" s="8" t="s">
        <v>565</v>
      </c>
      <c r="F7" s="8" t="s">
        <v>700</v>
      </c>
      <c r="G7" s="8" t="s">
        <v>545</v>
      </c>
    </row>
    <row r="8" customFormat="false" ht="15" hidden="false" customHeight="false" outlineLevel="0" collapsed="false">
      <c r="A8" s="9" t="s">
        <v>701</v>
      </c>
      <c r="B8" s="9" t="s">
        <v>702</v>
      </c>
      <c r="C8" s="9" t="s">
        <v>703</v>
      </c>
      <c r="D8" s="9" t="s">
        <v>704</v>
      </c>
      <c r="E8" s="9" t="s">
        <v>416</v>
      </c>
      <c r="F8" s="9" t="s">
        <v>705</v>
      </c>
      <c r="G8" s="9" t="s">
        <v>545</v>
      </c>
    </row>
    <row r="9" customFormat="false" ht="15" hidden="false" customHeight="false" outlineLevel="0" collapsed="false">
      <c r="A9" s="9" t="s">
        <v>706</v>
      </c>
      <c r="B9" s="9" t="s">
        <v>707</v>
      </c>
      <c r="C9" s="9" t="s">
        <v>708</v>
      </c>
      <c r="D9" s="9" t="s">
        <v>709</v>
      </c>
      <c r="E9" s="9" t="s">
        <v>416</v>
      </c>
      <c r="F9" s="9" t="s">
        <v>710</v>
      </c>
      <c r="G9" s="9" t="s">
        <v>545</v>
      </c>
    </row>
    <row r="10" customFormat="false" ht="15" hidden="false" customHeight="false" outlineLevel="0" collapsed="false">
      <c r="A10" s="9" t="s">
        <v>711</v>
      </c>
      <c r="B10" s="9" t="s">
        <v>712</v>
      </c>
      <c r="C10" s="9" t="s">
        <v>713</v>
      </c>
      <c r="D10" s="9" t="s">
        <v>714</v>
      </c>
      <c r="E10" s="9" t="s">
        <v>416</v>
      </c>
      <c r="F10" s="9" t="s">
        <v>715</v>
      </c>
      <c r="G10" s="9" t="s">
        <v>545</v>
      </c>
    </row>
    <row r="11" customFormat="false" ht="15" hidden="false" customHeight="false" outlineLevel="0" collapsed="false">
      <c r="A11" s="9" t="s">
        <v>716</v>
      </c>
      <c r="B11" s="9" t="s">
        <v>717</v>
      </c>
      <c r="C11" s="9" t="s">
        <v>718</v>
      </c>
      <c r="D11" s="9" t="s">
        <v>719</v>
      </c>
      <c r="E11" s="9" t="s">
        <v>416</v>
      </c>
      <c r="F11" s="9" t="s">
        <v>720</v>
      </c>
      <c r="G11" s="9" t="s">
        <v>545</v>
      </c>
    </row>
    <row r="12" customFormat="false" ht="15" hidden="false" customHeight="false" outlineLevel="0" collapsed="false">
      <c r="A12" s="12" t="s">
        <v>721</v>
      </c>
      <c r="B12" s="12" t="s">
        <v>722</v>
      </c>
      <c r="C12" s="12" t="s">
        <v>723</v>
      </c>
      <c r="D12" s="12" t="s">
        <v>724</v>
      </c>
      <c r="E12" s="12" t="s">
        <v>416</v>
      </c>
      <c r="F12" s="12" t="s">
        <v>725</v>
      </c>
      <c r="G12" s="12" t="s">
        <v>545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9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1"/>
    <col collapsed="false" customWidth="true" hidden="false" outlineLevel="0" max="6" min="6" style="0" width="52"/>
    <col collapsed="false" customWidth="true" hidden="false" outlineLevel="0" max="7" min="7" style="0" width="18"/>
  </cols>
  <sheetData>
    <row r="2" customFormat="false" ht="24" hidden="false" customHeight="true" outlineLevel="0" collapsed="false">
      <c r="A2" s="1" t="s">
        <v>726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727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728</v>
      </c>
      <c r="B6" s="6" t="s">
        <v>729</v>
      </c>
      <c r="C6" s="6" t="s">
        <v>730</v>
      </c>
      <c r="D6" s="6" t="s">
        <v>731</v>
      </c>
      <c r="E6" s="6" t="s">
        <v>732</v>
      </c>
      <c r="F6" s="6" t="s">
        <v>733</v>
      </c>
      <c r="G6" s="7" t="s">
        <v>734</v>
      </c>
    </row>
    <row r="7" customFormat="false" ht="15" hidden="false" customHeight="false" outlineLevel="0" collapsed="false">
      <c r="A7" s="8" t="s">
        <v>735</v>
      </c>
      <c r="B7" s="8" t="s">
        <v>736</v>
      </c>
      <c r="C7" s="8" t="s">
        <v>416</v>
      </c>
      <c r="D7" s="8" t="s">
        <v>416</v>
      </c>
      <c r="E7" s="8" t="s">
        <v>416</v>
      </c>
      <c r="F7" s="8" t="s">
        <v>737</v>
      </c>
      <c r="G7" s="8" t="s">
        <v>69</v>
      </c>
    </row>
    <row r="8" customFormat="false" ht="15" hidden="false" customHeight="false" outlineLevel="0" collapsed="false">
      <c r="A8" s="9" t="s">
        <v>738</v>
      </c>
      <c r="B8" s="9" t="s">
        <v>739</v>
      </c>
      <c r="C8" s="9" t="s">
        <v>416</v>
      </c>
      <c r="D8" s="9" t="s">
        <v>416</v>
      </c>
      <c r="E8" s="9" t="s">
        <v>416</v>
      </c>
      <c r="F8" s="9" t="s">
        <v>740</v>
      </c>
      <c r="G8" s="9" t="s">
        <v>741</v>
      </c>
    </row>
    <row r="9" customFormat="false" ht="15" hidden="false" customHeight="false" outlineLevel="0" collapsed="false">
      <c r="A9" s="9" t="s">
        <v>742</v>
      </c>
      <c r="B9" s="9" t="s">
        <v>416</v>
      </c>
      <c r="C9" s="9" t="s">
        <v>736</v>
      </c>
      <c r="D9" s="9" t="s">
        <v>736</v>
      </c>
      <c r="E9" s="9" t="s">
        <v>736</v>
      </c>
      <c r="F9" s="9" t="s">
        <v>743</v>
      </c>
      <c r="G9" s="9" t="s">
        <v>744</v>
      </c>
    </row>
    <row r="10" customFormat="false" ht="15" hidden="false" customHeight="false" outlineLevel="0" collapsed="false">
      <c r="A10" s="9" t="s">
        <v>745</v>
      </c>
      <c r="B10" s="9" t="s">
        <v>416</v>
      </c>
      <c r="C10" s="9" t="s">
        <v>736</v>
      </c>
      <c r="D10" s="9" t="s">
        <v>736</v>
      </c>
      <c r="E10" s="9" t="s">
        <v>736</v>
      </c>
      <c r="F10" s="9" t="s">
        <v>746</v>
      </c>
      <c r="G10" s="9" t="s">
        <v>744</v>
      </c>
    </row>
    <row r="11" customFormat="false" ht="15" hidden="false" customHeight="false" outlineLevel="0" collapsed="false">
      <c r="A11" s="9" t="s">
        <v>747</v>
      </c>
      <c r="B11" s="9" t="s">
        <v>416</v>
      </c>
      <c r="C11" s="9" t="s">
        <v>736</v>
      </c>
      <c r="D11" s="9" t="s">
        <v>736</v>
      </c>
      <c r="E11" s="9" t="s">
        <v>736</v>
      </c>
      <c r="F11" s="9" t="s">
        <v>748</v>
      </c>
      <c r="G11" s="9" t="s">
        <v>744</v>
      </c>
    </row>
    <row r="12" customFormat="false" ht="15" hidden="false" customHeight="false" outlineLevel="0" collapsed="false">
      <c r="A12" s="9" t="s">
        <v>749</v>
      </c>
      <c r="B12" s="9" t="s">
        <v>416</v>
      </c>
      <c r="C12" s="9" t="s">
        <v>736</v>
      </c>
      <c r="D12" s="9" t="s">
        <v>736</v>
      </c>
      <c r="E12" s="9" t="s">
        <v>736</v>
      </c>
      <c r="F12" s="9" t="s">
        <v>750</v>
      </c>
      <c r="G12" s="9" t="s">
        <v>751</v>
      </c>
    </row>
    <row r="13" customFormat="false" ht="15" hidden="false" customHeight="false" outlineLevel="0" collapsed="false">
      <c r="A13" s="9" t="s">
        <v>752</v>
      </c>
      <c r="B13" s="9" t="s">
        <v>416</v>
      </c>
      <c r="C13" s="9" t="s">
        <v>736</v>
      </c>
      <c r="D13" s="9" t="s">
        <v>736</v>
      </c>
      <c r="E13" s="9" t="s">
        <v>736</v>
      </c>
      <c r="F13" s="9" t="s">
        <v>753</v>
      </c>
      <c r="G13" s="9" t="s">
        <v>744</v>
      </c>
    </row>
    <row r="14" customFormat="false" ht="15" hidden="false" customHeight="false" outlineLevel="0" collapsed="false">
      <c r="A14" s="9" t="s">
        <v>754</v>
      </c>
      <c r="B14" s="9" t="s">
        <v>416</v>
      </c>
      <c r="C14" s="9" t="s">
        <v>736</v>
      </c>
      <c r="D14" s="9" t="s">
        <v>736</v>
      </c>
      <c r="E14" s="9" t="s">
        <v>736</v>
      </c>
      <c r="F14" s="9" t="s">
        <v>755</v>
      </c>
      <c r="G14" s="9" t="s">
        <v>744</v>
      </c>
    </row>
    <row r="15" customFormat="false" ht="15" hidden="false" customHeight="false" outlineLevel="0" collapsed="false">
      <c r="A15" s="9" t="s">
        <v>756</v>
      </c>
      <c r="B15" s="9" t="s">
        <v>416</v>
      </c>
      <c r="C15" s="9" t="s">
        <v>736</v>
      </c>
      <c r="D15" s="9" t="s">
        <v>736</v>
      </c>
      <c r="E15" s="9" t="s">
        <v>736</v>
      </c>
      <c r="F15" s="9" t="s">
        <v>757</v>
      </c>
      <c r="G15" s="9" t="s">
        <v>744</v>
      </c>
    </row>
    <row r="16" customFormat="false" ht="15" hidden="false" customHeight="false" outlineLevel="0" collapsed="false">
      <c r="A16" s="9" t="s">
        <v>758</v>
      </c>
      <c r="B16" s="9" t="s">
        <v>416</v>
      </c>
      <c r="C16" s="9" t="s">
        <v>736</v>
      </c>
      <c r="D16" s="9" t="s">
        <v>736</v>
      </c>
      <c r="E16" s="9" t="s">
        <v>736</v>
      </c>
      <c r="F16" s="9" t="s">
        <v>759</v>
      </c>
      <c r="G16" s="9" t="s">
        <v>751</v>
      </c>
    </row>
    <row r="17" customFormat="false" ht="15" hidden="false" customHeight="false" outlineLevel="0" collapsed="false">
      <c r="A17" s="9" t="s">
        <v>760</v>
      </c>
      <c r="B17" s="9" t="s">
        <v>416</v>
      </c>
      <c r="C17" s="9" t="s">
        <v>736</v>
      </c>
      <c r="D17" s="9" t="s">
        <v>736</v>
      </c>
      <c r="E17" s="9" t="s">
        <v>736</v>
      </c>
      <c r="F17" s="9" t="s">
        <v>761</v>
      </c>
      <c r="G17" s="9" t="s">
        <v>751</v>
      </c>
    </row>
    <row r="18" customFormat="false" ht="15" hidden="false" customHeight="false" outlineLevel="0" collapsed="false">
      <c r="A18" s="12" t="s">
        <v>762</v>
      </c>
      <c r="B18" s="12" t="s">
        <v>416</v>
      </c>
      <c r="C18" s="12" t="s">
        <v>736</v>
      </c>
      <c r="D18" s="12" t="s">
        <v>736</v>
      </c>
      <c r="E18" s="12" t="s">
        <v>736</v>
      </c>
      <c r="F18" s="12" t="s">
        <v>763</v>
      </c>
      <c r="G18" s="12" t="s">
        <v>744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49"/>
    <col collapsed="false" customWidth="true" hidden="false" outlineLevel="0" max="5" min="5" style="0" width="51"/>
    <col collapsed="false" customWidth="true" hidden="false" outlineLevel="0" max="6" min="6" style="0" width="43"/>
    <col collapsed="false" customWidth="true" hidden="false" outlineLevel="0" max="7" min="7" style="0" width="25"/>
  </cols>
  <sheetData>
    <row r="2" customFormat="false" ht="24" hidden="false" customHeight="true" outlineLevel="0" collapsed="false">
      <c r="A2" s="1" t="s">
        <v>764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765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159</v>
      </c>
      <c r="B6" s="6" t="s">
        <v>217</v>
      </c>
      <c r="C6" s="6" t="s">
        <v>218</v>
      </c>
      <c r="D6" s="6" t="s">
        <v>766</v>
      </c>
      <c r="E6" s="6" t="s">
        <v>767</v>
      </c>
      <c r="F6" s="6" t="s">
        <v>768</v>
      </c>
      <c r="G6" s="7" t="s">
        <v>769</v>
      </c>
    </row>
    <row r="7" customFormat="false" ht="15" hidden="false" customHeight="false" outlineLevel="0" collapsed="false">
      <c r="A7" s="8" t="s">
        <v>770</v>
      </c>
      <c r="B7" s="8" t="s">
        <v>230</v>
      </c>
      <c r="C7" s="8" t="s">
        <v>231</v>
      </c>
      <c r="D7" s="8" t="s">
        <v>771</v>
      </c>
      <c r="E7" s="8" t="s">
        <v>772</v>
      </c>
      <c r="F7" s="8" t="s">
        <v>773</v>
      </c>
      <c r="G7" s="8" t="s">
        <v>235</v>
      </c>
    </row>
    <row r="8" customFormat="false" ht="15" hidden="false" customHeight="false" outlineLevel="0" collapsed="false">
      <c r="A8" s="9" t="s">
        <v>774</v>
      </c>
      <c r="B8" s="9" t="s">
        <v>230</v>
      </c>
      <c r="C8" s="9" t="s">
        <v>231</v>
      </c>
      <c r="D8" s="9" t="s">
        <v>775</v>
      </c>
      <c r="E8" s="9" t="s">
        <v>776</v>
      </c>
      <c r="F8" s="9" t="s">
        <v>777</v>
      </c>
      <c r="G8" s="9" t="s">
        <v>235</v>
      </c>
    </row>
    <row r="9" customFormat="false" ht="15" hidden="false" customHeight="false" outlineLevel="0" collapsed="false">
      <c r="A9" s="9" t="s">
        <v>778</v>
      </c>
      <c r="B9" s="9" t="s">
        <v>230</v>
      </c>
      <c r="C9" s="9" t="s">
        <v>231</v>
      </c>
      <c r="D9" s="9" t="s">
        <v>779</v>
      </c>
      <c r="E9" s="9" t="s">
        <v>780</v>
      </c>
      <c r="F9" s="9" t="s">
        <v>781</v>
      </c>
      <c r="G9" s="9" t="s">
        <v>235</v>
      </c>
    </row>
    <row r="10" customFormat="false" ht="15" hidden="false" customHeight="false" outlineLevel="0" collapsed="false">
      <c r="A10" s="9" t="s">
        <v>782</v>
      </c>
      <c r="B10" s="9" t="s">
        <v>245</v>
      </c>
      <c r="C10" s="9" t="s">
        <v>246</v>
      </c>
      <c r="D10" s="9" t="s">
        <v>783</v>
      </c>
      <c r="E10" s="9" t="s">
        <v>784</v>
      </c>
      <c r="F10" s="9" t="s">
        <v>785</v>
      </c>
      <c r="G10" s="9" t="s">
        <v>235</v>
      </c>
    </row>
    <row r="11" customFormat="false" ht="15" hidden="false" customHeight="false" outlineLevel="0" collapsed="false">
      <c r="A11" s="9" t="s">
        <v>786</v>
      </c>
      <c r="B11" s="9" t="s">
        <v>245</v>
      </c>
      <c r="C11" s="9" t="s">
        <v>246</v>
      </c>
      <c r="D11" s="9" t="s">
        <v>787</v>
      </c>
      <c r="E11" s="9" t="s">
        <v>788</v>
      </c>
      <c r="F11" s="9" t="s">
        <v>789</v>
      </c>
      <c r="G11" s="9" t="s">
        <v>235</v>
      </c>
    </row>
    <row r="12" customFormat="false" ht="15" hidden="false" customHeight="false" outlineLevel="0" collapsed="false">
      <c r="A12" s="9" t="s">
        <v>790</v>
      </c>
      <c r="B12" s="9" t="s">
        <v>245</v>
      </c>
      <c r="C12" s="9" t="s">
        <v>246</v>
      </c>
      <c r="D12" s="9" t="s">
        <v>791</v>
      </c>
      <c r="E12" s="9" t="s">
        <v>792</v>
      </c>
      <c r="F12" s="9" t="s">
        <v>793</v>
      </c>
      <c r="G12" s="9" t="s">
        <v>235</v>
      </c>
    </row>
    <row r="13" customFormat="false" ht="15" hidden="false" customHeight="false" outlineLevel="0" collapsed="false">
      <c r="A13" s="9" t="s">
        <v>794</v>
      </c>
      <c r="B13" s="9" t="s">
        <v>250</v>
      </c>
      <c r="C13" s="9" t="s">
        <v>251</v>
      </c>
      <c r="D13" s="9" t="s">
        <v>795</v>
      </c>
      <c r="E13" s="9" t="s">
        <v>796</v>
      </c>
      <c r="F13" s="9" t="s">
        <v>797</v>
      </c>
      <c r="G13" s="9" t="s">
        <v>235</v>
      </c>
    </row>
    <row r="14" customFormat="false" ht="15" hidden="false" customHeight="false" outlineLevel="0" collapsed="false">
      <c r="A14" s="9" t="s">
        <v>798</v>
      </c>
      <c r="B14" s="9" t="s">
        <v>250</v>
      </c>
      <c r="C14" s="9" t="s">
        <v>251</v>
      </c>
      <c r="D14" s="9" t="s">
        <v>799</v>
      </c>
      <c r="E14" s="9" t="s">
        <v>800</v>
      </c>
      <c r="F14" s="9" t="s">
        <v>801</v>
      </c>
      <c r="G14" s="9" t="s">
        <v>235</v>
      </c>
    </row>
    <row r="15" customFormat="false" ht="15" hidden="false" customHeight="false" outlineLevel="0" collapsed="false">
      <c r="A15" s="9" t="s">
        <v>802</v>
      </c>
      <c r="B15" s="9" t="s">
        <v>250</v>
      </c>
      <c r="C15" s="9" t="s">
        <v>251</v>
      </c>
      <c r="D15" s="9" t="s">
        <v>803</v>
      </c>
      <c r="E15" s="9" t="s">
        <v>804</v>
      </c>
      <c r="F15" s="9" t="s">
        <v>805</v>
      </c>
      <c r="G15" s="9" t="s">
        <v>235</v>
      </c>
    </row>
    <row r="16" customFormat="false" ht="15" hidden="false" customHeight="false" outlineLevel="0" collapsed="false">
      <c r="A16" s="9" t="s">
        <v>806</v>
      </c>
      <c r="B16" s="9" t="s">
        <v>255</v>
      </c>
      <c r="C16" s="9" t="s">
        <v>256</v>
      </c>
      <c r="D16" s="9" t="s">
        <v>807</v>
      </c>
      <c r="E16" s="9" t="s">
        <v>808</v>
      </c>
      <c r="F16" s="9" t="s">
        <v>809</v>
      </c>
      <c r="G16" s="9" t="s">
        <v>235</v>
      </c>
    </row>
    <row r="17" customFormat="false" ht="15" hidden="false" customHeight="false" outlineLevel="0" collapsed="false">
      <c r="A17" s="9" t="s">
        <v>810</v>
      </c>
      <c r="B17" s="9" t="s">
        <v>255</v>
      </c>
      <c r="C17" s="9" t="s">
        <v>256</v>
      </c>
      <c r="D17" s="9" t="s">
        <v>811</v>
      </c>
      <c r="E17" s="9" t="s">
        <v>812</v>
      </c>
      <c r="F17" s="9" t="s">
        <v>813</v>
      </c>
      <c r="G17" s="9" t="s">
        <v>235</v>
      </c>
    </row>
    <row r="18" customFormat="false" ht="15" hidden="false" customHeight="false" outlineLevel="0" collapsed="false">
      <c r="A18" s="9" t="s">
        <v>814</v>
      </c>
      <c r="B18" s="9" t="s">
        <v>255</v>
      </c>
      <c r="C18" s="9" t="s">
        <v>256</v>
      </c>
      <c r="D18" s="9" t="s">
        <v>815</v>
      </c>
      <c r="E18" s="9" t="s">
        <v>816</v>
      </c>
      <c r="F18" s="9" t="s">
        <v>817</v>
      </c>
      <c r="G18" s="9" t="s">
        <v>235</v>
      </c>
    </row>
    <row r="19" customFormat="false" ht="15" hidden="false" customHeight="false" outlineLevel="0" collapsed="false">
      <c r="A19" s="9" t="s">
        <v>818</v>
      </c>
      <c r="B19" s="9" t="s">
        <v>260</v>
      </c>
      <c r="C19" s="9" t="s">
        <v>261</v>
      </c>
      <c r="D19" s="9" t="s">
        <v>819</v>
      </c>
      <c r="E19" s="9" t="s">
        <v>820</v>
      </c>
      <c r="F19" s="9" t="s">
        <v>821</v>
      </c>
      <c r="G19" s="9" t="s">
        <v>235</v>
      </c>
    </row>
    <row r="20" customFormat="false" ht="15" hidden="false" customHeight="false" outlineLevel="0" collapsed="false">
      <c r="A20" s="9" t="s">
        <v>822</v>
      </c>
      <c r="B20" s="9" t="s">
        <v>260</v>
      </c>
      <c r="C20" s="9" t="s">
        <v>261</v>
      </c>
      <c r="D20" s="9" t="s">
        <v>823</v>
      </c>
      <c r="E20" s="9" t="s">
        <v>824</v>
      </c>
      <c r="F20" s="9" t="s">
        <v>825</v>
      </c>
      <c r="G20" s="9" t="s">
        <v>235</v>
      </c>
    </row>
    <row r="21" customFormat="false" ht="15" hidden="false" customHeight="false" outlineLevel="0" collapsed="false">
      <c r="A21" s="9" t="s">
        <v>826</v>
      </c>
      <c r="B21" s="9" t="s">
        <v>260</v>
      </c>
      <c r="C21" s="9" t="s">
        <v>261</v>
      </c>
      <c r="D21" s="9" t="s">
        <v>827</v>
      </c>
      <c r="E21" s="9" t="s">
        <v>828</v>
      </c>
      <c r="F21" s="9" t="s">
        <v>829</v>
      </c>
      <c r="G21" s="9" t="s">
        <v>235</v>
      </c>
    </row>
    <row r="22" customFormat="false" ht="15" hidden="false" customHeight="false" outlineLevel="0" collapsed="false">
      <c r="A22" s="9" t="s">
        <v>830</v>
      </c>
      <c r="B22" s="9" t="s">
        <v>265</v>
      </c>
      <c r="C22" s="9" t="s">
        <v>266</v>
      </c>
      <c r="D22" s="9" t="s">
        <v>831</v>
      </c>
      <c r="E22" s="9" t="s">
        <v>832</v>
      </c>
      <c r="F22" s="9" t="s">
        <v>833</v>
      </c>
      <c r="G22" s="9" t="s">
        <v>235</v>
      </c>
    </row>
    <row r="23" customFormat="false" ht="15" hidden="false" customHeight="false" outlineLevel="0" collapsed="false">
      <c r="A23" s="9" t="s">
        <v>834</v>
      </c>
      <c r="B23" s="9" t="s">
        <v>265</v>
      </c>
      <c r="C23" s="9" t="s">
        <v>266</v>
      </c>
      <c r="D23" s="9" t="s">
        <v>835</v>
      </c>
      <c r="E23" s="9" t="s">
        <v>836</v>
      </c>
      <c r="F23" s="9" t="s">
        <v>837</v>
      </c>
      <c r="G23" s="9" t="s">
        <v>235</v>
      </c>
    </row>
    <row r="24" customFormat="false" ht="15" hidden="false" customHeight="false" outlineLevel="0" collapsed="false">
      <c r="A24" s="12" t="s">
        <v>838</v>
      </c>
      <c r="B24" s="12" t="s">
        <v>265</v>
      </c>
      <c r="C24" s="12" t="s">
        <v>266</v>
      </c>
      <c r="D24" s="12" t="s">
        <v>839</v>
      </c>
      <c r="E24" s="12" t="s">
        <v>840</v>
      </c>
      <c r="F24" s="12" t="s">
        <v>841</v>
      </c>
      <c r="G24" s="12" t="s">
        <v>235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6" min="5" style="0" width="20"/>
    <col collapsed="false" customWidth="true" hidden="false" outlineLevel="0" max="7" min="7" style="0" width="22"/>
    <col collapsed="false" customWidth="true" hidden="false" outlineLevel="0" max="10" min="8" style="0" width="16"/>
  </cols>
  <sheetData>
    <row r="2" customFormat="false" ht="24" hidden="false" customHeight="true" outlineLevel="0" collapsed="false">
      <c r="A2" s="1" t="s">
        <v>842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843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6" customFormat="false" ht="23" hidden="false" customHeight="true" outlineLevel="0" collapsed="false">
      <c r="A6" s="5" t="s">
        <v>844</v>
      </c>
      <c r="B6" s="6" t="s">
        <v>845</v>
      </c>
      <c r="C6" s="6" t="s">
        <v>846</v>
      </c>
      <c r="D6" s="6" t="s">
        <v>847</v>
      </c>
      <c r="E6" s="6" t="s">
        <v>848</v>
      </c>
      <c r="F6" s="7" t="s">
        <v>849</v>
      </c>
      <c r="G6" s="4"/>
      <c r="H6" s="4"/>
      <c r="I6" s="4"/>
      <c r="J6" s="4"/>
    </row>
    <row r="7" customFormat="false" ht="15" hidden="false" customHeight="false" outlineLevel="0" collapsed="false">
      <c r="A7" s="8" t="s">
        <v>850</v>
      </c>
      <c r="B7" s="36" t="n">
        <v>1.5</v>
      </c>
      <c r="C7" s="31" t="n">
        <f aca="false">B7/Controls!B9</f>
        <v>0.25</v>
      </c>
      <c r="D7" s="31" t="n">
        <f aca="false">B7/(Controls!B9*Controls!B10)</f>
        <v>0.0833333333333333</v>
      </c>
      <c r="E7" s="31" t="n">
        <f aca="false">B7/(Controls!B9*Controls!B10*Controls!B11)</f>
        <v>0.0208333333333333</v>
      </c>
      <c r="F7" s="31" t="n">
        <f aca="false">B7/(Controls!B9*Controls!B10*Controls!B11*Controls!B12)</f>
        <v>0.0104166666666667</v>
      </c>
      <c r="G7" s="4"/>
      <c r="H7" s="4"/>
      <c r="I7" s="4"/>
      <c r="J7" s="4"/>
    </row>
    <row r="8" customFormat="false" ht="15" hidden="false" customHeight="false" outlineLevel="0" collapsed="false">
      <c r="A8" s="9" t="s">
        <v>851</v>
      </c>
      <c r="B8" s="37" t="n">
        <v>4.2</v>
      </c>
      <c r="C8" s="32" t="n">
        <f aca="false">B8/Controls!B9</f>
        <v>0.7</v>
      </c>
      <c r="D8" s="32" t="n">
        <f aca="false">B8/(Controls!B9*Controls!B10)</f>
        <v>0.233333333333333</v>
      </c>
      <c r="E8" s="32" t="n">
        <f aca="false">B8/(Controls!B9*Controls!B10*Controls!B11)</f>
        <v>0.0583333333333333</v>
      </c>
      <c r="F8" s="32" t="n">
        <f aca="false">B8/(Controls!B9*Controls!B10*Controls!B11*Controls!B12)</f>
        <v>0.0291666666666667</v>
      </c>
      <c r="G8" s="4"/>
      <c r="H8" s="4"/>
      <c r="I8" s="4"/>
      <c r="J8" s="4"/>
    </row>
    <row r="9" customFormat="false" ht="15" hidden="false" customHeight="false" outlineLevel="0" collapsed="false">
      <c r="A9" s="9" t="s">
        <v>852</v>
      </c>
      <c r="B9" s="37" t="n">
        <v>1.8</v>
      </c>
      <c r="C9" s="32" t="n">
        <f aca="false">B9/Controls!B9</f>
        <v>0.3</v>
      </c>
      <c r="D9" s="32" t="n">
        <f aca="false">B9/(Controls!B9*Controls!B10)</f>
        <v>0.1</v>
      </c>
      <c r="E9" s="32" t="n">
        <f aca="false">B9/(Controls!B9*Controls!B10*Controls!B11)</f>
        <v>0.025</v>
      </c>
      <c r="F9" s="32" t="n">
        <f aca="false">B9/(Controls!B9*Controls!B10*Controls!B11*Controls!B12)</f>
        <v>0.0125</v>
      </c>
      <c r="G9" s="4"/>
      <c r="H9" s="4"/>
      <c r="I9" s="4"/>
      <c r="J9" s="4"/>
    </row>
    <row r="10" customFormat="false" ht="15" hidden="false" customHeight="false" outlineLevel="0" collapsed="false">
      <c r="A10" s="9" t="s">
        <v>853</v>
      </c>
      <c r="B10" s="37" t="n">
        <v>1.44</v>
      </c>
      <c r="C10" s="32" t="n">
        <f aca="false">B10/Controls!B9</f>
        <v>0.24</v>
      </c>
      <c r="D10" s="32" t="n">
        <f aca="false">B10/(Controls!B9*Controls!B10)</f>
        <v>0.08</v>
      </c>
      <c r="E10" s="32" t="n">
        <f aca="false">B10/(Controls!B9*Controls!B10*Controls!B11)</f>
        <v>0.02</v>
      </c>
      <c r="F10" s="32" t="n">
        <f aca="false">B10/(Controls!B9*Controls!B10*Controls!B11*Controls!B12)</f>
        <v>0.01</v>
      </c>
      <c r="G10" s="4"/>
      <c r="H10" s="4"/>
      <c r="I10" s="4"/>
      <c r="J10" s="4"/>
    </row>
    <row r="11" customFormat="false" ht="15" hidden="false" customHeight="false" outlineLevel="0" collapsed="false">
      <c r="A11" s="9" t="s">
        <v>854</v>
      </c>
      <c r="B11" s="37" t="n">
        <v>1.2</v>
      </c>
      <c r="C11" s="32" t="n">
        <f aca="false">B11/Controls!B9</f>
        <v>0.2</v>
      </c>
      <c r="D11" s="32" t="n">
        <f aca="false">B11/(Controls!B9*Controls!B10)</f>
        <v>0.0666666666666667</v>
      </c>
      <c r="E11" s="32" t="n">
        <f aca="false">B11/(Controls!B9*Controls!B10*Controls!B11)</f>
        <v>0.0166666666666667</v>
      </c>
      <c r="F11" s="32" t="n">
        <f aca="false">B11/(Controls!B9*Controls!B10*Controls!B11*Controls!B12)</f>
        <v>0.00833333333333333</v>
      </c>
      <c r="G11" s="4"/>
      <c r="H11" s="4"/>
      <c r="I11" s="4"/>
      <c r="J11" s="4"/>
    </row>
    <row r="12" customFormat="false" ht="15" hidden="false" customHeight="false" outlineLevel="0" collapsed="false">
      <c r="A12" s="9" t="s">
        <v>855</v>
      </c>
      <c r="B12" s="37" t="n">
        <v>0.72</v>
      </c>
      <c r="C12" s="32" t="n">
        <f aca="false">B12/Controls!B9</f>
        <v>0.12</v>
      </c>
      <c r="D12" s="32" t="n">
        <f aca="false">B12/(Controls!B9*Controls!B10)</f>
        <v>0.04</v>
      </c>
      <c r="E12" s="32" t="n">
        <f aca="false">B12/(Controls!B9*Controls!B10*Controls!B11)</f>
        <v>0.01</v>
      </c>
      <c r="F12" s="32" t="n">
        <f aca="false">B12/(Controls!B9*Controls!B10*Controls!B11*Controls!B12)</f>
        <v>0.005</v>
      </c>
      <c r="G12" s="4"/>
      <c r="H12" s="4"/>
      <c r="I12" s="4"/>
      <c r="J12" s="4"/>
    </row>
    <row r="13" customFormat="false" ht="15" hidden="false" customHeight="false" outlineLevel="0" collapsed="false">
      <c r="A13" s="9" t="s">
        <v>856</v>
      </c>
      <c r="B13" s="37" t="n">
        <v>0.54</v>
      </c>
      <c r="C13" s="32" t="n">
        <f aca="false">B13/Controls!B9</f>
        <v>0.09</v>
      </c>
      <c r="D13" s="32" t="n">
        <f aca="false">B13/(Controls!B9*Controls!B10)</f>
        <v>0.03</v>
      </c>
      <c r="E13" s="32" t="n">
        <f aca="false">B13/(Controls!B9*Controls!B10*Controls!B11)</f>
        <v>0.0075</v>
      </c>
      <c r="F13" s="32" t="n">
        <f aca="false">B13/(Controls!B9*Controls!B10*Controls!B11*Controls!B12)</f>
        <v>0.00375</v>
      </c>
      <c r="G13" s="4"/>
      <c r="H13" s="4"/>
      <c r="I13" s="4"/>
      <c r="J13" s="4"/>
    </row>
    <row r="14" customFormat="false" ht="15" hidden="false" customHeight="false" outlineLevel="0" collapsed="false">
      <c r="A14" s="12" t="s">
        <v>857</v>
      </c>
      <c r="B14" s="38" t="n">
        <v>0.6</v>
      </c>
      <c r="C14" s="33" t="n">
        <f aca="false">B14/Controls!B9</f>
        <v>0.1</v>
      </c>
      <c r="D14" s="33" t="n">
        <f aca="false">B14/(Controls!B9*Controls!B10)</f>
        <v>0.0333333333333333</v>
      </c>
      <c r="E14" s="33" t="n">
        <f aca="false">B14/(Controls!B9*Controls!B10*Controls!B11)</f>
        <v>0.00833333333333333</v>
      </c>
      <c r="F14" s="33" t="n">
        <f aca="false">B14/(Controls!B9*Controls!B10*Controls!B11*Controls!B12)</f>
        <v>0.00416666666666667</v>
      </c>
      <c r="G14" s="4"/>
      <c r="H14" s="4"/>
      <c r="I14" s="4"/>
      <c r="J14" s="4"/>
    </row>
    <row r="15" customFormat="false" ht="23" hidden="false" customHeight="true" outlineLevel="0" collapsed="false">
      <c r="A15" s="15" t="s">
        <v>528</v>
      </c>
      <c r="B15" s="39" t="n">
        <f aca="false">SUM(B7:B14)</f>
        <v>12</v>
      </c>
      <c r="C15" s="35" t="n">
        <f aca="false">SUM(C7:C14)</f>
        <v>2</v>
      </c>
      <c r="D15" s="35" t="n">
        <f aca="false">SUM(D7:D14)</f>
        <v>0.666666666666667</v>
      </c>
      <c r="E15" s="35" t="n">
        <f aca="false">SUM(E7:E14)</f>
        <v>0.166666666666667</v>
      </c>
      <c r="F15" s="40" t="n">
        <f aca="false">SUM(F7:F14)</f>
        <v>0.0833333333333333</v>
      </c>
      <c r="G15" s="4"/>
      <c r="H15" s="4"/>
      <c r="I15" s="4"/>
      <c r="J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customFormat="false" ht="23" hidden="false" customHeight="true" outlineLevel="0" collapsed="false">
      <c r="A19" s="5" t="s">
        <v>217</v>
      </c>
      <c r="B19" s="6" t="s">
        <v>218</v>
      </c>
      <c r="C19" s="6" t="s">
        <v>858</v>
      </c>
      <c r="D19" s="6" t="s">
        <v>859</v>
      </c>
      <c r="E19" s="6" t="s">
        <v>860</v>
      </c>
      <c r="F19" s="6" t="s">
        <v>861</v>
      </c>
      <c r="G19" s="7" t="s">
        <v>862</v>
      </c>
      <c r="H19" s="4"/>
      <c r="I19" s="4"/>
      <c r="J19" s="4"/>
    </row>
    <row r="20" customFormat="false" ht="15" hidden="false" customHeight="false" outlineLevel="0" collapsed="false">
      <c r="A20" s="8" t="s">
        <v>230</v>
      </c>
      <c r="B20" s="8" t="s">
        <v>231</v>
      </c>
      <c r="C20" s="31" t="n">
        <f aca="false">Controls!B7/Controls!B9</f>
        <v>2</v>
      </c>
      <c r="D20" s="31" t="n">
        <v>0.50047461808185</v>
      </c>
      <c r="E20" s="31" t="n">
        <f aca="false">C20+D20</f>
        <v>2.50047461808185</v>
      </c>
      <c r="F20" s="41" t="n">
        <f aca="false">E20/$E$26</f>
        <v>0.160421415521258</v>
      </c>
      <c r="G20" s="31" t="n">
        <f aca="false">Controls!B20</f>
        <v>0</v>
      </c>
      <c r="H20" s="4"/>
      <c r="I20" s="4"/>
      <c r="J20" s="4"/>
    </row>
    <row r="21" customFormat="false" ht="15" hidden="false" customHeight="false" outlineLevel="0" collapsed="false">
      <c r="A21" s="9" t="s">
        <v>245</v>
      </c>
      <c r="B21" s="9" t="s">
        <v>246</v>
      </c>
      <c r="C21" s="32" t="n">
        <f aca="false">Controls!B7/Controls!B9</f>
        <v>2</v>
      </c>
      <c r="D21" s="32" t="n">
        <v>0.51649348177396</v>
      </c>
      <c r="E21" s="32" t="n">
        <f aca="false">C21+D21</f>
        <v>2.51649348177396</v>
      </c>
      <c r="F21" s="42" t="n">
        <f aca="false">E21/$E$26</f>
        <v>0.161449127928314</v>
      </c>
      <c r="G21" s="32" t="n">
        <f aca="false">Controls!B20</f>
        <v>0</v>
      </c>
      <c r="H21" s="4"/>
      <c r="I21" s="4"/>
      <c r="J21" s="4"/>
    </row>
    <row r="22" customFormat="false" ht="15" hidden="false" customHeight="false" outlineLevel="0" collapsed="false">
      <c r="A22" s="9" t="s">
        <v>250</v>
      </c>
      <c r="B22" s="9" t="s">
        <v>251</v>
      </c>
      <c r="C22" s="32" t="n">
        <f aca="false">Controls!B7/Controls!B9</f>
        <v>2</v>
      </c>
      <c r="D22" s="32" t="n">
        <v>0.307221654067133</v>
      </c>
      <c r="E22" s="32" t="n">
        <f aca="false">C22+D22</f>
        <v>2.30722165406713</v>
      </c>
      <c r="F22" s="42" t="n">
        <f aca="false">E22/$E$26</f>
        <v>0.148023003709063</v>
      </c>
      <c r="G22" s="32" t="n">
        <f aca="false">Controls!B20</f>
        <v>0</v>
      </c>
      <c r="H22" s="4"/>
      <c r="I22" s="4"/>
      <c r="J22" s="4"/>
    </row>
    <row r="23" customFormat="false" ht="15" hidden="false" customHeight="false" outlineLevel="0" collapsed="false">
      <c r="A23" s="9" t="s">
        <v>255</v>
      </c>
      <c r="B23" s="9" t="s">
        <v>256</v>
      </c>
      <c r="C23" s="32" t="n">
        <f aca="false">Controls!B7/Controls!B9</f>
        <v>2</v>
      </c>
      <c r="D23" s="32" t="n">
        <v>0.899412819320565</v>
      </c>
      <c r="E23" s="32" t="n">
        <f aca="false">C23+D23</f>
        <v>2.89941281932057</v>
      </c>
      <c r="F23" s="42" t="n">
        <f aca="false">E23/$E$26</f>
        <v>0.186015848868201</v>
      </c>
      <c r="G23" s="32" t="n">
        <f aca="false">Controls!B20</f>
        <v>0</v>
      </c>
      <c r="H23" s="4"/>
      <c r="I23" s="4"/>
      <c r="J23" s="4"/>
    </row>
    <row r="24" customFormat="false" ht="15" hidden="false" customHeight="false" outlineLevel="0" collapsed="false">
      <c r="A24" s="9" t="s">
        <v>260</v>
      </c>
      <c r="B24" s="9" t="s">
        <v>261</v>
      </c>
      <c r="C24" s="32" t="n">
        <f aca="false">Controls!B7/Controls!B9</f>
        <v>2</v>
      </c>
      <c r="D24" s="32" t="n">
        <v>0.860712452941095</v>
      </c>
      <c r="E24" s="32" t="n">
        <f aca="false">C24+D24</f>
        <v>2.86071245294109</v>
      </c>
      <c r="F24" s="42" t="n">
        <f aca="false">E24/$E$26</f>
        <v>0.183532973212959</v>
      </c>
      <c r="G24" s="32" t="n">
        <f aca="false">Controls!B20</f>
        <v>0</v>
      </c>
      <c r="H24" s="4"/>
      <c r="I24" s="4"/>
      <c r="J24" s="4"/>
    </row>
    <row r="25" customFormat="false" ht="15" hidden="false" customHeight="false" outlineLevel="0" collapsed="false">
      <c r="A25" s="12" t="s">
        <v>265</v>
      </c>
      <c r="B25" s="12" t="s">
        <v>266</v>
      </c>
      <c r="C25" s="33" t="n">
        <f aca="false">Controls!B7/Controls!B9</f>
        <v>2</v>
      </c>
      <c r="D25" s="33" t="n">
        <v>0.502597793135963</v>
      </c>
      <c r="E25" s="33" t="n">
        <f aca="false">C25+D25</f>
        <v>2.50259779313596</v>
      </c>
      <c r="F25" s="43" t="n">
        <f aca="false">E25/$E$26</f>
        <v>0.160557630760204</v>
      </c>
      <c r="G25" s="33" t="n">
        <f aca="false">Controls!B20</f>
        <v>0</v>
      </c>
      <c r="H25" s="4"/>
      <c r="I25" s="4"/>
      <c r="J25" s="4"/>
    </row>
    <row r="26" customFormat="false" ht="23" hidden="false" customHeight="true" outlineLevel="0" collapsed="false">
      <c r="A26" s="15" t="s">
        <v>528</v>
      </c>
      <c r="B26" s="16" t="s">
        <v>529</v>
      </c>
      <c r="C26" s="35" t="n">
        <f aca="false">SUM(C20:C25)</f>
        <v>12</v>
      </c>
      <c r="D26" s="35" t="n">
        <f aca="false">SUM(D20:D25)</f>
        <v>3.58691281932057</v>
      </c>
      <c r="E26" s="35" t="n">
        <f aca="false">SUM(E20:E25)</f>
        <v>15.5869128193206</v>
      </c>
      <c r="F26" s="44" t="n">
        <f aca="false">SUM(F20:F25)</f>
        <v>1</v>
      </c>
      <c r="G26" s="40" t="n">
        <f aca="false">SUM(G20:G25)</f>
        <v>0</v>
      </c>
      <c r="H26" s="4"/>
      <c r="I26" s="4"/>
      <c r="J26" s="4"/>
    </row>
  </sheetData>
  <mergeCells count="2">
    <mergeCell ref="A2:J2"/>
    <mergeCell ref="A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1"/>
    <col collapsed="false" customWidth="true" hidden="false" outlineLevel="0" max="4" min="3" style="0" width="49"/>
    <col collapsed="false" customWidth="true" hidden="false" outlineLevel="0" max="5" min="5" style="0" width="18"/>
    <col collapsed="false" customWidth="true" hidden="false" outlineLevel="0" max="6" min="6" style="0" width="13"/>
  </cols>
  <sheetData>
    <row r="2" customFormat="false" ht="24" hidden="false" customHeight="true" outlineLevel="0" collapsed="false">
      <c r="A2" s="1" t="s">
        <v>863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864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</row>
    <row r="6" customFormat="false" ht="23" hidden="false" customHeight="true" outlineLevel="0" collapsed="false">
      <c r="A6" s="5" t="s">
        <v>159</v>
      </c>
      <c r="B6" s="6" t="s">
        <v>865</v>
      </c>
      <c r="C6" s="6" t="s">
        <v>866</v>
      </c>
      <c r="D6" s="6" t="s">
        <v>867</v>
      </c>
      <c r="E6" s="6" t="s">
        <v>868</v>
      </c>
      <c r="F6" s="7" t="s">
        <v>5</v>
      </c>
    </row>
    <row r="7" customFormat="false" ht="15" hidden="false" customHeight="false" outlineLevel="0" collapsed="false">
      <c r="A7" s="8" t="s">
        <v>869</v>
      </c>
      <c r="B7" s="8" t="s">
        <v>870</v>
      </c>
      <c r="C7" s="8" t="s">
        <v>871</v>
      </c>
      <c r="D7" s="8" t="s">
        <v>872</v>
      </c>
      <c r="E7" s="8" t="s">
        <v>421</v>
      </c>
      <c r="F7" s="8" t="s">
        <v>873</v>
      </c>
    </row>
    <row r="8" customFormat="false" ht="15" hidden="false" customHeight="false" outlineLevel="0" collapsed="false">
      <c r="A8" s="9" t="s">
        <v>874</v>
      </c>
      <c r="B8" s="9" t="s">
        <v>875</v>
      </c>
      <c r="C8" s="9" t="s">
        <v>876</v>
      </c>
      <c r="D8" s="9" t="s">
        <v>877</v>
      </c>
      <c r="E8" s="9" t="s">
        <v>744</v>
      </c>
      <c r="F8" s="9" t="s">
        <v>873</v>
      </c>
    </row>
    <row r="9" customFormat="false" ht="15" hidden="false" customHeight="false" outlineLevel="0" collapsed="false">
      <c r="A9" s="9" t="s">
        <v>878</v>
      </c>
      <c r="B9" s="9" t="s">
        <v>879</v>
      </c>
      <c r="C9" s="9" t="s">
        <v>880</v>
      </c>
      <c r="D9" s="9" t="s">
        <v>881</v>
      </c>
      <c r="E9" s="9" t="s">
        <v>882</v>
      </c>
      <c r="F9" s="9" t="s">
        <v>873</v>
      </c>
    </row>
    <row r="10" customFormat="false" ht="15" hidden="false" customHeight="false" outlineLevel="0" collapsed="false">
      <c r="A10" s="9" t="s">
        <v>883</v>
      </c>
      <c r="B10" s="9" t="s">
        <v>884</v>
      </c>
      <c r="C10" s="9" t="s">
        <v>885</v>
      </c>
      <c r="D10" s="9" t="s">
        <v>886</v>
      </c>
      <c r="E10" s="9" t="s">
        <v>744</v>
      </c>
      <c r="F10" s="9" t="s">
        <v>873</v>
      </c>
    </row>
    <row r="11" customFormat="false" ht="15" hidden="false" customHeight="false" outlineLevel="0" collapsed="false">
      <c r="A11" s="9" t="s">
        <v>887</v>
      </c>
      <c r="B11" s="9" t="s">
        <v>888</v>
      </c>
      <c r="C11" s="9" t="s">
        <v>889</v>
      </c>
      <c r="D11" s="9" t="s">
        <v>890</v>
      </c>
      <c r="E11" s="9" t="s">
        <v>744</v>
      </c>
      <c r="F11" s="9" t="s">
        <v>873</v>
      </c>
    </row>
    <row r="12" customFormat="false" ht="15" hidden="false" customHeight="false" outlineLevel="0" collapsed="false">
      <c r="A12" s="9" t="s">
        <v>891</v>
      </c>
      <c r="B12" s="9" t="s">
        <v>892</v>
      </c>
      <c r="C12" s="9" t="s">
        <v>893</v>
      </c>
      <c r="D12" s="9" t="s">
        <v>894</v>
      </c>
      <c r="E12" s="9" t="s">
        <v>744</v>
      </c>
      <c r="F12" s="9" t="s">
        <v>873</v>
      </c>
    </row>
    <row r="13" customFormat="false" ht="15" hidden="false" customHeight="false" outlineLevel="0" collapsed="false">
      <c r="A13" s="9" t="s">
        <v>895</v>
      </c>
      <c r="B13" s="9" t="s">
        <v>896</v>
      </c>
      <c r="C13" s="9" t="s">
        <v>897</v>
      </c>
      <c r="D13" s="9" t="s">
        <v>898</v>
      </c>
      <c r="E13" s="9" t="s">
        <v>899</v>
      </c>
      <c r="F13" s="9" t="s">
        <v>873</v>
      </c>
    </row>
    <row r="14" customFormat="false" ht="15" hidden="false" customHeight="false" outlineLevel="0" collapsed="false">
      <c r="A14" s="9" t="s">
        <v>900</v>
      </c>
      <c r="B14" s="9" t="s">
        <v>901</v>
      </c>
      <c r="C14" s="9" t="s">
        <v>902</v>
      </c>
      <c r="D14" s="9" t="s">
        <v>903</v>
      </c>
      <c r="E14" s="9" t="s">
        <v>73</v>
      </c>
      <c r="F14" s="9" t="s">
        <v>873</v>
      </c>
    </row>
    <row r="15" customFormat="false" ht="15" hidden="false" customHeight="false" outlineLevel="0" collapsed="false">
      <c r="A15" s="9" t="s">
        <v>904</v>
      </c>
      <c r="B15" s="9" t="s">
        <v>905</v>
      </c>
      <c r="C15" s="9" t="s">
        <v>906</v>
      </c>
      <c r="D15" s="9" t="s">
        <v>907</v>
      </c>
      <c r="E15" s="9" t="s">
        <v>73</v>
      </c>
      <c r="F15" s="9" t="s">
        <v>873</v>
      </c>
    </row>
    <row r="16" customFormat="false" ht="15" hidden="false" customHeight="false" outlineLevel="0" collapsed="false">
      <c r="A16" s="9" t="s">
        <v>908</v>
      </c>
      <c r="B16" s="9" t="s">
        <v>909</v>
      </c>
      <c r="C16" s="9" t="s">
        <v>910</v>
      </c>
      <c r="D16" s="9" t="s">
        <v>911</v>
      </c>
      <c r="E16" s="9" t="s">
        <v>912</v>
      </c>
      <c r="F16" s="9" t="s">
        <v>873</v>
      </c>
    </row>
    <row r="17" customFormat="false" ht="15" hidden="false" customHeight="false" outlineLevel="0" collapsed="false">
      <c r="A17" s="9" t="s">
        <v>913</v>
      </c>
      <c r="B17" s="9" t="s">
        <v>914</v>
      </c>
      <c r="C17" s="9" t="s">
        <v>915</v>
      </c>
      <c r="D17" s="9" t="s">
        <v>916</v>
      </c>
      <c r="E17" s="9" t="s">
        <v>917</v>
      </c>
      <c r="F17" s="9" t="s">
        <v>873</v>
      </c>
    </row>
    <row r="18" customFormat="false" ht="15" hidden="false" customHeight="false" outlineLevel="0" collapsed="false">
      <c r="A18" s="9" t="s">
        <v>918</v>
      </c>
      <c r="B18" s="9" t="s">
        <v>919</v>
      </c>
      <c r="C18" s="9" t="s">
        <v>920</v>
      </c>
      <c r="D18" s="9" t="s">
        <v>921</v>
      </c>
      <c r="E18" s="9" t="s">
        <v>922</v>
      </c>
      <c r="F18" s="9" t="s">
        <v>873</v>
      </c>
    </row>
    <row r="19" customFormat="false" ht="15" hidden="false" customHeight="false" outlineLevel="0" collapsed="false">
      <c r="A19" s="9" t="s">
        <v>923</v>
      </c>
      <c r="B19" s="9" t="s">
        <v>924</v>
      </c>
      <c r="C19" s="9" t="s">
        <v>925</v>
      </c>
      <c r="D19" s="9" t="s">
        <v>926</v>
      </c>
      <c r="E19" s="9" t="s">
        <v>882</v>
      </c>
      <c r="F19" s="9" t="s">
        <v>873</v>
      </c>
    </row>
    <row r="20" customFormat="false" ht="15" hidden="false" customHeight="false" outlineLevel="0" collapsed="false">
      <c r="A20" s="9" t="s">
        <v>927</v>
      </c>
      <c r="B20" s="9" t="s">
        <v>928</v>
      </c>
      <c r="C20" s="9" t="s">
        <v>929</v>
      </c>
      <c r="D20" s="9" t="s">
        <v>930</v>
      </c>
      <c r="E20" s="9" t="s">
        <v>882</v>
      </c>
      <c r="F20" s="9" t="s">
        <v>873</v>
      </c>
    </row>
    <row r="21" customFormat="false" ht="15" hidden="false" customHeight="false" outlineLevel="0" collapsed="false">
      <c r="A21" s="9" t="s">
        <v>931</v>
      </c>
      <c r="B21" s="9" t="s">
        <v>932</v>
      </c>
      <c r="C21" s="9" t="s">
        <v>933</v>
      </c>
      <c r="D21" s="9" t="s">
        <v>934</v>
      </c>
      <c r="E21" s="9" t="s">
        <v>935</v>
      </c>
      <c r="F21" s="9" t="s">
        <v>873</v>
      </c>
    </row>
    <row r="22" customFormat="false" ht="15" hidden="false" customHeight="false" outlineLevel="0" collapsed="false">
      <c r="A22" s="12" t="s">
        <v>936</v>
      </c>
      <c r="B22" s="12" t="s">
        <v>937</v>
      </c>
      <c r="C22" s="12" t="s">
        <v>938</v>
      </c>
      <c r="D22" s="12" t="s">
        <v>939</v>
      </c>
      <c r="E22" s="12" t="s">
        <v>41</v>
      </c>
      <c r="F22" s="12" t="s">
        <v>873</v>
      </c>
    </row>
  </sheetData>
  <mergeCells count="2">
    <mergeCell ref="A2:F2"/>
    <mergeCell ref="A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8"/>
    <col collapsed="false" customWidth="true" hidden="false" outlineLevel="0" max="7" min="6" style="0" width="20"/>
  </cols>
  <sheetData>
    <row r="2" customFormat="false" ht="24" hidden="false" customHeight="true" outlineLevel="0" collapsed="false">
      <c r="A2" s="1" t="s">
        <v>940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941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159</v>
      </c>
      <c r="B6" s="6" t="s">
        <v>942</v>
      </c>
      <c r="C6" s="6" t="s">
        <v>943</v>
      </c>
      <c r="D6" s="6" t="s">
        <v>944</v>
      </c>
      <c r="E6" s="6" t="s">
        <v>945</v>
      </c>
      <c r="F6" s="6" t="s">
        <v>946</v>
      </c>
      <c r="G6" s="7" t="s">
        <v>947</v>
      </c>
    </row>
    <row r="7" customFormat="false" ht="15" hidden="false" customHeight="false" outlineLevel="0" collapsed="false">
      <c r="A7" s="8" t="s">
        <v>948</v>
      </c>
      <c r="B7" s="8" t="s">
        <v>949</v>
      </c>
      <c r="C7" s="45" t="n">
        <v>12</v>
      </c>
      <c r="D7" s="45" t="n">
        <v>13</v>
      </c>
      <c r="E7" s="45" t="n">
        <v>5</v>
      </c>
      <c r="F7" s="46" t="s">
        <v>736</v>
      </c>
      <c r="G7" s="46" t="s">
        <v>736</v>
      </c>
    </row>
    <row r="8" customFormat="false" ht="15" hidden="false" customHeight="false" outlineLevel="0" collapsed="false">
      <c r="A8" s="9" t="s">
        <v>950</v>
      </c>
      <c r="B8" s="9" t="s">
        <v>951</v>
      </c>
      <c r="C8" s="47" t="n">
        <v>3.58691281932057</v>
      </c>
      <c r="D8" s="47" t="n">
        <v>4</v>
      </c>
      <c r="E8" s="47" t="n">
        <v>2</v>
      </c>
      <c r="F8" s="48" t="s">
        <v>736</v>
      </c>
      <c r="G8" s="48" t="s">
        <v>736</v>
      </c>
    </row>
    <row r="9" customFormat="false" ht="15" hidden="false" customHeight="false" outlineLevel="0" collapsed="false">
      <c r="A9" s="9" t="s">
        <v>952</v>
      </c>
      <c r="B9" s="9" t="s">
        <v>953</v>
      </c>
      <c r="C9" s="47" t="n">
        <v>6</v>
      </c>
      <c r="D9" s="47" t="n">
        <v>5</v>
      </c>
      <c r="E9" s="47" t="n">
        <v>11</v>
      </c>
      <c r="F9" s="48" t="s">
        <v>736</v>
      </c>
      <c r="G9" s="48" t="s">
        <v>736</v>
      </c>
    </row>
    <row r="10" customFormat="false" ht="15" hidden="false" customHeight="false" outlineLevel="0" collapsed="false">
      <c r="A10" s="9" t="s">
        <v>954</v>
      </c>
      <c r="B10" s="9" t="s">
        <v>955</v>
      </c>
      <c r="C10" s="47" t="n">
        <v>3</v>
      </c>
      <c r="D10" s="47" t="n">
        <v>2</v>
      </c>
      <c r="E10" s="47" t="n">
        <v>11</v>
      </c>
      <c r="F10" s="48" t="s">
        <v>736</v>
      </c>
      <c r="G10" s="48" t="s">
        <v>736</v>
      </c>
    </row>
    <row r="11" customFormat="false" ht="15" hidden="false" customHeight="false" outlineLevel="0" collapsed="false">
      <c r="A11" s="9" t="s">
        <v>956</v>
      </c>
      <c r="B11" s="9" t="s">
        <v>957</v>
      </c>
      <c r="C11" s="47" t="n">
        <v>4</v>
      </c>
      <c r="D11" s="47" t="n">
        <v>5</v>
      </c>
      <c r="E11" s="47" t="n">
        <v>7</v>
      </c>
      <c r="F11" s="48" t="s">
        <v>736</v>
      </c>
      <c r="G11" s="48" t="s">
        <v>736</v>
      </c>
    </row>
    <row r="12" customFormat="false" ht="15" hidden="false" customHeight="false" outlineLevel="0" collapsed="false">
      <c r="A12" s="9" t="s">
        <v>958</v>
      </c>
      <c r="B12" s="9" t="s">
        <v>959</v>
      </c>
      <c r="C12" s="47" t="n">
        <v>2</v>
      </c>
      <c r="D12" s="47" t="n">
        <v>1</v>
      </c>
      <c r="E12" s="47" t="n">
        <v>4</v>
      </c>
      <c r="F12" s="48" t="s">
        <v>736</v>
      </c>
      <c r="G12" s="48" t="s">
        <v>736</v>
      </c>
    </row>
    <row r="13" customFormat="false" ht="15" hidden="false" customHeight="false" outlineLevel="0" collapsed="false">
      <c r="A13" s="9" t="s">
        <v>960</v>
      </c>
      <c r="B13" s="9" t="s">
        <v>961</v>
      </c>
      <c r="C13" s="47" t="n">
        <v>1</v>
      </c>
      <c r="D13" s="47" t="n">
        <v>2</v>
      </c>
      <c r="E13" s="47" t="n">
        <v>3</v>
      </c>
      <c r="F13" s="48" t="s">
        <v>736</v>
      </c>
      <c r="G13" s="48" t="s">
        <v>736</v>
      </c>
    </row>
    <row r="14" customFormat="false" ht="15" hidden="false" customHeight="false" outlineLevel="0" collapsed="false">
      <c r="A14" s="9" t="s">
        <v>962</v>
      </c>
      <c r="B14" s="9" t="s">
        <v>963</v>
      </c>
      <c r="C14" s="47" t="n">
        <v>1</v>
      </c>
      <c r="D14" s="47" t="n">
        <v>0</v>
      </c>
      <c r="E14" s="47" t="n">
        <v>3</v>
      </c>
      <c r="F14" s="48" t="s">
        <v>736</v>
      </c>
      <c r="G14" s="48" t="s">
        <v>736</v>
      </c>
    </row>
    <row r="15" customFormat="false" ht="15" hidden="false" customHeight="false" outlineLevel="0" collapsed="false">
      <c r="A15" s="9" t="s">
        <v>964</v>
      </c>
      <c r="B15" s="9" t="s">
        <v>965</v>
      </c>
      <c r="C15" s="47" t="n">
        <v>54</v>
      </c>
      <c r="D15" s="47" t="n">
        <v>55</v>
      </c>
      <c r="E15" s="47" t="n">
        <v>2</v>
      </c>
      <c r="F15" s="48" t="s">
        <v>736</v>
      </c>
      <c r="G15" s="48" t="s">
        <v>736</v>
      </c>
    </row>
    <row r="16" customFormat="false" ht="15" hidden="false" customHeight="false" outlineLevel="0" collapsed="false">
      <c r="A16" s="9" t="s">
        <v>966</v>
      </c>
      <c r="B16" s="9" t="s">
        <v>967</v>
      </c>
      <c r="C16" s="47" t="n">
        <v>0</v>
      </c>
      <c r="D16" s="47" t="n">
        <v>1</v>
      </c>
      <c r="E16" s="47" t="n">
        <v>1</v>
      </c>
      <c r="F16" s="48" t="s">
        <v>736</v>
      </c>
      <c r="G16" s="48" t="s">
        <v>736</v>
      </c>
    </row>
    <row r="17" customFormat="false" ht="15" hidden="false" customHeight="false" outlineLevel="0" collapsed="false">
      <c r="A17" s="9" t="s">
        <v>968</v>
      </c>
      <c r="B17" s="9" t="s">
        <v>969</v>
      </c>
      <c r="C17" s="47" t="n">
        <v>0</v>
      </c>
      <c r="D17" s="47" t="n">
        <v>1</v>
      </c>
      <c r="E17" s="47" t="n">
        <v>1</v>
      </c>
      <c r="F17" s="48" t="s">
        <v>736</v>
      </c>
      <c r="G17" s="48" t="s">
        <v>736</v>
      </c>
    </row>
    <row r="18" customFormat="false" ht="15" hidden="false" customHeight="false" outlineLevel="0" collapsed="false">
      <c r="A18" s="9" t="s">
        <v>970</v>
      </c>
      <c r="B18" s="9" t="s">
        <v>971</v>
      </c>
      <c r="C18" s="47" t="n">
        <v>0</v>
      </c>
      <c r="D18" s="47" t="n">
        <v>1</v>
      </c>
      <c r="E18" s="47" t="n">
        <v>1</v>
      </c>
      <c r="F18" s="48" t="s">
        <v>736</v>
      </c>
      <c r="G18" s="48" t="s">
        <v>736</v>
      </c>
    </row>
    <row r="19" customFormat="false" ht="15" hidden="false" customHeight="false" outlineLevel="0" collapsed="false">
      <c r="A19" s="9" t="s">
        <v>972</v>
      </c>
      <c r="B19" s="9" t="s">
        <v>973</v>
      </c>
      <c r="C19" s="47" t="n">
        <v>0</v>
      </c>
      <c r="D19" s="47" t="n">
        <v>1</v>
      </c>
      <c r="E19" s="47" t="n">
        <v>1</v>
      </c>
      <c r="F19" s="48" t="s">
        <v>736</v>
      </c>
      <c r="G19" s="48" t="s">
        <v>736</v>
      </c>
    </row>
    <row r="20" customFormat="false" ht="15" hidden="false" customHeight="false" outlineLevel="0" collapsed="false">
      <c r="A20" s="9" t="s">
        <v>974</v>
      </c>
      <c r="B20" s="9" t="s">
        <v>975</v>
      </c>
      <c r="C20" s="47" t="n">
        <v>0</v>
      </c>
      <c r="D20" s="47" t="n">
        <v>1</v>
      </c>
      <c r="E20" s="47" t="n">
        <v>2</v>
      </c>
      <c r="F20" s="48" t="s">
        <v>736</v>
      </c>
      <c r="G20" s="48" t="s">
        <v>736</v>
      </c>
    </row>
    <row r="21" customFormat="false" ht="15" hidden="false" customHeight="false" outlineLevel="0" collapsed="false">
      <c r="A21" s="9" t="s">
        <v>976</v>
      </c>
      <c r="B21" s="9" t="s">
        <v>977</v>
      </c>
      <c r="C21" s="47" t="n">
        <v>0</v>
      </c>
      <c r="D21" s="47" t="n">
        <v>1</v>
      </c>
      <c r="E21" s="47" t="n">
        <v>1</v>
      </c>
      <c r="F21" s="48" t="s">
        <v>736</v>
      </c>
      <c r="G21" s="48" t="s">
        <v>736</v>
      </c>
    </row>
    <row r="22" customFormat="false" ht="15" hidden="false" customHeight="false" outlineLevel="0" collapsed="false">
      <c r="A22" s="12" t="s">
        <v>978</v>
      </c>
      <c r="B22" s="12" t="s">
        <v>979</v>
      </c>
      <c r="C22" s="49" t="n">
        <v>0</v>
      </c>
      <c r="D22" s="49" t="n">
        <v>1</v>
      </c>
      <c r="E22" s="49" t="n">
        <v>1</v>
      </c>
      <c r="F22" s="50" t="s">
        <v>736</v>
      </c>
      <c r="G22" s="50" t="s">
        <v>736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3" min="2" style="0" width="24"/>
    <col collapsed="false" customWidth="true" hidden="false" outlineLevel="0" max="4" min="4" style="0" width="20"/>
    <col collapsed="false" customWidth="true" hidden="false" outlineLevel="0" max="5" min="5" style="0" width="14"/>
  </cols>
  <sheetData>
    <row r="2" customFormat="false" ht="24" hidden="false" customHeight="true" outlineLevel="0" collapsed="false">
      <c r="A2" s="1" t="s">
        <v>980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981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982</v>
      </c>
      <c r="B6" s="6" t="s">
        <v>86</v>
      </c>
      <c r="C6" s="6" t="s">
        <v>983</v>
      </c>
      <c r="D6" s="6" t="s">
        <v>984</v>
      </c>
      <c r="E6" s="7" t="s">
        <v>5</v>
      </c>
    </row>
    <row r="7" customFormat="false" ht="15" hidden="false" customHeight="false" outlineLevel="0" collapsed="false">
      <c r="A7" s="8" t="s">
        <v>51</v>
      </c>
      <c r="B7" s="51" t="n">
        <f aca="false">Controls!B7</f>
        <v>12</v>
      </c>
      <c r="C7" s="45" t="n">
        <v>12</v>
      </c>
      <c r="D7" s="51" t="n">
        <f aca="false">B7-C7</f>
        <v>0</v>
      </c>
      <c r="E7" s="18" t="str">
        <f aca="false">IF(ABS(D7)&lt;0.000001,"PASS","FAIL")</f>
        <v>PASS</v>
      </c>
    </row>
    <row r="8" customFormat="false" ht="15" hidden="false" customHeight="false" outlineLevel="0" collapsed="false">
      <c r="A8" s="9" t="s">
        <v>108</v>
      </c>
      <c r="B8" s="52" t="n">
        <f aca="false">Controls!B8</f>
        <v>3.58691281932057</v>
      </c>
      <c r="C8" s="47" t="n">
        <v>3.58691281932057</v>
      </c>
      <c r="D8" s="52" t="n">
        <f aca="false">B8-C8</f>
        <v>0</v>
      </c>
      <c r="E8" s="20" t="str">
        <f aca="false">IF(ABS(D8)&lt;0.000001,"PASS","FAIL")</f>
        <v>PASS</v>
      </c>
    </row>
    <row r="9" customFormat="false" ht="15" hidden="false" customHeight="false" outlineLevel="0" collapsed="false">
      <c r="A9" s="9" t="s">
        <v>97</v>
      </c>
      <c r="B9" s="52" t="n">
        <f aca="false">Controls!B7+Controls!B8</f>
        <v>15.5869128193206</v>
      </c>
      <c r="C9" s="47" t="n">
        <v>15.5869128193206</v>
      </c>
      <c r="D9" s="52" t="n">
        <f aca="false">B9-C9</f>
        <v>0</v>
      </c>
      <c r="E9" s="20" t="str">
        <f aca="false">IF(ABS(D9)&lt;0.000001,"PASS","FAIL")</f>
        <v>PASS</v>
      </c>
    </row>
    <row r="10" customFormat="false" ht="15" hidden="false" customHeight="false" outlineLevel="0" collapsed="false">
      <c r="A10" s="9" t="s">
        <v>18</v>
      </c>
      <c r="B10" s="52" t="n">
        <f aca="false">Controls!B9</f>
        <v>6</v>
      </c>
      <c r="C10" s="47" t="n">
        <v>6</v>
      </c>
      <c r="D10" s="52" t="n">
        <f aca="false">B10-C10</f>
        <v>0</v>
      </c>
      <c r="E10" s="20" t="str">
        <f aca="false">IF(ABS(D10)&lt;0.000001,"PASS","FAIL")</f>
        <v>PASS</v>
      </c>
    </row>
    <row r="11" customFormat="false" ht="15" hidden="false" customHeight="false" outlineLevel="0" collapsed="false">
      <c r="A11" s="9" t="s">
        <v>985</v>
      </c>
      <c r="B11" s="52" t="n">
        <f aca="false">Controls!B10</f>
        <v>3</v>
      </c>
      <c r="C11" s="47" t="n">
        <v>3</v>
      </c>
      <c r="D11" s="52" t="n">
        <f aca="false">B11-C11</f>
        <v>0</v>
      </c>
      <c r="E11" s="20" t="str">
        <f aca="false">IF(ABS(D11)&lt;0.000001,"PASS","FAIL")</f>
        <v>PASS</v>
      </c>
    </row>
    <row r="12" customFormat="false" ht="15" hidden="false" customHeight="false" outlineLevel="0" collapsed="false">
      <c r="A12" s="9" t="s">
        <v>142</v>
      </c>
      <c r="B12" s="52" t="n">
        <f aca="false">Controls!B11</f>
        <v>4</v>
      </c>
      <c r="C12" s="47" t="n">
        <v>4</v>
      </c>
      <c r="D12" s="52" t="n">
        <f aca="false">B12-C12</f>
        <v>0</v>
      </c>
      <c r="E12" s="20" t="str">
        <f aca="false">IF(ABS(D12)&lt;0.000001,"PASS","FAIL")</f>
        <v>PASS</v>
      </c>
    </row>
    <row r="13" customFormat="false" ht="15" hidden="false" customHeight="false" outlineLevel="0" collapsed="false">
      <c r="A13" s="9" t="s">
        <v>986</v>
      </c>
      <c r="B13" s="52" t="n">
        <f aca="false">Controls!B12</f>
        <v>2</v>
      </c>
      <c r="C13" s="47" t="n">
        <v>2</v>
      </c>
      <c r="D13" s="52" t="n">
        <f aca="false">B13-C13</f>
        <v>0</v>
      </c>
      <c r="E13" s="20" t="str">
        <f aca="false">IF(ABS(D13)&lt;0.000001,"PASS","FAIL")</f>
        <v>PASS</v>
      </c>
    </row>
    <row r="14" customFormat="false" ht="15" hidden="false" customHeight="false" outlineLevel="0" collapsed="false">
      <c r="A14" s="9" t="s">
        <v>25</v>
      </c>
      <c r="B14" s="52" t="n">
        <f aca="false">Controls!B9*Controls!B10</f>
        <v>18</v>
      </c>
      <c r="C14" s="47" t="n">
        <v>18</v>
      </c>
      <c r="D14" s="52" t="n">
        <f aca="false">B14-C14</f>
        <v>0</v>
      </c>
      <c r="E14" s="20" t="str">
        <f aca="false">IF(ABS(D14)&lt;0.000001,"PASS","FAIL")</f>
        <v>PASS</v>
      </c>
    </row>
    <row r="15" customFormat="false" ht="15" hidden="false" customHeight="false" outlineLevel="0" collapsed="false">
      <c r="A15" s="9" t="s">
        <v>987</v>
      </c>
      <c r="B15" s="52" t="n">
        <f aca="false">COUNTA('Station Nuclei'!A7:A24)</f>
        <v>18</v>
      </c>
      <c r="C15" s="47" t="n">
        <v>18</v>
      </c>
      <c r="D15" s="52" t="n">
        <f aca="false">B15-C15</f>
        <v>0</v>
      </c>
      <c r="E15" s="20" t="str">
        <f aca="false">IF(ABS(D15)&lt;0.000001,"PASS","FAIL")</f>
        <v>PASS</v>
      </c>
    </row>
    <row r="16" customFormat="false" ht="15" hidden="false" customHeight="false" outlineLevel="0" collapsed="false">
      <c r="A16" s="9" t="s">
        <v>988</v>
      </c>
      <c r="B16" s="52" t="n">
        <f aca="false">SUM('Station Nuclei'!I7:I24)</f>
        <v>18</v>
      </c>
      <c r="C16" s="47" t="n">
        <v>18</v>
      </c>
      <c r="D16" s="52" t="n">
        <f aca="false">B16-C16</f>
        <v>0</v>
      </c>
      <c r="E16" s="20" t="str">
        <f aca="false">IF(ABS(D16)&lt;0.000001,"PASS","FAIL")</f>
        <v>PASS</v>
      </c>
    </row>
    <row r="17" customFormat="false" ht="15" hidden="false" customHeight="false" outlineLevel="0" collapsed="false">
      <c r="A17" s="9" t="s">
        <v>989</v>
      </c>
      <c r="B17" s="52" t="n">
        <f aca="false">SUM('Station Nuclei'!J7:J24)</f>
        <v>18</v>
      </c>
      <c r="C17" s="47" t="n">
        <v>18</v>
      </c>
      <c r="D17" s="52" t="n">
        <f aca="false">B17-C17</f>
        <v>0</v>
      </c>
      <c r="E17" s="20" t="str">
        <f aca="false">IF(ABS(D17)&lt;0.000001,"PASS","FAIL")</f>
        <v>PASS</v>
      </c>
    </row>
    <row r="18" customFormat="false" ht="15" hidden="false" customHeight="false" outlineLevel="0" collapsed="false">
      <c r="A18" s="9" t="s">
        <v>30</v>
      </c>
      <c r="B18" s="52" t="n">
        <f aca="false">SUM('Station Nuclei'!I7:J24)</f>
        <v>36</v>
      </c>
      <c r="C18" s="47" t="n">
        <v>36</v>
      </c>
      <c r="D18" s="52" t="n">
        <f aca="false">B18-C18</f>
        <v>0</v>
      </c>
      <c r="E18" s="20" t="str">
        <f aca="false">IF(ABS(D18)&lt;0.000001,"PASS","FAIL")</f>
        <v>PASS</v>
      </c>
    </row>
    <row r="19" customFormat="false" ht="15" hidden="false" customHeight="false" outlineLevel="0" collapsed="false">
      <c r="A19" s="9" t="s">
        <v>124</v>
      </c>
      <c r="B19" s="52" t="n">
        <f aca="false">Controls!B15</f>
        <v>54</v>
      </c>
      <c r="C19" s="47" t="n">
        <v>54</v>
      </c>
      <c r="D19" s="52" t="n">
        <f aca="false">B19-C19</f>
        <v>0</v>
      </c>
      <c r="E19" s="20" t="str">
        <f aca="false">IF(ABS(D19)&lt;0.000001,"PASS","FAIL")</f>
        <v>PASS</v>
      </c>
    </row>
    <row r="20" customFormat="false" ht="15" hidden="false" customHeight="false" outlineLevel="0" collapsed="false">
      <c r="A20" s="9" t="s">
        <v>990</v>
      </c>
      <c r="B20" s="52" t="n">
        <f aca="false">SUM('Station Nuclei'!I7:J24)+Controls!B15</f>
        <v>90</v>
      </c>
      <c r="C20" s="47" t="n">
        <v>90</v>
      </c>
      <c r="D20" s="52" t="n">
        <f aca="false">B20-C20</f>
        <v>0</v>
      </c>
      <c r="E20" s="20" t="str">
        <f aca="false">IF(ABS(D20)&lt;0.000001,"PASS","FAIL")</f>
        <v>PASS</v>
      </c>
    </row>
    <row r="21" customFormat="false" ht="15" hidden="false" customHeight="false" outlineLevel="0" collapsed="false">
      <c r="A21" s="9" t="s">
        <v>991</v>
      </c>
      <c r="B21" s="52" t="n">
        <f aca="false">Controls!B9*Controls!B10*Controls!B11</f>
        <v>72</v>
      </c>
      <c r="C21" s="47" t="n">
        <v>72</v>
      </c>
      <c r="D21" s="52" t="n">
        <f aca="false">B21-C21</f>
        <v>0</v>
      </c>
      <c r="E21" s="20" t="str">
        <f aca="false">IF(ABS(D21)&lt;0.000001,"PASS","FAIL")</f>
        <v>PASS</v>
      </c>
    </row>
    <row r="22" customFormat="false" ht="15" hidden="false" customHeight="false" outlineLevel="0" collapsed="false">
      <c r="A22" s="9" t="s">
        <v>992</v>
      </c>
      <c r="B22" s="52" t="n">
        <f aca="false">COUNTA('State Bays'!A7:A78)</f>
        <v>72</v>
      </c>
      <c r="C22" s="47" t="n">
        <v>72</v>
      </c>
      <c r="D22" s="52" t="n">
        <f aca="false">B22-C22</f>
        <v>0</v>
      </c>
      <c r="E22" s="20" t="str">
        <f aca="false">IF(ABS(D22)&lt;0.000001,"PASS","FAIL")</f>
        <v>PASS</v>
      </c>
    </row>
    <row r="23" customFormat="false" ht="15" hidden="false" customHeight="false" outlineLevel="0" collapsed="false">
      <c r="A23" s="9" t="s">
        <v>993</v>
      </c>
      <c r="B23" s="52" t="n">
        <f aca="false">Controls!B9*Controls!B10*Controls!B11*Controls!B12</f>
        <v>144</v>
      </c>
      <c r="C23" s="47" t="n">
        <v>144</v>
      </c>
      <c r="D23" s="52" t="n">
        <f aca="false">B23-C23</f>
        <v>0</v>
      </c>
      <c r="E23" s="20" t="str">
        <f aca="false">IF(ABS(D23)&lt;0.000001,"PASS","FAIL")</f>
        <v>PASS</v>
      </c>
    </row>
    <row r="24" customFormat="false" ht="15" hidden="false" customHeight="false" outlineLevel="0" collapsed="false">
      <c r="A24" s="9" t="s">
        <v>994</v>
      </c>
      <c r="B24" s="52" t="n">
        <f aca="false">COUNTA('Method Realizations'!A7:A150)</f>
        <v>144</v>
      </c>
      <c r="C24" s="47" t="n">
        <v>144</v>
      </c>
      <c r="D24" s="52" t="n">
        <f aca="false">B24-C24</f>
        <v>0</v>
      </c>
      <c r="E24" s="20" t="str">
        <f aca="false">IF(ABS(D24)&lt;0.000001,"PASS","FAIL")</f>
        <v>PASS</v>
      </c>
    </row>
    <row r="25" customFormat="false" ht="15" hidden="false" customHeight="false" outlineLevel="0" collapsed="false">
      <c r="A25" s="9" t="s">
        <v>995</v>
      </c>
      <c r="B25" s="52" t="n">
        <f aca="false">SUM('Method Realizations'!L7:L150)</f>
        <v>0</v>
      </c>
      <c r="C25" s="47" t="n">
        <v>0</v>
      </c>
      <c r="D25" s="52" t="n">
        <f aca="false">B25-C25</f>
        <v>0</v>
      </c>
      <c r="E25" s="20" t="str">
        <f aca="false">IF(ABS(D25)&lt;0.000001,"PASS","FAIL")</f>
        <v>PASS</v>
      </c>
    </row>
    <row r="26" customFormat="false" ht="15" hidden="false" customHeight="false" outlineLevel="0" collapsed="false">
      <c r="A26" s="9" t="s">
        <v>996</v>
      </c>
      <c r="B26" s="52" t="n">
        <f aca="false">COUNTIF('Method Realizations'!J7:J150,"SOURCE EMPTY")</f>
        <v>144</v>
      </c>
      <c r="C26" s="47" t="n">
        <v>144</v>
      </c>
      <c r="D26" s="52" t="n">
        <f aca="false">B26-C26</f>
        <v>0</v>
      </c>
      <c r="E26" s="20" t="str">
        <f aca="false">IF(ABS(D26)&lt;0.000001,"PASS","FAIL")</f>
        <v>PASS</v>
      </c>
    </row>
    <row r="27" customFormat="false" ht="15" hidden="false" customHeight="false" outlineLevel="0" collapsed="false">
      <c r="A27" s="9" t="s">
        <v>997</v>
      </c>
      <c r="B27" s="52" t="n">
        <f aca="false">COUNTIF('Method Realizations'!K7:K150,"SOURCE EMPTY")</f>
        <v>144</v>
      </c>
      <c r="C27" s="47" t="n">
        <v>144</v>
      </c>
      <c r="D27" s="52" t="n">
        <f aca="false">B27-C27</f>
        <v>0</v>
      </c>
      <c r="E27" s="20" t="str">
        <f aca="false">IF(ABS(D27)&lt;0.000001,"PASS","FAIL")</f>
        <v>PASS</v>
      </c>
    </row>
    <row r="28" customFormat="false" ht="15" hidden="false" customHeight="false" outlineLevel="0" collapsed="false">
      <c r="A28" s="9" t="s">
        <v>46</v>
      </c>
      <c r="B28" s="52" t="n">
        <f aca="false">COUNTA(Regeneration!A7:A78)</f>
        <v>72</v>
      </c>
      <c r="C28" s="47" t="n">
        <v>72</v>
      </c>
      <c r="D28" s="52" t="n">
        <f aca="false">B28-C28</f>
        <v>0</v>
      </c>
      <c r="E28" s="20" t="str">
        <f aca="false">IF(ABS(D28)&lt;0.000001,"PASS","FAIL")</f>
        <v>PASS</v>
      </c>
    </row>
    <row r="29" customFormat="false" ht="15" hidden="false" customHeight="false" outlineLevel="0" collapsed="false">
      <c r="A29" s="9" t="s">
        <v>998</v>
      </c>
      <c r="B29" s="52" t="n">
        <f aca="false">COUNTIF(Regeneration!I7:I78,"NO")</f>
        <v>72</v>
      </c>
      <c r="C29" s="47" t="n">
        <v>72</v>
      </c>
      <c r="D29" s="52" t="n">
        <f aca="false">B29-C29</f>
        <v>0</v>
      </c>
      <c r="E29" s="20" t="str">
        <f aca="false">IF(ABS(D29)&lt;0.000001,"PASS","FAIL")</f>
        <v>PASS</v>
      </c>
    </row>
    <row r="30" customFormat="false" ht="15" hidden="false" customHeight="false" outlineLevel="0" collapsed="false">
      <c r="A30" s="9" t="s">
        <v>999</v>
      </c>
      <c r="B30" s="52" t="n">
        <f aca="false">COUNTA(Independence!A7:A18)</f>
        <v>12</v>
      </c>
      <c r="C30" s="47" t="n">
        <v>12</v>
      </c>
      <c r="D30" s="52" t="n">
        <f aca="false">B30-C30</f>
        <v>0</v>
      </c>
      <c r="E30" s="20" t="str">
        <f aca="false">IF(ABS(D30)&lt;0.000001,"PASS","FAIL")</f>
        <v>PASS</v>
      </c>
    </row>
    <row r="31" customFormat="false" ht="15" hidden="false" customHeight="false" outlineLevel="0" collapsed="false">
      <c r="A31" s="9" t="s">
        <v>1000</v>
      </c>
      <c r="B31" s="52" t="n">
        <f aca="false">COUNTA('Substrate Law'!A7:A14)</f>
        <v>8</v>
      </c>
      <c r="C31" s="47" t="n">
        <v>8</v>
      </c>
      <c r="D31" s="52" t="n">
        <f aca="false">B31-C31</f>
        <v>0</v>
      </c>
      <c r="E31" s="20" t="str">
        <f aca="false">IF(ABS(D31)&lt;0.000001,"PASS","FAIL")</f>
        <v>PASS</v>
      </c>
    </row>
    <row r="32" customFormat="false" ht="15" hidden="false" customHeight="false" outlineLevel="0" collapsed="false">
      <c r="A32" s="9" t="s">
        <v>1001</v>
      </c>
      <c r="B32" s="52" t="n">
        <f aca="false">COUNTIF(Alternatives!P7:P11,"SELECT")</f>
        <v>1</v>
      </c>
      <c r="C32" s="47" t="n">
        <v>1</v>
      </c>
      <c r="D32" s="52" t="n">
        <f aca="false">B32-C32</f>
        <v>0</v>
      </c>
      <c r="E32" s="20" t="str">
        <f aca="false">IF(ABS(D32)&lt;0.000001,"PASS","FAIL")</f>
        <v>PASS</v>
      </c>
    </row>
    <row r="33" customFormat="false" ht="15" hidden="false" customHeight="false" outlineLevel="0" collapsed="false">
      <c r="A33" s="9" t="s">
        <v>1002</v>
      </c>
      <c r="B33" s="52" t="n">
        <f aca="false">Alternatives!N7</f>
        <v>12</v>
      </c>
      <c r="C33" s="47" t="n">
        <v>12</v>
      </c>
      <c r="D33" s="52" t="n">
        <f aca="false">B33-C33</f>
        <v>0</v>
      </c>
      <c r="E33" s="20" t="str">
        <f aca="false">IF(ABS(D33)&lt;0.000001,"PASS","FAIL")</f>
        <v>PASS</v>
      </c>
    </row>
    <row r="34" customFormat="false" ht="15" hidden="false" customHeight="false" outlineLevel="0" collapsed="false">
      <c r="A34" s="9" t="s">
        <v>1003</v>
      </c>
      <c r="B34" s="52" t="n">
        <f aca="false">COUNTIF(Alternatives!P7:P11,"REJECT")</f>
        <v>4</v>
      </c>
      <c r="C34" s="47" t="n">
        <v>4</v>
      </c>
      <c r="D34" s="52" t="n">
        <f aca="false">B34-C34</f>
        <v>0</v>
      </c>
      <c r="E34" s="20" t="str">
        <f aca="false">IF(ABS(D34)&lt;0.000001,"PASS","FAIL")</f>
        <v>PASS</v>
      </c>
    </row>
    <row r="35" customFormat="false" ht="15" hidden="false" customHeight="false" outlineLevel="0" collapsed="false">
      <c r="A35" s="9" t="s">
        <v>1004</v>
      </c>
      <c r="B35" s="52" t="n">
        <f aca="false">COUNTA('Rig Families'!A7:A12)</f>
        <v>6</v>
      </c>
      <c r="C35" s="47" t="n">
        <v>6</v>
      </c>
      <c r="D35" s="52" t="n">
        <f aca="false">B35-C35</f>
        <v>0</v>
      </c>
      <c r="E35" s="20" t="str">
        <f aca="false">IF(ABS(D35)&lt;0.000001,"PASS","FAIL")</f>
        <v>PASS</v>
      </c>
    </row>
    <row r="36" customFormat="false" ht="15" hidden="false" customHeight="false" outlineLevel="0" collapsed="false">
      <c r="A36" s="9" t="s">
        <v>1005</v>
      </c>
      <c r="B36" s="52" t="n">
        <f aca="false">'Rig Families'!G13</f>
        <v>18</v>
      </c>
      <c r="C36" s="47" t="n">
        <v>18</v>
      </c>
      <c r="D36" s="52" t="n">
        <f aca="false">B36-C36</f>
        <v>0</v>
      </c>
      <c r="E36" s="20" t="str">
        <f aca="false">IF(ABS(D36)&lt;0.000001,"PASS","FAIL")</f>
        <v>PASS</v>
      </c>
    </row>
    <row r="37" customFormat="false" ht="15" hidden="false" customHeight="false" outlineLevel="0" collapsed="false">
      <c r="A37" s="9" t="s">
        <v>1006</v>
      </c>
      <c r="B37" s="52" t="n">
        <f aca="false">'Rig Families'!H13</f>
        <v>72</v>
      </c>
      <c r="C37" s="47" t="n">
        <v>72</v>
      </c>
      <c r="D37" s="52" t="n">
        <f aca="false">B37-C37</f>
        <v>0</v>
      </c>
      <c r="E37" s="20" t="str">
        <f aca="false">IF(ABS(D37)&lt;0.000001,"PASS","FAIL")</f>
        <v>PASS</v>
      </c>
    </row>
    <row r="38" customFormat="false" ht="15" hidden="false" customHeight="false" outlineLevel="0" collapsed="false">
      <c r="A38" s="9" t="s">
        <v>1007</v>
      </c>
      <c r="B38" s="52" t="n">
        <f aca="false">'Rig Families'!I13</f>
        <v>144</v>
      </c>
      <c r="C38" s="47" t="n">
        <v>144</v>
      </c>
      <c r="D38" s="52" t="n">
        <f aca="false">B38-C38</f>
        <v>0</v>
      </c>
      <c r="E38" s="20" t="str">
        <f aca="false">IF(ABS(D38)&lt;0.000001,"PASS","FAIL")</f>
        <v>PASS</v>
      </c>
    </row>
    <row r="39" customFormat="false" ht="15" hidden="false" customHeight="false" outlineLevel="0" collapsed="false">
      <c r="A39" s="9" t="s">
        <v>1008</v>
      </c>
      <c r="B39" s="52" t="n">
        <f aca="false">'Rig Families'!J13</f>
        <v>72</v>
      </c>
      <c r="C39" s="47" t="n">
        <v>72</v>
      </c>
      <c r="D39" s="52" t="n">
        <f aca="false">B39-C39</f>
        <v>0</v>
      </c>
      <c r="E39" s="20" t="str">
        <f aca="false">IF(ABS(D39)&lt;0.000001,"PASS","FAIL")</f>
        <v>PASS</v>
      </c>
    </row>
    <row r="40" customFormat="false" ht="15" hidden="false" customHeight="false" outlineLevel="0" collapsed="false">
      <c r="A40" s="9" t="s">
        <v>1009</v>
      </c>
      <c r="B40" s="52" t="n">
        <f aca="false">'Rig Families'!K13</f>
        <v>12</v>
      </c>
      <c r="C40" s="47" t="n">
        <v>12</v>
      </c>
      <c r="D40" s="52" t="n">
        <f aca="false">B40-C40</f>
        <v>0</v>
      </c>
      <c r="E40" s="20" t="str">
        <f aca="false">IF(ABS(D40)&lt;0.000001,"PASS","FAIL")</f>
        <v>PASS</v>
      </c>
    </row>
    <row r="41" customFormat="false" ht="15" hidden="false" customHeight="false" outlineLevel="0" collapsed="false">
      <c r="A41" s="9" t="s">
        <v>1010</v>
      </c>
      <c r="B41" s="52" t="n">
        <f aca="false">'Rig Families'!L13</f>
        <v>3.58691281932057</v>
      </c>
      <c r="C41" s="47" t="n">
        <v>3.58691281932057</v>
      </c>
      <c r="D41" s="52" t="n">
        <f aca="false">B41-C41</f>
        <v>0</v>
      </c>
      <c r="E41" s="20" t="str">
        <f aca="false">IF(ABS(D41)&lt;0.000001,"PASS","FAIL")</f>
        <v>PASS</v>
      </c>
    </row>
    <row r="42" customFormat="false" ht="15" hidden="false" customHeight="false" outlineLevel="0" collapsed="false">
      <c r="A42" s="9" t="s">
        <v>1011</v>
      </c>
      <c r="B42" s="52" t="n">
        <f aca="false">'Rig Families'!M13</f>
        <v>15.5869128193206</v>
      </c>
      <c r="C42" s="47" t="n">
        <v>15.5869128193206</v>
      </c>
      <c r="D42" s="52" t="n">
        <f aca="false">B42-C42</f>
        <v>-3.5527136788005E-015</v>
      </c>
      <c r="E42" s="20" t="str">
        <f aca="false">IF(ABS(D42)&lt;0.000001,"PASS","FAIL")</f>
        <v>PASS</v>
      </c>
    </row>
    <row r="43" customFormat="false" ht="15" hidden="false" customHeight="false" outlineLevel="0" collapsed="false">
      <c r="A43" s="9" t="s">
        <v>1012</v>
      </c>
      <c r="B43" s="52" t="n">
        <f aca="false">Finance!B15</f>
        <v>12</v>
      </c>
      <c r="C43" s="47" t="n">
        <v>12</v>
      </c>
      <c r="D43" s="52" t="n">
        <f aca="false">B43-C43</f>
        <v>-1.77635683940025E-015</v>
      </c>
      <c r="E43" s="20" t="str">
        <f aca="false">IF(ABS(D43)&lt;0.000001,"PASS","FAIL")</f>
        <v>PASS</v>
      </c>
    </row>
    <row r="44" customFormat="false" ht="15" hidden="false" customHeight="false" outlineLevel="0" collapsed="false">
      <c r="A44" s="9" t="s">
        <v>1013</v>
      </c>
      <c r="B44" s="52" t="n">
        <f aca="false">Finance!C15</f>
        <v>2</v>
      </c>
      <c r="C44" s="47" t="n">
        <v>2</v>
      </c>
      <c r="D44" s="52" t="n">
        <f aca="false">B44-C44</f>
        <v>0</v>
      </c>
      <c r="E44" s="20" t="str">
        <f aca="false">IF(ABS(D44)&lt;0.000001,"PASS","FAIL")</f>
        <v>PASS</v>
      </c>
    </row>
    <row r="45" customFormat="false" ht="15" hidden="false" customHeight="false" outlineLevel="0" collapsed="false">
      <c r="A45" s="9" t="s">
        <v>1014</v>
      </c>
      <c r="B45" s="52" t="n">
        <f aca="false">Finance!D15</f>
        <v>0.666666666666667</v>
      </c>
      <c r="C45" s="47" t="n">
        <v>0.666666666666667</v>
      </c>
      <c r="D45" s="52" t="n">
        <f aca="false">B45-C45</f>
        <v>-2.22044604925031E-016</v>
      </c>
      <c r="E45" s="20" t="str">
        <f aca="false">IF(ABS(D45)&lt;0.000001,"PASS","FAIL")</f>
        <v>PASS</v>
      </c>
    </row>
    <row r="46" customFormat="false" ht="15" hidden="false" customHeight="false" outlineLevel="0" collapsed="false">
      <c r="A46" s="9" t="s">
        <v>1015</v>
      </c>
      <c r="B46" s="52" t="n">
        <f aca="false">Finance!E15</f>
        <v>0.166666666666667</v>
      </c>
      <c r="C46" s="47" t="n">
        <v>0.166666666666667</v>
      </c>
      <c r="D46" s="52" t="n">
        <f aca="false">B46-C46</f>
        <v>-3.05311331771918E-016</v>
      </c>
      <c r="E46" s="20" t="str">
        <f aca="false">IF(ABS(D46)&lt;0.000001,"PASS","FAIL")</f>
        <v>PASS</v>
      </c>
    </row>
    <row r="47" customFormat="false" ht="15" hidden="false" customHeight="false" outlineLevel="0" collapsed="false">
      <c r="A47" s="9" t="s">
        <v>1016</v>
      </c>
      <c r="B47" s="52" t="n">
        <f aca="false">Finance!F15</f>
        <v>0.0833333333333333</v>
      </c>
      <c r="C47" s="47" t="n">
        <v>0.0833333333333333</v>
      </c>
      <c r="D47" s="52" t="n">
        <f aca="false">B47-C47</f>
        <v>4.16333634234434E-017</v>
      </c>
      <c r="E47" s="20" t="str">
        <f aca="false">IF(ABS(D47)&lt;0.000001,"PASS","FAIL")</f>
        <v>PASS</v>
      </c>
    </row>
    <row r="48" customFormat="false" ht="15" hidden="false" customHeight="false" outlineLevel="0" collapsed="false">
      <c r="A48" s="9" t="s">
        <v>1017</v>
      </c>
      <c r="B48" s="52" t="n">
        <f aca="false">Finance!E26</f>
        <v>15.5869128193206</v>
      </c>
      <c r="C48" s="47" t="n">
        <v>15.5869128193206</v>
      </c>
      <c r="D48" s="52" t="n">
        <f aca="false">B48-C48</f>
        <v>-3.5527136788005E-015</v>
      </c>
      <c r="E48" s="20" t="str">
        <f aca="false">IF(ABS(D48)&lt;0.000001,"PASS","FAIL")</f>
        <v>PASS</v>
      </c>
    </row>
    <row r="49" customFormat="false" ht="15" hidden="false" customHeight="false" outlineLevel="0" collapsed="false">
      <c r="A49" s="9" t="s">
        <v>1018</v>
      </c>
      <c r="B49" s="52" t="n">
        <f aca="false">Finance!F26</f>
        <v>1</v>
      </c>
      <c r="C49" s="47" t="n">
        <v>1</v>
      </c>
      <c r="D49" s="52" t="n">
        <f aca="false">B49-C49</f>
        <v>2.22044604925031E-016</v>
      </c>
      <c r="E49" s="20" t="str">
        <f aca="false">IF(ABS(D49)&lt;0.000001,"PASS","FAIL")</f>
        <v>PASS</v>
      </c>
    </row>
    <row r="50" customFormat="false" ht="15" hidden="false" customHeight="false" outlineLevel="0" collapsed="false">
      <c r="A50" s="9" t="s">
        <v>1019</v>
      </c>
      <c r="B50" s="52" t="n">
        <f aca="false">Finance!G26</f>
        <v>0</v>
      </c>
      <c r="C50" s="47" t="n">
        <v>0</v>
      </c>
      <c r="D50" s="52" t="n">
        <f aca="false">B50-C50</f>
        <v>0</v>
      </c>
      <c r="E50" s="20" t="str">
        <f aca="false">IF(ABS(D50)&lt;0.000001,"PASS","FAIL")</f>
        <v>PASS</v>
      </c>
    </row>
    <row r="51" customFormat="false" ht="15" hidden="false" customHeight="false" outlineLevel="0" collapsed="false">
      <c r="A51" s="9" t="s">
        <v>1020</v>
      </c>
      <c r="B51" s="52" t="n">
        <f aca="false">COUNTA(Technology!A7:A24)</f>
        <v>18</v>
      </c>
      <c r="C51" s="47" t="n">
        <v>18</v>
      </c>
      <c r="D51" s="52" t="n">
        <f aca="false">B51-C51</f>
        <v>0</v>
      </c>
      <c r="E51" s="20" t="str">
        <f aca="false">IF(ABS(D51)&lt;0.000001,"PASS","FAIL")</f>
        <v>PASS</v>
      </c>
    </row>
    <row r="52" customFormat="false" ht="15" hidden="false" customHeight="false" outlineLevel="0" collapsed="false">
      <c r="A52" s="9" t="s">
        <v>1021</v>
      </c>
      <c r="B52" s="52" t="n">
        <f aca="false">COUNTA('ET Rig'!A7:A12)</f>
        <v>6</v>
      </c>
      <c r="C52" s="47" t="n">
        <v>6</v>
      </c>
      <c r="D52" s="52" t="n">
        <f aca="false">B52-C52</f>
        <v>0</v>
      </c>
      <c r="E52" s="20" t="str">
        <f aca="false">IF(ABS(D52)&lt;0.000001,"PASS","FAIL")</f>
        <v>PASS</v>
      </c>
    </row>
    <row r="53" customFormat="false" ht="15" hidden="false" customHeight="false" outlineLevel="0" collapsed="false">
      <c r="A53" s="9" t="s">
        <v>1022</v>
      </c>
      <c r="B53" s="52" t="n">
        <f aca="false">COUNTA('CT Rig'!A7:A12)</f>
        <v>6</v>
      </c>
      <c r="C53" s="47" t="n">
        <v>6</v>
      </c>
      <c r="D53" s="52" t="n">
        <f aca="false">B53-C53</f>
        <v>0</v>
      </c>
      <c r="E53" s="20" t="str">
        <f aca="false">IF(ABS(D53)&lt;0.000001,"PASS","FAIL")</f>
        <v>PASS</v>
      </c>
    </row>
    <row r="54" customFormat="false" ht="15" hidden="false" customHeight="false" outlineLevel="0" collapsed="false">
      <c r="A54" s="9" t="s">
        <v>1023</v>
      </c>
      <c r="B54" s="52" t="n">
        <f aca="false">COUNTA('HC Rig'!A7:A12)</f>
        <v>6</v>
      </c>
      <c r="C54" s="47" t="n">
        <v>6</v>
      </c>
      <c r="D54" s="52" t="n">
        <f aca="false">B54-C54</f>
        <v>0</v>
      </c>
      <c r="E54" s="20" t="str">
        <f aca="false">IF(ABS(D54)&lt;0.000001,"PASS","FAIL")</f>
        <v>PASS</v>
      </c>
    </row>
    <row r="55" customFormat="false" ht="15" hidden="false" customHeight="false" outlineLevel="0" collapsed="false">
      <c r="A55" s="9" t="s">
        <v>1024</v>
      </c>
      <c r="B55" s="52" t="n">
        <f aca="false">COUNTA('LF Rig'!A7:A12)</f>
        <v>6</v>
      </c>
      <c r="C55" s="47" t="n">
        <v>6</v>
      </c>
      <c r="D55" s="52" t="n">
        <f aca="false">B55-C55</f>
        <v>0</v>
      </c>
      <c r="E55" s="20" t="str">
        <f aca="false">IF(ABS(D55)&lt;0.000001,"PASS","FAIL")</f>
        <v>PASS</v>
      </c>
    </row>
    <row r="56" customFormat="false" ht="15" hidden="false" customHeight="false" outlineLevel="0" collapsed="false">
      <c r="A56" s="9" t="s">
        <v>1025</v>
      </c>
      <c r="B56" s="52" t="n">
        <f aca="false">COUNTA('HU Rig'!A7:A12)</f>
        <v>6</v>
      </c>
      <c r="C56" s="47" t="n">
        <v>6</v>
      </c>
      <c r="D56" s="52" t="n">
        <f aca="false">B56-C56</f>
        <v>0</v>
      </c>
      <c r="E56" s="20" t="str">
        <f aca="false">IF(ABS(D56)&lt;0.000001,"PASS","FAIL")</f>
        <v>PASS</v>
      </c>
    </row>
    <row r="57" customFormat="false" ht="15" hidden="false" customHeight="false" outlineLevel="0" collapsed="false">
      <c r="A57" s="9" t="s">
        <v>1026</v>
      </c>
      <c r="B57" s="52" t="n">
        <f aca="false">COUNTA('RT Rig'!A7:A12)</f>
        <v>6</v>
      </c>
      <c r="C57" s="47" t="n">
        <v>6</v>
      </c>
      <c r="D57" s="52" t="n">
        <f aca="false">B57-C57</f>
        <v>0</v>
      </c>
      <c r="E57" s="20" t="str">
        <f aca="false">IF(ABS(D57)&lt;0.000001,"PASS","FAIL")</f>
        <v>PASS</v>
      </c>
    </row>
    <row r="58" customFormat="false" ht="15" hidden="false" customHeight="false" outlineLevel="0" collapsed="false">
      <c r="A58" s="9" t="s">
        <v>1027</v>
      </c>
      <c r="B58" s="52" t="n">
        <f aca="false">COUNTA('Stress Tests'!A7:A22)</f>
        <v>16</v>
      </c>
      <c r="C58" s="47" t="n">
        <v>16</v>
      </c>
      <c r="D58" s="52" t="n">
        <f aca="false">B58-C58</f>
        <v>0</v>
      </c>
      <c r="E58" s="20" t="str">
        <f aca="false">IF(ABS(D58)&lt;0.000001,"PASS","FAIL")</f>
        <v>PASS</v>
      </c>
    </row>
    <row r="59" customFormat="false" ht="15" hidden="false" customHeight="false" outlineLevel="0" collapsed="false">
      <c r="A59" s="9" t="s">
        <v>1028</v>
      </c>
      <c r="B59" s="52" t="n">
        <f aca="false">COUNTIF('Stress Tests'!F7:F22,"PASS")</f>
        <v>16</v>
      </c>
      <c r="C59" s="47" t="n">
        <v>16</v>
      </c>
      <c r="D59" s="52" t="n">
        <f aca="false">B59-C59</f>
        <v>0</v>
      </c>
      <c r="E59" s="20" t="str">
        <f aca="false">IF(ABS(D59)&lt;0.000001,"PASS","FAIL")</f>
        <v>PASS</v>
      </c>
    </row>
    <row r="60" customFormat="false" ht="15" hidden="false" customHeight="false" outlineLevel="0" collapsed="false">
      <c r="A60" s="9" t="s">
        <v>1029</v>
      </c>
      <c r="B60" s="52" t="n">
        <f aca="false">Controls!B16</f>
        <v>0</v>
      </c>
      <c r="C60" s="47" t="n">
        <v>0</v>
      </c>
      <c r="D60" s="52" t="n">
        <f aca="false">B60-C60</f>
        <v>0</v>
      </c>
      <c r="E60" s="20" t="str">
        <f aca="false">IF(ABS(D60)&lt;0.000001,"PASS","FAIL")</f>
        <v>PASS</v>
      </c>
    </row>
    <row r="61" customFormat="false" ht="15" hidden="false" customHeight="false" outlineLevel="0" collapsed="false">
      <c r="A61" s="9" t="s">
        <v>1030</v>
      </c>
      <c r="B61" s="52" t="n">
        <f aca="false">Controls!B17</f>
        <v>0</v>
      </c>
      <c r="C61" s="47" t="n">
        <v>0</v>
      </c>
      <c r="D61" s="52" t="n">
        <f aca="false">B61-C61</f>
        <v>0</v>
      </c>
      <c r="E61" s="20" t="str">
        <f aca="false">IF(ABS(D61)&lt;0.000001,"PASS","FAIL")</f>
        <v>PASS</v>
      </c>
    </row>
    <row r="62" customFormat="false" ht="15" hidden="false" customHeight="false" outlineLevel="0" collapsed="false">
      <c r="A62" s="9" t="s">
        <v>1031</v>
      </c>
      <c r="B62" s="52" t="n">
        <f aca="false">Controls!B18</f>
        <v>0</v>
      </c>
      <c r="C62" s="47" t="n">
        <v>0</v>
      </c>
      <c r="D62" s="52" t="n">
        <f aca="false">B62-C62</f>
        <v>0</v>
      </c>
      <c r="E62" s="20" t="str">
        <f aca="false">IF(ABS(D62)&lt;0.000001,"PASS","FAIL")</f>
        <v>PASS</v>
      </c>
    </row>
    <row r="63" customFormat="false" ht="15" hidden="false" customHeight="false" outlineLevel="0" collapsed="false">
      <c r="A63" s="9" t="s">
        <v>1032</v>
      </c>
      <c r="B63" s="52" t="n">
        <f aca="false">Controls!B19</f>
        <v>0</v>
      </c>
      <c r="C63" s="47" t="n">
        <v>0</v>
      </c>
      <c r="D63" s="52" t="n">
        <f aca="false">B63-C63</f>
        <v>0</v>
      </c>
      <c r="E63" s="20" t="str">
        <f aca="false">IF(ABS(D63)&lt;0.000001,"PASS","FAIL")</f>
        <v>PASS</v>
      </c>
    </row>
    <row r="64" customFormat="false" ht="15" hidden="false" customHeight="false" outlineLevel="0" collapsed="false">
      <c r="A64" s="9" t="s">
        <v>1033</v>
      </c>
      <c r="B64" s="52" t="n">
        <f aca="false">Controls!B20</f>
        <v>0</v>
      </c>
      <c r="C64" s="47" t="n">
        <v>0</v>
      </c>
      <c r="D64" s="52" t="n">
        <f aca="false">B64-C64</f>
        <v>0</v>
      </c>
      <c r="E64" s="20" t="str">
        <f aca="false">IF(ABS(D64)&lt;0.000001,"PASS","FAIL")</f>
        <v>PASS</v>
      </c>
    </row>
    <row r="65" customFormat="false" ht="15" hidden="false" customHeight="false" outlineLevel="0" collapsed="false">
      <c r="A65" s="9" t="s">
        <v>1034</v>
      </c>
      <c r="B65" s="52" t="n">
        <f aca="false">Controls!B21</f>
        <v>0</v>
      </c>
      <c r="C65" s="47" t="n">
        <v>0</v>
      </c>
      <c r="D65" s="52" t="n">
        <f aca="false">B65-C65</f>
        <v>0</v>
      </c>
      <c r="E65" s="20" t="str">
        <f aca="false">IF(ABS(D65)&lt;0.000001,"PASS","FAIL")</f>
        <v>PASS</v>
      </c>
    </row>
    <row r="66" customFormat="false" ht="15" hidden="false" customHeight="false" outlineLevel="0" collapsed="false">
      <c r="A66" s="9" t="s">
        <v>1035</v>
      </c>
      <c r="B66" s="52" t="n">
        <f aca="false">Controls!B22</f>
        <v>0</v>
      </c>
      <c r="C66" s="47" t="n">
        <v>0</v>
      </c>
      <c r="D66" s="52" t="n">
        <f aca="false">B66-C66</f>
        <v>0</v>
      </c>
      <c r="E66" s="20" t="str">
        <f aca="false">IF(ABS(D66)&lt;0.000001,"PASS","FAIL")</f>
        <v>PASS</v>
      </c>
    </row>
    <row r="67" customFormat="false" ht="15" hidden="false" customHeight="false" outlineLevel="0" collapsed="false">
      <c r="A67" s="12" t="s">
        <v>1036</v>
      </c>
      <c r="B67" s="53" t="n">
        <f aca="false">Controls!B23</f>
        <v>0</v>
      </c>
      <c r="C67" s="49" t="n">
        <v>0</v>
      </c>
      <c r="D67" s="53" t="n">
        <f aca="false">B67-C67</f>
        <v>0</v>
      </c>
      <c r="E67" s="23" t="str">
        <f aca="false">IF(ABS(D67)&lt;0.000001,"PASS","FAIL")</f>
        <v>PASS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55"/>
    <col collapsed="false" customWidth="true" hidden="false" outlineLevel="0" max="3" min="3" style="0" width="49"/>
    <col collapsed="false" customWidth="true" hidden="false" outlineLevel="0" max="4" min="4" style="0" width="23"/>
    <col collapsed="false" customWidth="true" hidden="false" outlineLevel="0" max="5" min="5" style="0" width="56"/>
  </cols>
  <sheetData>
    <row r="2" customFormat="false" ht="24" hidden="false" customHeight="true" outlineLevel="0" collapsed="false">
      <c r="A2" s="1" t="s">
        <v>1037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1038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1039</v>
      </c>
      <c r="B6" s="6" t="s">
        <v>1040</v>
      </c>
      <c r="C6" s="6" t="s">
        <v>219</v>
      </c>
      <c r="D6" s="6" t="s">
        <v>1041</v>
      </c>
      <c r="E6" s="7" t="s">
        <v>1042</v>
      </c>
    </row>
    <row r="7" customFormat="false" ht="15" hidden="false" customHeight="false" outlineLevel="0" collapsed="false">
      <c r="A7" s="8" t="s">
        <v>106</v>
      </c>
      <c r="B7" s="8" t="s">
        <v>1043</v>
      </c>
      <c r="C7" s="8" t="s">
        <v>1044</v>
      </c>
      <c r="D7" s="8" t="s">
        <v>1045</v>
      </c>
      <c r="E7" s="8" t="s">
        <v>1046</v>
      </c>
    </row>
    <row r="8" customFormat="false" ht="15" hidden="false" customHeight="false" outlineLevel="0" collapsed="false">
      <c r="A8" s="9" t="s">
        <v>115</v>
      </c>
      <c r="B8" s="9" t="s">
        <v>1047</v>
      </c>
      <c r="C8" s="9" t="s">
        <v>1048</v>
      </c>
      <c r="D8" s="9" t="s">
        <v>1045</v>
      </c>
      <c r="E8" s="9" t="s">
        <v>1049</v>
      </c>
    </row>
    <row r="9" customFormat="false" ht="15" hidden="false" customHeight="false" outlineLevel="0" collapsed="false">
      <c r="A9" s="9" t="s">
        <v>1050</v>
      </c>
      <c r="B9" s="9" t="s">
        <v>1051</v>
      </c>
      <c r="C9" s="9" t="s">
        <v>1052</v>
      </c>
      <c r="D9" s="9" t="s">
        <v>1045</v>
      </c>
      <c r="E9" s="9" t="s">
        <v>1053</v>
      </c>
    </row>
    <row r="10" customFormat="false" ht="15" hidden="false" customHeight="false" outlineLevel="0" collapsed="false">
      <c r="A10" s="9" t="s">
        <v>1054</v>
      </c>
      <c r="B10" s="9" t="s">
        <v>1055</v>
      </c>
      <c r="C10" s="9" t="s">
        <v>1056</v>
      </c>
      <c r="D10" s="9" t="s">
        <v>1045</v>
      </c>
      <c r="E10" s="9" t="s">
        <v>1057</v>
      </c>
    </row>
    <row r="11" customFormat="false" ht="15" hidden="false" customHeight="false" outlineLevel="0" collapsed="false">
      <c r="A11" s="9" t="s">
        <v>1058</v>
      </c>
      <c r="B11" s="9" t="s">
        <v>1059</v>
      </c>
      <c r="C11" s="9" t="s">
        <v>1060</v>
      </c>
      <c r="D11" s="9" t="s">
        <v>1045</v>
      </c>
      <c r="E11" s="9" t="s">
        <v>1061</v>
      </c>
    </row>
    <row r="12" customFormat="false" ht="15" hidden="false" customHeight="false" outlineLevel="0" collapsed="false">
      <c r="A12" s="9" t="s">
        <v>1062</v>
      </c>
      <c r="B12" s="9" t="s">
        <v>1063</v>
      </c>
      <c r="C12" s="9" t="s">
        <v>1064</v>
      </c>
      <c r="D12" s="9" t="s">
        <v>1045</v>
      </c>
      <c r="E12" s="9" t="s">
        <v>1065</v>
      </c>
    </row>
    <row r="13" customFormat="false" ht="15" hidden="false" customHeight="false" outlineLevel="0" collapsed="false">
      <c r="A13" s="9" t="s">
        <v>1066</v>
      </c>
      <c r="B13" s="9" t="s">
        <v>1067</v>
      </c>
      <c r="C13" s="9" t="s">
        <v>1068</v>
      </c>
      <c r="D13" s="9" t="s">
        <v>1069</v>
      </c>
      <c r="E13" s="9" t="s">
        <v>1070</v>
      </c>
    </row>
    <row r="14" customFormat="false" ht="15" hidden="false" customHeight="false" outlineLevel="0" collapsed="false">
      <c r="A14" s="12" t="s">
        <v>1071</v>
      </c>
      <c r="B14" s="12" t="s">
        <v>1072</v>
      </c>
      <c r="C14" s="12" t="s">
        <v>1073</v>
      </c>
      <c r="D14" s="12" t="s">
        <v>1074</v>
      </c>
      <c r="E14" s="12" t="s">
        <v>1075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