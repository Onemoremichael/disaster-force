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Cohort Test" sheetId="2" state="visible" r:id="rId4"/>
    <sheet name="Service Vectors" sheetId="3" state="visible" r:id="rId5"/>
    <sheet name="Vector Ledger" sheetId="4" state="visible" r:id="rId6"/>
    <sheet name="Root Experiments" sheetId="5" state="visible" r:id="rId7"/>
    <sheet name="Interfaces" sheetId="6" state="visible" r:id="rId8"/>
    <sheet name="Finance" sheetId="7" state="visible" r:id="rId9"/>
    <sheet name="Payment" sheetId="8" state="visible" r:id="rId10"/>
    <sheet name="Evidence Sequence" sheetId="9" state="visible" r:id="rId11"/>
    <sheet name="Failure Logic" sheetId="10" state="visible" r:id="rId12"/>
    <sheet name="Authority" sheetId="11" state="visible" r:id="rId13"/>
    <sheet name="Technology Agenda" sheetId="12" state="visible" r:id="rId14"/>
    <sheet name="Stress Tests" sheetId="13" state="visible" r:id="rId15"/>
    <sheet name="Mutations" sheetId="14" state="visible" r:id="rId16"/>
    <sheet name="Audit" sheetId="15" state="visible" r:id="rId17"/>
    <sheet name="Sources &amp; Limits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<sst xmlns="http://schemas.openxmlformats.org/spreadsheetml/2006/main" count="1717" uniqueCount="999">
  <si>
    <t xml:space="preserve">First six-system requirement cohort</t>
  </si>
  <si>
    <t xml:space="preserve">Pass 208 | PFP-3 | compound first-reach cohort | Verdict: CLOSE</t>
  </si>
  <si>
    <t xml:space="preserve">Decision</t>
  </si>
  <si>
    <t xml:space="preserve">Open the first physical requirement wave around one compound service chain: no-pier heavy transfer, building and vertical access, persistent fire control, strategic water-energy carriers, distributed definitive care and field regeneration. Each field keeps eight noncompensatory service coordinates and four unlike root mechanisms. The cohort makes no platform, supplier, site, production or exterior-form selection.</t>
  </si>
  <si>
    <t xml:space="preserve">Cohort control</t>
  </si>
  <si>
    <t xml:space="preserve">Value</t>
  </si>
  <si>
    <t xml:space="preserve">Unit</t>
  </si>
  <si>
    <t xml:space="preserve">Physical obligation</t>
  </si>
  <si>
    <t xml:space="preserve">Selected candidate</t>
  </si>
  <si>
    <t xml:space="preserve">candidate</t>
  </si>
  <si>
    <t xml:space="preserve">Entry flow by hour 72</t>
  </si>
  <si>
    <t xml:space="preserve">accepted tonnes/day</t>
  </si>
  <si>
    <t xml:space="preserve">Selected fields</t>
  </si>
  <si>
    <t xml:space="preserve">fields</t>
  </si>
  <si>
    <t xml:space="preserve">Civil-terrain population</t>
  </si>
  <si>
    <t xml:space="preserve">people</t>
  </si>
  <si>
    <t xml:space="preserve">Vector coordinates</t>
  </si>
  <si>
    <t xml:space="preserve">conjunctive coordinates</t>
  </si>
  <si>
    <t xml:space="preserve">Fire-control edge article</t>
  </si>
  <si>
    <t xml:space="preserve">kilometres</t>
  </si>
  <si>
    <t xml:space="preserve">Root-field experiments</t>
  </si>
  <si>
    <t xml:space="preserve">opportunities</t>
  </si>
  <si>
    <t xml:space="preserve">Lifeline population zone</t>
  </si>
  <si>
    <t xml:space="preserve">Directed system interfaces</t>
  </si>
  <si>
    <t xml:space="preserve">records</t>
  </si>
  <si>
    <t xml:space="preserve">Clinical region</t>
  </si>
  <si>
    <t xml:space="preserve">First-tranche field ceiling</t>
  </si>
  <si>
    <t xml:space="preserve">USD billions</t>
  </si>
  <si>
    <t xml:space="preserve">Regeneration stack</t>
  </si>
  <si>
    <t xml:space="preserve">controlled positions</t>
  </si>
  <si>
    <t xml:space="preserve">Stageable private option</t>
  </si>
  <si>
    <t xml:space="preserve">Payment phases</t>
  </si>
  <si>
    <t xml:space="preserve">states</t>
  </si>
  <si>
    <t xml:space="preserve">Evidence-held mission option</t>
  </si>
  <si>
    <t xml:space="preserve">Evidence states</t>
  </si>
  <si>
    <t xml:space="preserve">Current awards</t>
  </si>
  <si>
    <t xml:space="preserve">accepted identities</t>
  </si>
  <si>
    <t xml:space="preserve">Stress worlds</t>
  </si>
  <si>
    <t xml:space="preserve">worlds</t>
  </si>
  <si>
    <t xml:space="preserve">Production credit</t>
  </si>
  <si>
    <t xml:space="preserve">Restored mutations</t>
  </si>
  <si>
    <t xml:space="preserve">mutations</t>
  </si>
  <si>
    <t xml:space="preserve">Candidate comparison</t>
  </si>
  <si>
    <t xml:space="preserve">Candidate</t>
  </si>
  <si>
    <t xml:space="preserve">Passed gates</t>
  </si>
  <si>
    <t xml:space="preserve">Result</t>
  </si>
  <si>
    <t xml:space="preserve">Compound route</t>
  </si>
  <si>
    <t xml:space="preserve">Inherited vectors</t>
  </si>
  <si>
    <t xml:space="preserve">New physics</t>
  </si>
  <si>
    <t xml:space="preserve">Mechanism neutral</t>
  </si>
  <si>
    <t xml:space="preserve">Non-substitution</t>
  </si>
  <si>
    <t xml:space="preserve">Root diversity</t>
  </si>
  <si>
    <t xml:space="preserve">Stageable</t>
  </si>
  <si>
    <t xml:space="preserve">Adverse evidence</t>
  </si>
  <si>
    <t xml:space="preserve">Reason</t>
  </si>
  <si>
    <t xml:space="preserve">Cohort selection test</t>
  </si>
  <si>
    <t xml:space="preserve">All ten gates must pass. Gate count cannot compensate for a failed public-service or physical-diversity condition.</t>
  </si>
  <si>
    <t xml:space="preserve">All six systems</t>
  </si>
  <si>
    <t xml:space="preserve">One field each</t>
  </si>
  <si>
    <t xml:space="preserve">Governing reason</t>
  </si>
  <si>
    <t xml:space="preserve">Compound first reach</t>
  </si>
  <si>
    <t xml:space="preserve">A single damaged-region thread forces entry, last-building reach, hazard control, lifelines, definitive care and regeneration to close together.</t>
  </si>
  <si>
    <t xml:space="preserve">Largest-demand first</t>
  </si>
  <si>
    <t xml:space="preserve">System-by-system demand ranking does not create one executable mission route and permits high-demand fields to dominate nonfungible failures.</t>
  </si>
  <si>
    <t xml:space="preserve">Showcase machines</t>
  </si>
  <si>
    <t xml:space="preserve">Naming a heavy lifter, fire aircraft, utility ship and hospital ship chooses exteriors before service geometry and encourages platform substitution.</t>
  </si>
  <si>
    <t xml:space="preserve">Infrastructure restoration</t>
  </si>
  <si>
    <t xml:space="preserve">Restored infrastructure can conceal failed clinical episodes, household reach and custody; it is not the complete public effect.</t>
  </si>
  <si>
    <t xml:space="preserve">Autonomy and control substrate</t>
  </si>
  <si>
    <t xml:space="preserve">A common information and autonomy substrate risks becoming one decisive technical root and has no complete six-system public denominator.</t>
  </si>
  <si>
    <t xml:space="preserve">Six public-service vectors</t>
  </si>
  <si>
    <t xml:space="preserve">Primary quantities summarize each field. All eight coordinates in the Vector Ledger remain conjunctive and system-native.</t>
  </si>
  <si>
    <t xml:space="preserve">Field ID</t>
  </si>
  <si>
    <t xml:space="preserve">System</t>
  </si>
  <si>
    <t xml:space="preserve">Mission system</t>
  </si>
  <si>
    <t xml:space="preserve">Selected problem field</t>
  </si>
  <si>
    <t xml:space="preserve">Public-service subject</t>
  </si>
  <si>
    <t xml:space="preserve">Primary floor</t>
  </si>
  <si>
    <t xml:space="preserve">First required state</t>
  </si>
  <si>
    <t xml:space="preserve">Endurance</t>
  </si>
  <si>
    <t xml:space="preserve">Governing denial</t>
  </si>
  <si>
    <t xml:space="preserve">Noncompensable completion law</t>
  </si>
  <si>
    <t xml:space="preserve">Mechanism selected</t>
  </si>
  <si>
    <t xml:space="preserve">Evidence status</t>
  </si>
  <si>
    <t xml:space="preserve">ET-F1</t>
  </si>
  <si>
    <t xml:space="preserve">MS-ET</t>
  </si>
  <si>
    <t xml:space="preserve">Enter a broken theater</t>
  </si>
  <si>
    <t xml:space="preserve">No-pier heavy transfer</t>
  </si>
  <si>
    <t xml:space="preserve">complete formation and cargo accepted through dry staging and onward custody</t>
  </si>
  <si>
    <t xml:space="preserve">by hour 72</t>
  </si>
  <si>
    <t xml:space="preserve">30 days</t>
  </si>
  <si>
    <t xml:space="preserve">fixed pier absent; largest transfer path lost</t>
  </si>
  <si>
    <t xml:space="preserve">discharge, gross lift or cargo motion without accepted custody earns zero</t>
  </si>
  <si>
    <t xml:space="preserve">UNOBSERVED</t>
  </si>
  <si>
    <t xml:space="preserve">CT-F2</t>
  </si>
  <si>
    <t xml:space="preserve">MS-CT</t>
  </si>
  <si>
    <t xml:space="preserve">Reach occupied civil terrain</t>
  </si>
  <si>
    <t xml:space="preserve">Building and vertical access</t>
  </si>
  <si>
    <t xml:space="preserve">people and households lawfully reached through occupied, damaged structures</t>
  </si>
  <si>
    <t xml:space="preserve">complete by hour 168</t>
  </si>
  <si>
    <t xml:space="preserve">7 days</t>
  </si>
  <si>
    <t xml:space="preserve">commercial network and one household company unavailable</t>
  </si>
  <si>
    <t xml:space="preserve">every household and vertical case closes or remains in an explicit exception queue</t>
  </si>
  <si>
    <t xml:space="preserve">HC-F1</t>
  </si>
  <si>
    <t xml:space="preserve">MS-HC</t>
  </si>
  <si>
    <t xml:space="preserve">Control an active hazard</t>
  </si>
  <si>
    <t xml:space="preserve">Persistent fire control</t>
  </si>
  <si>
    <t xml:space="preserve">protected fire edge held without host utilities and with intervention residual custody</t>
  </si>
  <si>
    <t xml:space="preserve">protected kilometre</t>
  </si>
  <si>
    <t xml:space="preserve">first effect 6 h; full edge 18 h</t>
  </si>
  <si>
    <t xml:space="preserve">72 h article; 30 day root</t>
  </si>
  <si>
    <t xml:space="preserve">grid, water, communications and drainage denied</t>
  </si>
  <si>
    <t xml:space="preserve">no registered crossing; line, water, agent, runoff and responder safety all pass</t>
  </si>
  <si>
    <t xml:space="preserve">LF-F1</t>
  </si>
  <si>
    <t xml:space="preserve">MS-LF</t>
  </si>
  <si>
    <t xml:space="preserve">Produce and distribute lifelines</t>
  </si>
  <si>
    <t xml:space="preserve">Strategic water-energy carriers</t>
  </si>
  <si>
    <t xml:space="preserve">two-million-person water, residual, firm-power and thermal service</t>
  </si>
  <si>
    <t xml:space="preserve">quarter output at 72 h; full at day 21</t>
  </si>
  <si>
    <t xml:space="preserve">largest source, corridor or host utility unavailable</t>
  </si>
  <si>
    <t xml:space="preserve">water, power, thermal, storage, residual and point-of-use release all pass</t>
  </si>
  <si>
    <t xml:space="preserve">HU-F1</t>
  </si>
  <si>
    <t xml:space="preserve">MS-HU</t>
  </si>
  <si>
    <t xml:space="preserve">Preserve care and human continuity</t>
  </si>
  <si>
    <t xml:space="preserve">Distributed definitive care</t>
  </si>
  <si>
    <t xml:space="preserve">completed appropriate clinical episodes across ten unlike care lines</t>
  </si>
  <si>
    <t xml:space="preserve">first complete pathway by 24 h; full service day 3</t>
  </si>
  <si>
    <t xml:space="preserve">one clinical island and one governing utility family lost</t>
  </si>
  <si>
    <t xml:space="preserve">staff, acuity, utilities, transfer and supported discharge close for every episode</t>
  </si>
  <si>
    <t xml:space="preserve">RT-F2</t>
  </si>
  <si>
    <t xml:space="preserve">MS-RT</t>
  </si>
  <si>
    <t xml:space="preserve">Sustain, transfer and regenerate</t>
  </si>
  <si>
    <t xml:space="preserve">Field regeneration</t>
  </si>
  <si>
    <t xml:space="preserve">complete all-six quarter-load stack returned to known configuration</t>
  </si>
  <si>
    <t xml:space="preserve">every critical configuration by 168 h</t>
  </si>
  <si>
    <t xml:space="preserve">30 day supported mission</t>
  </si>
  <si>
    <t xml:space="preserve">primary depot and one decisive recovery dependency unavailable</t>
  </si>
  <si>
    <t xml:space="preserve">no missing critical class; physical repair without signed recertification earns zero</t>
  </si>
  <si>
    <t xml:space="preserve">Vector Ledger</t>
  </si>
  <si>
    <t xml:space="preserve">Forty-eight numeric coordinates govern invention. A field passes only when all eight of its coordinates pass; the workbook does not calculate a compensating score.</t>
  </si>
  <si>
    <t xml:space="preserve">Problem field</t>
  </si>
  <si>
    <t xml:space="preserve">Coordinate</t>
  </si>
  <si>
    <t xml:space="preserve">Threshold</t>
  </si>
  <si>
    <t xml:space="preserve">Direction</t>
  </si>
  <si>
    <t xml:space="preserve">Basis</t>
  </si>
  <si>
    <t xml:space="preserve">Observed</t>
  </si>
  <si>
    <t xml:space="preserve">Coordinate credit</t>
  </si>
  <si>
    <t xml:space="preserve">Complete accepted flow</t>
  </si>
  <si>
    <t xml:space="preserve">tonnes/day</t>
  </si>
  <si>
    <t xml:space="preserve">&gt;=</t>
  </si>
  <si>
    <t xml:space="preserve">Hour-72 theater-entry corridor floor</t>
  </si>
  <si>
    <t xml:space="preserve">SOURCE EMPTY</t>
  </si>
  <si>
    <t xml:space="preserve">Rated no-pier node</t>
  </si>
  <si>
    <t xml:space="preserve">tonnes/hour</t>
  </si>
  <si>
    <t xml:space="preserve">Specialized no-pier transfer reference</t>
  </si>
  <si>
    <t xml:space="preserve">Available transfer fraction</t>
  </si>
  <si>
    <t xml:space="preserve">share</t>
  </si>
  <si>
    <t xml:space="preserve">Rate is not assumed continuously available</t>
  </si>
  <si>
    <t xml:space="preserve">Activation ceiling</t>
  </si>
  <si>
    <t xml:space="preserve">hours</t>
  </si>
  <si>
    <t xml:space="preserve">&lt;=</t>
  </si>
  <si>
    <t xml:space="preserve">No-pier node response reference</t>
  </si>
  <si>
    <t xml:space="preserve">Sustained service</t>
  </si>
  <si>
    <t xml:space="preserve">days</t>
  </si>
  <si>
    <t xml:space="preserve">Complete root endurance</t>
  </si>
  <si>
    <t xml:space="preserve">Largest path losses survived</t>
  </si>
  <si>
    <t xml:space="preserve">path</t>
  </si>
  <si>
    <t xml:space="preserve">Loss cannot end dry-stage flow</t>
  </si>
  <si>
    <t xml:space="preserve">Manifested custody</t>
  </si>
  <si>
    <t xml:space="preserve">equal</t>
  </si>
  <si>
    <t xml:space="preserve">Every accepted load retains identity and onward owner</t>
  </si>
  <si>
    <t xml:space="preserve">Borrowed host handling before release</t>
  </si>
  <si>
    <t xml:space="preserve">systems</t>
  </si>
  <si>
    <t xml:space="preserve">Receiver burden cannot create apparent throughput</t>
  </si>
  <si>
    <t xml:space="preserve">Demand population</t>
  </si>
  <si>
    <t xml:space="preserve">Three HCG-35B workloads</t>
  </si>
  <si>
    <t xml:space="preserve">Household workload</t>
  </si>
  <si>
    <t xml:space="preserve">households</t>
  </si>
  <si>
    <t xml:space="preserve">Every household disposition remains visible</t>
  </si>
  <si>
    <t xml:space="preserve">Released local route</t>
  </si>
  <si>
    <t xml:space="preserve">Access must connect building to public service</t>
  </si>
  <si>
    <t xml:space="preserve">Completed household productivity</t>
  </si>
  <si>
    <t xml:space="preserve">households/team-hour</t>
  </si>
  <si>
    <t xml:space="preserve">Isolation plus one-company-loss target</t>
  </si>
  <si>
    <t xml:space="preserve">Safe vertical completion</t>
  </si>
  <si>
    <t xml:space="preserve">people/team-hour</t>
  </si>
  <si>
    <t xml:space="preserve">Powered vertical technology target</t>
  </si>
  <si>
    <t xml:space="preserve">Completion ceiling</t>
  </si>
  <si>
    <t xml:space="preserve">Explicit disposition or exception queue</t>
  </si>
  <si>
    <t xml:space="preserve">Disposition coverage</t>
  </si>
  <si>
    <t xml:space="preserve">Missed or refused people remain explicit</t>
  </si>
  <si>
    <t xml:space="preserve">Simultaneous denials</t>
  </si>
  <si>
    <t xml:space="preserve">classes</t>
  </si>
  <si>
    <t xml:space="preserve">Network loss and one-company loss</t>
  </si>
  <si>
    <t xml:space="preserve">Protected edge article</t>
  </si>
  <si>
    <t xml:space="preserve">Twelve-cell no-host-utility article</t>
  </si>
  <si>
    <t xml:space="preserve">First independent effect</t>
  </si>
  <si>
    <t xml:space="preserve">Clock begins at receiver access</t>
  </si>
  <si>
    <t xml:space="preserve">Complete edge</t>
  </si>
  <si>
    <t xml:space="preserve">All gaps and crossings observed</t>
  </si>
  <si>
    <t xml:space="preserve">Article hold</t>
  </si>
  <si>
    <t xml:space="preserve">Persistent rather than episodic suppression</t>
  </si>
  <si>
    <t xml:space="preserve">Registered crossings</t>
  </si>
  <si>
    <t xml:space="preserve">crossings</t>
  </si>
  <si>
    <t xml:space="preserve">No nominal line credit</t>
  </si>
  <si>
    <t xml:space="preserve">Denied host utilities</t>
  </si>
  <si>
    <t xml:space="preserve">utility classes</t>
  </si>
  <si>
    <t xml:space="preserve">Grid, water, communications and drainage</t>
  </si>
  <si>
    <t xml:space="preserve">Intervention residual custody</t>
  </si>
  <si>
    <t xml:space="preserve">Water, agent, runoff and debris close</t>
  </si>
  <si>
    <t xml:space="preserve">Complete-root endurance</t>
  </si>
  <si>
    <t xml:space="preserve">Full hazard cell remains supported</t>
  </si>
  <si>
    <t xml:space="preserve">Water by hour 72</t>
  </si>
  <si>
    <t xml:space="preserve">m3/day</t>
  </si>
  <si>
    <t xml:space="preserve">Quarter output for two-million-person zone</t>
  </si>
  <si>
    <t xml:space="preserve">Firm electricity by hour 72</t>
  </si>
  <si>
    <t xml:space="preserve">MW</t>
  </si>
  <si>
    <t xml:space="preserve">Black-started public bus</t>
  </si>
  <si>
    <t xml:space="preserve">Safe thermal service by hour 72</t>
  </si>
  <si>
    <t xml:space="preserve">MWth</t>
  </si>
  <si>
    <t xml:space="preserve">Heating or cooling as public service</t>
  </si>
  <si>
    <t xml:space="preserve">Water by day 21</t>
  </si>
  <si>
    <t xml:space="preserve">Full service state</t>
  </si>
  <si>
    <t xml:space="preserve">Residual intake by day 21</t>
  </si>
  <si>
    <t xml:space="preserve">Wastewater or equivalent residual</t>
  </si>
  <si>
    <t xml:space="preserve">Firm electricity by day 21</t>
  </si>
  <si>
    <t xml:space="preserve">No borrowed host grid</t>
  </si>
  <si>
    <t xml:space="preserve">Safe thermal service by day 21</t>
  </si>
  <si>
    <t xml:space="preserve">No heat rejection externality</t>
  </si>
  <si>
    <t xml:space="preserve">One day water buffer also required</t>
  </si>
  <si>
    <t xml:space="preserve">Reference region</t>
  </si>
  <si>
    <t xml:space="preserve">Thirty-day clinical mission</t>
  </si>
  <si>
    <t xml:space="preserve">Unlike care lines</t>
  </si>
  <si>
    <t xml:space="preserve">care lines</t>
  </si>
  <si>
    <t xml:space="preserve">No aggregate bed substitution</t>
  </si>
  <si>
    <t xml:space="preserve">Staffed treatment positions</t>
  </si>
  <si>
    <t xml:space="preserve">positions</t>
  </si>
  <si>
    <t xml:space="preserve">Care-line-specific positions</t>
  </si>
  <si>
    <t xml:space="preserve">Direct clinical work</t>
  </si>
  <si>
    <t xml:space="preserve">hours/day</t>
  </si>
  <si>
    <t xml:space="preserve">Specialty and acuity remain distinct</t>
  </si>
  <si>
    <t xml:space="preserve">Emergency and resuscitation episodes</t>
  </si>
  <si>
    <t xml:space="preserve">episodes/day</t>
  </si>
  <si>
    <t xml:space="preserve">Completed episode, not arrival</t>
  </si>
  <si>
    <t xml:space="preserve">Accepted definitive transfers</t>
  </si>
  <si>
    <t xml:space="preserve">journeys/day</t>
  </si>
  <si>
    <t xml:space="preserve">Destination and custody accepted</t>
  </si>
  <si>
    <t xml:space="preserve">Supported discharge handoffs</t>
  </si>
  <si>
    <t xml:space="preserve">handoffs/day</t>
  </si>
  <si>
    <t xml:space="preserve">Unsafe discharge does not release capacity</t>
  </si>
  <si>
    <t xml:space="preserve">Survives one island and utility-family loss</t>
  </si>
  <si>
    <t xml:space="preserve">All-six stack</t>
  </si>
  <si>
    <t xml:space="preserve">Complete quarter-load mission stack</t>
  </si>
  <si>
    <t xml:space="preserve">Supported position-days</t>
  </si>
  <si>
    <t xml:space="preserve">position-days</t>
  </si>
  <si>
    <t xml:space="preserve">Ninety-nine positions for thirty days</t>
  </si>
  <si>
    <t xml:space="preserve">Critical configuration restoration</t>
  </si>
  <si>
    <t xml:space="preserve">Clock starts at accepted return</t>
  </si>
  <si>
    <t xml:space="preserve">Returned articles accepted</t>
  </si>
  <si>
    <t xml:space="preserve">No receiver dumping</t>
  </si>
  <si>
    <t xml:space="preserve">Residual streams accepted</t>
  </si>
  <si>
    <t xml:space="preserve">Contamination and waste remain in the service</t>
  </si>
  <si>
    <t xml:space="preserve">Missing critical classes</t>
  </si>
  <si>
    <t xml:space="preserve">Aggregate output cannot compensate</t>
  </si>
  <si>
    <t xml:space="preserve">Primary depot losses survived</t>
  </si>
  <si>
    <t xml:space="preserve">depot</t>
  </si>
  <si>
    <t xml:space="preserve">Field regeneration must remain available</t>
  </si>
  <si>
    <t xml:space="preserve">Cold reconstruction paths</t>
  </si>
  <si>
    <t xml:space="preserve">Outside team and sovereign configuration release</t>
  </si>
  <si>
    <t xml:space="preserve">Twenty-four selected root-field experiments</t>
  </si>
  <si>
    <t xml:space="preserve">Each complete root receives one field assignment in this cohort. The opportunity tests a physical proposition and cannot earn complete-root credit by itself.</t>
  </si>
  <si>
    <t xml:space="preserve">Opportunity</t>
  </si>
  <si>
    <t xml:space="preserve">Root</t>
  </si>
  <si>
    <t xml:space="preserve">Root thesis</t>
  </si>
  <si>
    <t xml:space="preserve">Mechanism hypothesis</t>
  </si>
  <si>
    <t xml:space="preserve">Decisive physical proposition</t>
  </si>
  <si>
    <t xml:space="preserve">First artifact</t>
  </si>
  <si>
    <t xml:space="preserve">Stageable option (USD B)</t>
  </si>
  <si>
    <t xml:space="preserve">Held option (USD B)</t>
  </si>
  <si>
    <t xml:space="preserve">State</t>
  </si>
  <si>
    <t xml:space="preserve">Control identity</t>
  </si>
  <si>
    <t xml:space="preserve">Kill trigger</t>
  </si>
  <si>
    <t xml:space="preserve">C1-01</t>
  </si>
  <si>
    <t xml:space="preserve">ET-A</t>
  </si>
  <si>
    <t xml:space="preserve">Oceanic mass bridge</t>
  </si>
  <si>
    <t xml:space="preserve">Dynamically stabilized offshore exchange with modular high-rate shallow connectors</t>
  </si>
  <si>
    <t xml:space="preserve">coupled wave-load cancellation, cargo stabilization and dry handoff</t>
  </si>
  <si>
    <t xml:space="preserve">one no-pier transfer lane with serialized mixed cargo</t>
  </si>
  <si>
    <t xml:space="preserve">UNAWARDED</t>
  </si>
  <si>
    <t xml:space="preserve">accepted rate or custody fails after loss of the largest connector</t>
  </si>
  <si>
    <t xml:space="preserve">C1-02</t>
  </si>
  <si>
    <t xml:space="preserve">ET-B</t>
  </si>
  <si>
    <t xml:space="preserve">Buoyant air bridge</t>
  </si>
  <si>
    <t xml:space="preserve">Buoyant heavy carriers that land or hover-transfer complete loads without a prepared runway</t>
  </si>
  <si>
    <t xml:space="preserve">distributed lift, low ground pressure and precision load exchange</t>
  </si>
  <si>
    <t xml:space="preserve">one heavy air-to-ground transfer chain</t>
  </si>
  <si>
    <t xml:space="preserve">weather, ground reaction or unload state defeats accepted cargo flow</t>
  </si>
  <si>
    <t xml:space="preserve">C1-03</t>
  </si>
  <si>
    <t xml:space="preserve">ET-C</t>
  </si>
  <si>
    <t xml:space="preserve">Austere surface bridge</t>
  </si>
  <si>
    <t xml:space="preserve">Machine-laid causeway, beachhead and rapid dry-terminal system</t>
  </si>
  <si>
    <t xml:space="preserve">deployable bearing surface, joint control and robotic cargo motion</t>
  </si>
  <si>
    <t xml:space="preserve">one austere shore-to-dry-stage corridor</t>
  </si>
  <si>
    <t xml:space="preserve">surface damage or route loss breaks the 72-hour service floor</t>
  </si>
  <si>
    <t xml:space="preserve">C1-04</t>
  </si>
  <si>
    <t xml:space="preserve">ET-D</t>
  </si>
  <si>
    <t xml:space="preserve">Amphibious autonomous mesh</t>
  </si>
  <si>
    <t xml:space="preserve">Distributed uncrewed amphibious lighters and autonomous cross-dock mesh</t>
  </si>
  <si>
    <t xml:space="preserve">swarm routing, shallow-water transition and independent custody</t>
  </si>
  <si>
    <t xml:space="preserve">one multi-path amphibious transfer mesh</t>
  </si>
  <si>
    <t xml:space="preserve">common control or one node loss removes the service path</t>
  </si>
  <si>
    <t xml:space="preserve">C1-05</t>
  </si>
  <si>
    <t xml:space="preserve">CT-A</t>
  </si>
  <si>
    <t xml:space="preserve">Civic edge grid</t>
  </si>
  <si>
    <t xml:space="preserve">Prepared civic edge interfaces with powered refuge and accessible building adapters</t>
  </si>
  <si>
    <t xml:space="preserve">safe entry state, local power and standardized human-service connection</t>
  </si>
  <si>
    <t xml:space="preserve">one occupied-building access sector</t>
  </si>
  <si>
    <t xml:space="preserve">faster entry weakens evidence, consent or egress</t>
  </si>
  <si>
    <t xml:space="preserve">C1-06</t>
  </si>
  <si>
    <t xml:space="preserve">CT-B</t>
  </si>
  <si>
    <t xml:space="preserve">Air-and-skin reach</t>
  </si>
  <si>
    <t xml:space="preserve">Exterior-climbing machines and envelope docking for access above failed cores</t>
  </si>
  <si>
    <t xml:space="preserve">adhesion, variable facade contact and protected human transfer</t>
  </si>
  <si>
    <t xml:space="preserve">one high-rise skin-reach system</t>
  </si>
  <si>
    <t xml:space="preserve">wind, facade damage or rescue load defeats safe vertical service</t>
  </si>
  <si>
    <t xml:space="preserve">C1-07</t>
  </si>
  <si>
    <t xml:space="preserve">CT-C</t>
  </si>
  <si>
    <t xml:space="preserve">Building utility spine</t>
  </si>
  <si>
    <t xml:space="preserve">Temporary external lift, stair, power and water spine attached without relying on the building core</t>
  </si>
  <si>
    <t xml:space="preserve">reversible structural attachment and isolated utility transfer</t>
  </si>
  <si>
    <t xml:space="preserve">one building utility and vertical spine</t>
  </si>
  <si>
    <t xml:space="preserve">attachment, smoke or common shaft failure exports risk to occupants</t>
  </si>
  <si>
    <t xml:space="preserve">C1-08</t>
  </si>
  <si>
    <t xml:space="preserve">CT-D</t>
  </si>
  <si>
    <t xml:space="preserve">Neighborhood machine swarm</t>
  </si>
  <si>
    <t xml:space="preserve">Neighborhood machine swarm with human-assist mobility and distributed sensing</t>
  </si>
  <si>
    <t xml:space="preserve">safe multi-robot work in occupied, hot, dark and cluttered interiors</t>
  </si>
  <si>
    <t xml:space="preserve">one disconnected neighborhood access mesh</t>
  </si>
  <si>
    <t xml:space="preserve">network loss, obstacle distribution or worker injury defeats completion</t>
  </si>
  <si>
    <t xml:space="preserve">C1-09</t>
  </si>
  <si>
    <t xml:space="preserve">HC-A</t>
  </si>
  <si>
    <t xml:space="preserve">Atmospheric control wing</t>
  </si>
  <si>
    <t xml:space="preserve">Purpose-built endurance aircraft with precision multi-agent delivery and continuous edge sensing</t>
  </si>
  <si>
    <t xml:space="preserve">high-duty thermal structure, adaptive drop field and mixed-airspace control</t>
  </si>
  <si>
    <t xml:space="preserve">one persistent atmospheric fire-control element</t>
  </si>
  <si>
    <t xml:space="preserve">delivered fluid cannot be attributed to a held edge or safe cycle</t>
  </si>
  <si>
    <t xml:space="preserve">C1-10</t>
  </si>
  <si>
    <t xml:space="preserve">HC-B</t>
  </si>
  <si>
    <t xml:space="preserve">Fluid intervention lattice</t>
  </si>
  <si>
    <t xml:space="preserve">Closed-loop high-rate water and agent lattice with deployable towers and recovery</t>
  </si>
  <si>
    <t xml:space="preserve">distributed hydraulic pulse shaping and contaminated return control</t>
  </si>
  <si>
    <t xml:space="preserve">one fluid-intervention edge sector</t>
  </si>
  <si>
    <t xml:space="preserve">host-water loss or runoff custody defeats persistent control</t>
  </si>
  <si>
    <t xml:space="preserve">C1-11</t>
  </si>
  <si>
    <t xml:space="preserve">HC-C</t>
  </si>
  <si>
    <t xml:space="preserve">Autonomous terrain corps</t>
  </si>
  <si>
    <t xml:space="preserve">Optionally crewed terrain machines that cut, treat and hold line under plume exposure</t>
  </si>
  <si>
    <t xml:space="preserve">autonomous earthwork, tool exchange and thermal survivability</t>
  </si>
  <si>
    <t xml:space="preserve">one robotic line-production and hold train</t>
  </si>
  <si>
    <t xml:space="preserve">line production outruns hold, rescue or regeneration</t>
  </si>
  <si>
    <t xml:space="preserve">C1-12</t>
  </si>
  <si>
    <t xml:space="preserve">HC-D</t>
  </si>
  <si>
    <t xml:space="preserve">Distributed control field</t>
  </si>
  <si>
    <t xml:space="preserve">Distributed sensing and actuator field that changes local heat, ember and fuel conditions</t>
  </si>
  <si>
    <t xml:space="preserve">edge prediction, cellular intervention and fault-contained autonomy</t>
  </si>
  <si>
    <t xml:space="preserve">one boundary-control field</t>
  </si>
  <si>
    <t xml:space="preserve">common sensing or actuation error creates an unobserved crossing</t>
  </si>
  <si>
    <t xml:space="preserve">C1-13</t>
  </si>
  <si>
    <t xml:space="preserve">LF-A</t>
  </si>
  <si>
    <t xml:space="preserve">Oceanic nuclear utility</t>
  </si>
  <si>
    <t xml:space="preserve">Nuclear-thermal coastal utility carrier producing water, firm power and heat rejection</t>
  </si>
  <si>
    <t xml:space="preserve">passively safe mobile heat source, seawater conversion and reversible shore export</t>
  </si>
  <si>
    <t xml:space="preserve">one quarter-service coastal utility sector</t>
  </si>
  <si>
    <t xml:space="preserve">source safety, brine custody or shore export cannot close independently</t>
  </si>
  <si>
    <t xml:space="preserve">C1-14</t>
  </si>
  <si>
    <t xml:space="preserve">LF-B</t>
  </si>
  <si>
    <t xml:space="preserve">Inland geothermal train</t>
  </si>
  <si>
    <t xml:space="preserve">Inland geothermal and brackish-water train with rapid wells and modular treatment</t>
  </si>
  <si>
    <t xml:space="preserve">rapid subsurface characterization, drilling and isolated heat-water conversion</t>
  </si>
  <si>
    <t xml:space="preserve">one quarter-service inland utility train</t>
  </si>
  <si>
    <t xml:space="preserve">aquifer, well, residual or deployment clock fails</t>
  </si>
  <si>
    <t xml:space="preserve">C1-15</t>
  </si>
  <si>
    <t xml:space="preserve">LF-C</t>
  </si>
  <si>
    <t xml:space="preserve">Renewable electrochemical swarm</t>
  </si>
  <si>
    <t xml:space="preserve">Renewable electrochemical swarm with long-duration storage and selective separation</t>
  </si>
  <si>
    <t xml:space="preserve">distributed capture, storage, grid formation and variable-feed treatment</t>
  </si>
  <si>
    <t xml:space="preserve">one quarter-service electrochemical utility mesh</t>
  </si>
  <si>
    <t xml:space="preserve">correlated resource denial exceeds stored service or land boundary</t>
  </si>
  <si>
    <t xml:space="preserve">C1-16</t>
  </si>
  <si>
    <t xml:space="preserve">LF-D</t>
  </si>
  <si>
    <t xml:space="preserve">Synthetic-fuel service fleet</t>
  </si>
  <si>
    <t xml:space="preserve">Synthetic-fuel cogeneration fleet with water treatment and captured residuals</t>
  </si>
  <si>
    <t xml:space="preserve">portable fuel synthesis, clean combustion and multi-product thermal integration</t>
  </si>
  <si>
    <t xml:space="preserve">one quarter-service fuel utility fleet</t>
  </si>
  <si>
    <t xml:space="preserve">fuel chain, emissions or residual dependence remains external</t>
  </si>
  <si>
    <t xml:space="preserve">C1-17</t>
  </si>
  <si>
    <t xml:space="preserve">HU-A</t>
  </si>
  <si>
    <t xml:space="preserve">Clinical continuity campus</t>
  </si>
  <si>
    <t xml:space="preserve">Federated configurable clinical islands with deep utilities and specialty support</t>
  </si>
  <si>
    <t xml:space="preserve">acuity-specific modular care, infection zoning and loss-tolerant clinical flow</t>
  </si>
  <si>
    <t xml:space="preserve">one distributed definitive-care lattice</t>
  </si>
  <si>
    <t xml:space="preserve">a care line, utility or discharge path disappears after island loss</t>
  </si>
  <si>
    <t xml:space="preserve">C1-18</t>
  </si>
  <si>
    <t xml:space="preserve">HU-B</t>
  </si>
  <si>
    <t xml:space="preserve">Neighborhood care fabric</t>
  </si>
  <si>
    <t xml:space="preserve">Neighborhood definitive-care fabric that moves staff and high-acuity functions to protected local nodes</t>
  </si>
  <si>
    <t xml:space="preserve">portable diagnostics, remote presence and supervised clinical robotics</t>
  </si>
  <si>
    <t xml:space="preserve">one neighborhood care network</t>
  </si>
  <si>
    <t xml:space="preserve">distributed care delays definitive treatment or fragments custody</t>
  </si>
  <si>
    <t xml:space="preserve">C1-19</t>
  </si>
  <si>
    <t xml:space="preserve">HU-C</t>
  </si>
  <si>
    <t xml:space="preserve">Mobile care network</t>
  </si>
  <si>
    <t xml:space="preserve">Mobile multimode care network that reconfigures while patients remain in the pathway</t>
  </si>
  <si>
    <t xml:space="preserve">vehicle-agnostic clinical blocks, continuous monitoring and accepted transfer</t>
  </si>
  <si>
    <t xml:space="preserve">one mobile care lattice</t>
  </si>
  <si>
    <t xml:space="preserve">motion or reconfiguration interrupts therapy or patient identity</t>
  </si>
  <si>
    <t xml:space="preserve">C1-20</t>
  </si>
  <si>
    <t xml:space="preserve">HU-D</t>
  </si>
  <si>
    <t xml:space="preserve">Host-building conversion system</t>
  </si>
  <si>
    <t xml:space="preserve">Rapid host-building conversion system with isolated clean, controlled and contaminated domains</t>
  </si>
  <si>
    <t xml:space="preserve">reversible clinical retrofit, independent utilities and commissioning evidence</t>
  </si>
  <si>
    <t xml:space="preserve">one converted definitive-care campus</t>
  </si>
  <si>
    <t xml:space="preserve">host structure or utilities remain a hidden single point of failure</t>
  </si>
  <si>
    <t xml:space="preserve">C1-21</t>
  </si>
  <si>
    <t xml:space="preserve">RT-A</t>
  </si>
  <si>
    <t xml:space="preserve">Heavy arsenal base</t>
  </si>
  <si>
    <t xml:space="preserve">Heavy automated arsenal with modular exchange and protected reference articles</t>
  </si>
  <si>
    <t xml:space="preserve">machine inspection, deep repair and configuration-controlled swap</t>
  </si>
  <si>
    <t xml:space="preserve">one field recovery and recertification line</t>
  </si>
  <si>
    <t xml:space="preserve">physical repair completes without independent configuration release</t>
  </si>
  <si>
    <t xml:space="preserve">C1-22</t>
  </si>
  <si>
    <t xml:space="preserve">RT-B</t>
  </si>
  <si>
    <t xml:space="preserve">Distributed microfactory mesh</t>
  </si>
  <si>
    <t xml:space="preserve">Distributed microfactory mesh for additive, subtractive and material-specific repair</t>
  </si>
  <si>
    <t xml:space="preserve">portable process qualification and serial-level genealogy</t>
  </si>
  <si>
    <t xml:space="preserve">one disconnected repair mesh</t>
  </si>
  <si>
    <t xml:space="preserve">common feedstock, software or metrology defeats independent return</t>
  </si>
  <si>
    <t xml:space="preserve">C1-23</t>
  </si>
  <si>
    <t xml:space="preserve">RT-C</t>
  </si>
  <si>
    <t xml:space="preserve">Exchange and remanufacture network</t>
  </si>
  <si>
    <t xml:space="preserve">Exchange and remanufacture network that routes failed modules to unlike recovery paths</t>
  </si>
  <si>
    <t xml:space="preserve">condition-based exchange, remanufacture and controlled substitution</t>
  </si>
  <si>
    <t xml:space="preserve">one multi-route return-and-replacement network</t>
  </si>
  <si>
    <t xml:space="preserve">a missing critical class is hidden by aggregate output</t>
  </si>
  <si>
    <t xml:space="preserve">C1-24</t>
  </si>
  <si>
    <t xml:space="preserve">RT-D</t>
  </si>
  <si>
    <t xml:space="preserve">Closed-loop sustainment fleet</t>
  </si>
  <si>
    <t xml:space="preserve">Closed-loop sustainment fleet that carries contamination control, repair and mobile metrology</t>
  </si>
  <si>
    <t xml:space="preserve">mobile decontamination, residual processing and sovereign recertification</t>
  </si>
  <si>
    <t xml:space="preserve">one closed field-regeneration loop</t>
  </si>
  <si>
    <t xml:space="preserve">return burdens the receiver or a vendor-only key blocks release</t>
  </si>
  <si>
    <t xml:space="preserve">Interfaces</t>
  </si>
  <si>
    <t xml:space="preserve">Thirty directed exchange records bind the six fields into one campaign. An interface may carry service or state; it may not turn one system's output into another system's credit.</t>
  </si>
  <si>
    <t xml:space="preserve">#</t>
  </si>
  <si>
    <t xml:space="preserve">Provider</t>
  </si>
  <si>
    <t xml:space="preserve">Receiver</t>
  </si>
  <si>
    <t xml:space="preserve">Exchange obligation</t>
  </si>
  <si>
    <t xml:space="preserve">Acceptance boundary</t>
  </si>
  <si>
    <t xml:space="preserve">May substitute</t>
  </si>
  <si>
    <t xml:space="preserve">Identity</t>
  </si>
  <si>
    <t xml:space="preserve">accepted entry, cargo custody and delivered formation state</t>
  </si>
  <si>
    <t xml:space="preserve">MS-ET output accepted by MS-CT at the public interface</t>
  </si>
  <si>
    <t xml:space="preserve">No</t>
  </si>
  <si>
    <t xml:space="preserve">OPEN</t>
  </si>
  <si>
    <t xml:space="preserve">MS-ET output accepted by MS-HC at the public interface</t>
  </si>
  <si>
    <t xml:space="preserve">MS-ET output accepted by MS-LF at the public interface</t>
  </si>
  <si>
    <t xml:space="preserve">MS-ET output accepted by MS-HU at the public interface</t>
  </si>
  <si>
    <t xml:space="preserve">MS-ET output accepted by MS-RT at the public interface</t>
  </si>
  <si>
    <t xml:space="preserve">occupied-terrain access, receiver state and lawful person-service handoff</t>
  </si>
  <si>
    <t xml:space="preserve">MS-CT output accepted by MS-ET at the public interface</t>
  </si>
  <si>
    <t xml:space="preserve">MS-CT output accepted by MS-HC at the public interface</t>
  </si>
  <si>
    <t xml:space="preserve">MS-CT output accepted by MS-LF at the public interface</t>
  </si>
  <si>
    <t xml:space="preserve">MS-CT output accepted by MS-HU at the public interface</t>
  </si>
  <si>
    <t xml:space="preserve">MS-CT output accepted by MS-RT at the public interface</t>
  </si>
  <si>
    <t xml:space="preserve">safe approach, controlled boundary and consequence state</t>
  </si>
  <si>
    <t xml:space="preserve">MS-HC output accepted by MS-ET at the public interface</t>
  </si>
  <si>
    <t xml:space="preserve">MS-HC output accepted by MS-CT at the public interface</t>
  </si>
  <si>
    <t xml:space="preserve">MS-HC output accepted by MS-LF at the public interface</t>
  </si>
  <si>
    <t xml:space="preserve">MS-HC output accepted by MS-HU at the public interface</t>
  </si>
  <si>
    <t xml:space="preserve">MS-HC output accepted by MS-RT at the public interface</t>
  </si>
  <si>
    <t xml:space="preserve">quality-released water, firm power, thermal service and residual acceptance</t>
  </si>
  <si>
    <t xml:space="preserve">MS-LF output accepted by MS-ET at the public interface</t>
  </si>
  <si>
    <t xml:space="preserve">MS-LF output accepted by MS-CT at the public interface</t>
  </si>
  <si>
    <t xml:space="preserve">MS-LF output accepted by MS-HC at the public interface</t>
  </si>
  <si>
    <t xml:space="preserve">MS-LF output accepted by MS-HU at the public interface</t>
  </si>
  <si>
    <t xml:space="preserve">MS-LF output accepted by MS-RT at the public interface</t>
  </si>
  <si>
    <t xml:space="preserve">clinical acceptance, workforce care and patient/household state</t>
  </si>
  <si>
    <t xml:space="preserve">MS-HU output accepted by MS-ET at the public interface</t>
  </si>
  <si>
    <t xml:space="preserve">MS-HU output accepted by MS-CT at the public interface</t>
  </si>
  <si>
    <t xml:space="preserve">MS-HU output accepted by MS-HC at the public interface</t>
  </si>
  <si>
    <t xml:space="preserve">MS-HU output accepted by MS-LF at the public interface</t>
  </si>
  <si>
    <t xml:space="preserve">MS-HU output accepted by MS-RT at the public interface</t>
  </si>
  <si>
    <t xml:space="preserve">sustainment, return acceptance, repair and renewed configuration</t>
  </si>
  <si>
    <t xml:space="preserve">MS-RT output accepted by MS-ET at the public interface</t>
  </si>
  <si>
    <t xml:space="preserve">MS-RT output accepted by MS-CT at the public interface</t>
  </si>
  <si>
    <t xml:space="preserve">MS-RT output accepted by MS-HC at the public interface</t>
  </si>
  <si>
    <t xml:space="preserve">MS-RT output accepted by MS-LF at the public interface</t>
  </si>
  <si>
    <t xml:space="preserve">MS-RT output accepted by MS-HU at the public interface</t>
  </si>
  <si>
    <t xml:space="preserve">Selected-cohort financial boundary</t>
  </si>
  <si>
    <t xml:space="preserve">One of four problem fields in every mission system enters the cohort. Authority is a ceiling, not an award, asset value or capability claim.</t>
  </si>
  <si>
    <t xml:space="preserve">Full field program (USD B)</t>
  </si>
  <si>
    <t xml:space="preserve">T1 field ceiling (USD B)</t>
  </si>
  <si>
    <t xml:space="preserve">Evidence-held (USD B)</t>
  </si>
  <si>
    <t xml:space="preserve">Share of stageable cohort</t>
  </si>
  <si>
    <t xml:space="preserve">Root opportunities</t>
  </si>
  <si>
    <t xml:space="preserve">Awarded (USD B)</t>
  </si>
  <si>
    <t xml:space="preserve">Total</t>
  </si>
  <si>
    <t xml:space="preserve">Six systems; one field each</t>
  </si>
  <si>
    <t xml:space="preserve">Artifact payment for the selected cohort</t>
  </si>
  <si>
    <t xml:space="preserve">Payment follows accepted evidence-bearing work. Valid adverse evidence is payable; no payment state creates root or production credit.</t>
  </si>
  <si>
    <t xml:space="preserve">Share</t>
  </si>
  <si>
    <t xml:space="preserve">Cohort ceiling (USD B)</t>
  </si>
  <si>
    <t xml:space="preserve">Cumulative paid (USD B)</t>
  </si>
  <si>
    <t xml:space="preserve">Unexercised balance (USD B)</t>
  </si>
  <si>
    <t xml:space="preserve">Earned artifact</t>
  </si>
  <si>
    <t xml:space="preserve">Adverse result paid</t>
  </si>
  <si>
    <t xml:space="preserve">Root credit</t>
  </si>
  <si>
    <t xml:space="preserve">Current acceptance</t>
  </si>
  <si>
    <t xml:space="preserve">FRAME</t>
  </si>
  <si>
    <t xml:space="preserve">public vector, field charter and ancestry plan</t>
  </si>
  <si>
    <t xml:space="preserve">Yes</t>
  </si>
  <si>
    <t xml:space="preserve">NONE</t>
  </si>
  <si>
    <t xml:space="preserve">MAKE</t>
  </si>
  <si>
    <t xml:space="preserve">measured mechanism article and controlled bill</t>
  </si>
  <si>
    <t xml:space="preserve">BREAK</t>
  </si>
  <si>
    <t xml:space="preserve">challenge, matched control and valid evidence packet</t>
  </si>
  <si>
    <t xml:space="preserve">TRANSFER</t>
  </si>
  <si>
    <t xml:space="preserve">cold-build package, public custody and disposition</t>
  </si>
  <si>
    <t xml:space="preserve">Complete selected-field option ladder</t>
  </si>
  <si>
    <t xml:space="preserve">Evidence Sequence</t>
  </si>
  <si>
    <t xml:space="preserve">The cohort advances through the inherited eight-state ladder. Only accepted artifacts change state; time, cost, urgency and visibility do not.</t>
  </si>
  <si>
    <t xml:space="preserve">Physical meaning</t>
  </si>
  <si>
    <t xml:space="preserve">Required artifact</t>
  </si>
  <si>
    <t xml:space="preserve">Decision authority</t>
  </si>
  <si>
    <t xml:space="preserve">Field credit</t>
  </si>
  <si>
    <t xml:space="preserve">Current count</t>
  </si>
  <si>
    <t xml:space="preserve">A0</t>
  </si>
  <si>
    <t xml:space="preserve">public method and interface</t>
  </si>
  <si>
    <t xml:space="preserve">frozen vector, test method, rights and receiver boundary</t>
  </si>
  <si>
    <t xml:space="preserve">Mission System Command + public standards</t>
  </si>
  <si>
    <t xml:space="preserve">A1</t>
  </si>
  <si>
    <t xml:space="preserve">mechanism article</t>
  </si>
  <si>
    <t xml:space="preserve">serialized physical proposition and controlled bill</t>
  </si>
  <si>
    <t xml:space="preserve">Generating Service</t>
  </si>
  <si>
    <t xml:space="preserve">A2</t>
  </si>
  <si>
    <t xml:space="preserve">endpoint rig</t>
  </si>
  <si>
    <t xml:space="preserve">matched challenge, control and independent packet</t>
  </si>
  <si>
    <t xml:space="preserve">Resilience Proving Service</t>
  </si>
  <si>
    <t xml:space="preserve">A3</t>
  </si>
  <si>
    <t xml:space="preserve">route-complete proof unit</t>
  </si>
  <si>
    <t xml:space="preserve">field mechanism inside every required route and stage</t>
  </si>
  <si>
    <t xml:space="preserve">Root Disposition Board</t>
  </si>
  <si>
    <t xml:space="preserve">A4</t>
  </si>
  <si>
    <t xml:space="preserve">reproduced complete root</t>
  </si>
  <si>
    <t xml:space="preserve">outside team cold-builds and repeats the complete root</t>
  </si>
  <si>
    <t xml:space="preserve">Independent release</t>
  </si>
  <si>
    <t xml:space="preserve">A5</t>
  </si>
  <si>
    <t xml:space="preserve">rotating all-six stack</t>
  </si>
  <si>
    <t xml:space="preserve">one accepted root per system closes the joint mission</t>
  </si>
  <si>
    <t xml:space="preserve">Joint mission acceptance</t>
  </si>
  <si>
    <t xml:space="preserve">A6</t>
  </si>
  <si>
    <t xml:space="preserve">production-representative increment</t>
  </si>
  <si>
    <t xml:space="preserve">cold lot survives production and configuration variation</t>
  </si>
  <si>
    <t xml:space="preserve">Production release authorities</t>
  </si>
  <si>
    <t xml:space="preserve">A7</t>
  </si>
  <si>
    <t xml:space="preserve">field formation or regenerated serial</t>
  </si>
  <si>
    <t xml:space="preserve">crew, receiver, sustainment and readiness all accepted</t>
  </si>
  <si>
    <t xml:space="preserve">Force generation and employment warrants</t>
  </si>
  <si>
    <t xml:space="preserve">Failure Logic</t>
  </si>
  <si>
    <t xml:space="preserve">The cohort is designed to learn from valid failure while refusing outcome-aware repetition and cross-field substitution.</t>
  </si>
  <si>
    <t xml:space="preserve">Trigger</t>
  </si>
  <si>
    <t xml:space="preserve">Disposition</t>
  </si>
  <si>
    <t xml:space="preserve">Paid work</t>
  </si>
  <si>
    <t xml:space="preserve">Held authority</t>
  </si>
  <si>
    <t xml:space="preserve">Required successor</t>
  </si>
  <si>
    <t xml:space="preserve">Evidence treatment</t>
  </si>
  <si>
    <t xml:space="preserve">May change vector</t>
  </si>
  <si>
    <t xml:space="preserve">Coordinate misses threshold</t>
  </si>
  <si>
    <t xml:space="preserve">RESIZE or KILL</t>
  </si>
  <si>
    <t xml:space="preserve">accepted valid work</t>
  </si>
  <si>
    <t xml:space="preserve">remains in owning system</t>
  </si>
  <si>
    <t xml:space="preserve">new physical proposition</t>
  </si>
  <si>
    <t xml:space="preserve">adverse result permanent</t>
  </si>
  <si>
    <t xml:space="preserve">Safety or rights failure</t>
  </si>
  <si>
    <t xml:space="preserve">STOP</t>
  </si>
  <si>
    <t xml:space="preserve">accepted safe work only</t>
  </si>
  <si>
    <t xml:space="preserve">remains held</t>
  </si>
  <si>
    <t xml:space="preserve">independent remedy and new event</t>
  </si>
  <si>
    <t xml:space="preserve">stop and consequence preserved</t>
  </si>
  <si>
    <t xml:space="preserve">Invalid event</t>
  </si>
  <si>
    <t xml:space="preserve">HOLD</t>
  </si>
  <si>
    <t xml:space="preserve">no evidentiary milestone</t>
  </si>
  <si>
    <t xml:space="preserve">one exact-event replay only</t>
  </si>
  <si>
    <t xml:space="preserve">same frozen event</t>
  </si>
  <si>
    <t xml:space="preserve">invalid record replaced, not erased</t>
  </si>
  <si>
    <t xml:space="preserve">Outcome-aware repeat</t>
  </si>
  <si>
    <t xml:space="preserve">DENY</t>
  </si>
  <si>
    <t xml:space="preserve">none</t>
  </si>
  <si>
    <t xml:space="preserve">no reserve draw</t>
  </si>
  <si>
    <t xml:space="preserve">valid result remains binding</t>
  </si>
  <si>
    <t xml:space="preserve">One field succeeds inside incomplete root</t>
  </si>
  <si>
    <t xml:space="preserve">HOLD FIELD</t>
  </si>
  <si>
    <t xml:space="preserve">accepted artifact</t>
  </si>
  <si>
    <t xml:space="preserve">later root option held</t>
  </si>
  <si>
    <t xml:space="preserve">complete all-route root</t>
  </si>
  <si>
    <t xml:space="preserve">field result remains local</t>
  </si>
  <si>
    <t xml:space="preserve">Five systems close; one does not</t>
  </si>
  <si>
    <t xml:space="preserve">HOLD ALL-SIX</t>
  </si>
  <si>
    <t xml:space="preserve">accepted artifacts</t>
  </si>
  <si>
    <t xml:space="preserve">production stays zero</t>
  </si>
  <si>
    <t xml:space="preserve">sixth accepted root</t>
  </si>
  <si>
    <t xml:space="preserve">no weighted compensation</t>
  </si>
  <si>
    <t xml:space="preserve">Shared decisive dependency appears</t>
  </si>
  <si>
    <t xml:space="preserve">SUSPEND</t>
  </si>
  <si>
    <t xml:space="preserve">unrelated accepted work</t>
  </si>
  <si>
    <t xml:space="preserve">option frozen</t>
  </si>
  <si>
    <t xml:space="preserve">clean ancestry or new root</t>
  </si>
  <si>
    <t xml:space="preserve">collision disclosed</t>
  </si>
  <si>
    <t xml:space="preserve">Receiver burden creates result</t>
  </si>
  <si>
    <t xml:space="preserve">REJECT CREDIT</t>
  </si>
  <si>
    <t xml:space="preserve">valid observations retained</t>
  </si>
  <si>
    <t xml:space="preserve">option held</t>
  </si>
  <si>
    <t xml:space="preserve">candidate-owned missing function</t>
  </si>
  <si>
    <t xml:space="preserve">externalized service recorded</t>
  </si>
  <si>
    <t xml:space="preserve">Cold reconstruction fails</t>
  </si>
  <si>
    <t xml:space="preserve">REMOVE ROOT CLAIM</t>
  </si>
  <si>
    <t xml:space="preserve">accepted evidence</t>
  </si>
  <si>
    <t xml:space="preserve">later option held</t>
  </si>
  <si>
    <t xml:space="preserve">outside build path</t>
  </si>
  <si>
    <t xml:space="preserve">failure remains public</t>
  </si>
  <si>
    <t xml:space="preserve">All coordinates pass</t>
  </si>
  <si>
    <t xml:space="preserve">BUILD PROOF</t>
  </si>
  <si>
    <t xml:space="preserve">accepted work</t>
  </si>
  <si>
    <t xml:space="preserve">next option remains gated</t>
  </si>
  <si>
    <t xml:space="preserve">favorable evidence bounded</t>
  </si>
  <si>
    <t xml:space="preserve">Authority</t>
  </si>
  <si>
    <t xml:space="preserve">No one actor may define the vector, build the mechanism, create the denial, judge the result, pay itself and infer production.</t>
  </si>
  <si>
    <t xml:space="preserve">Owns</t>
  </si>
  <si>
    <t xml:space="preserve">Cannot infer</t>
  </si>
  <si>
    <t xml:space="preserve">Failure if combined</t>
  </si>
  <si>
    <t xml:space="preserve">Output</t>
  </si>
  <si>
    <t xml:space="preserve">Current identity</t>
  </si>
  <si>
    <t xml:space="preserve">Credit</t>
  </si>
  <si>
    <t xml:space="preserve">Mission System Commands</t>
  </si>
  <si>
    <t xml:space="preserve">public service vectors and complete-root obligations</t>
  </si>
  <si>
    <t xml:space="preserve">mechanism or favorable result</t>
  </si>
  <si>
    <t xml:space="preserve">requirement owner becomes designer</t>
  </si>
  <si>
    <t xml:space="preserve">frozen vector</t>
  </si>
  <si>
    <t xml:space="preserve">Generating Services</t>
  </si>
  <si>
    <t xml:space="preserve">technical method, safety basis and lifecycle release</t>
  </si>
  <si>
    <t xml:space="preserve">public effect</t>
  </si>
  <si>
    <t xml:space="preserve">professional release becomes mission acceptance</t>
  </si>
  <si>
    <t xml:space="preserve">technical release</t>
  </si>
  <si>
    <t xml:space="preserve">Root Houses</t>
  </si>
  <si>
    <t xml:space="preserve">one root design and its four field mechanisms</t>
  </si>
  <si>
    <t xml:space="preserve">public warrant or evidence</t>
  </si>
  <si>
    <t xml:space="preserve">builder marks its own work</t>
  </si>
  <si>
    <t xml:space="preserve">controlled article</t>
  </si>
  <si>
    <t xml:space="preserve">challenge, controls, custody and replay</t>
  </si>
  <si>
    <t xml:space="preserve">root disposition</t>
  </si>
  <si>
    <t xml:space="preserve">test owner becomes program sponsor</t>
  </si>
  <si>
    <t xml:space="preserve">valid packet</t>
  </si>
  <si>
    <t xml:space="preserve">Protection Inspectorate</t>
  </si>
  <si>
    <t xml:space="preserve">rights and safety stop</t>
  </si>
  <si>
    <t xml:space="preserve">technical success</t>
  </si>
  <si>
    <t xml:space="preserve">safety becomes score</t>
  </si>
  <si>
    <t xml:space="preserve">stop record</t>
  </si>
  <si>
    <t xml:space="preserve">BUILD PROOF, RESIZE or KILL</t>
  </si>
  <si>
    <t xml:space="preserve">production</t>
  </si>
  <si>
    <t xml:space="preserve">evidence judgment becomes scale authority</t>
  </si>
  <si>
    <t xml:space="preserve">reasoned disposition</t>
  </si>
  <si>
    <t xml:space="preserve">Capital Board</t>
  </si>
  <si>
    <t xml:space="preserve">open and cancel options</t>
  </si>
  <si>
    <t xml:space="preserve">technical validity</t>
  </si>
  <si>
    <t xml:space="preserve">money becomes evidence</t>
  </si>
  <si>
    <t xml:space="preserve">option warrant</t>
  </si>
  <si>
    <t xml:space="preserve">Program Comptroller</t>
  </si>
  <si>
    <t xml:space="preserve">pay accepted artifacts and return balances</t>
  </si>
  <si>
    <t xml:space="preserve">favorable outcome</t>
  </si>
  <si>
    <t xml:space="preserve">payment becomes program advocacy</t>
  </si>
  <si>
    <t xml:space="preserve">payment ledger</t>
  </si>
  <si>
    <t xml:space="preserve">Continuity Receiver</t>
  </si>
  <si>
    <t xml:space="preserve">public foreground and clean recharter</t>
  </si>
  <si>
    <t xml:space="preserve">readiness</t>
  </si>
  <si>
    <t xml:space="preserve">possession becomes capability</t>
  </si>
  <si>
    <t xml:space="preserve">custody record</t>
  </si>
  <si>
    <t xml:space="preserve">all-six service release</t>
  </si>
  <si>
    <t xml:space="preserve">individual mechanism superiority</t>
  </si>
  <si>
    <t xml:space="preserve">integration hides system failure</t>
  </si>
  <si>
    <t xml:space="preserve">mission record</t>
  </si>
  <si>
    <t xml:space="preserve">Technology Agenda</t>
  </si>
  <si>
    <t xml:space="preserve">The cohort deliberately asks for capabilities that may require new science, manufacturing and professions. Each line remains a public research question, not a preferred vendor stack.</t>
  </si>
  <si>
    <t xml:space="preserve">Field</t>
  </si>
  <si>
    <t xml:space="preserve">Technology thrust</t>
  </si>
  <si>
    <t xml:space="preserve">Required advance</t>
  </si>
  <si>
    <t xml:space="preserve">Why present technology is insufficient</t>
  </si>
  <si>
    <t xml:space="preserve">Public seam</t>
  </si>
  <si>
    <t xml:space="preserve">Current maturity</t>
  </si>
  <si>
    <t xml:space="preserve">dynamic heavy-load exchange</t>
  </si>
  <si>
    <t xml:space="preserve">stabilize and transfer serialized heavy loads across wave, surf and damaged shore states</t>
  </si>
  <si>
    <t xml:space="preserve">commercial ports and military lighterage do not supply sustained civil custody through multiple shallow receivers</t>
  </si>
  <si>
    <t xml:space="preserve">load geometry, custody and receiver acceptance</t>
  </si>
  <si>
    <t xml:space="preserve">UNPROVED</t>
  </si>
  <si>
    <t xml:space="preserve">autonomous dry-stage logistics</t>
  </si>
  <si>
    <t xml:space="preserve">inspect, route and release mixed cargo without central networks or host handling</t>
  </si>
  <si>
    <t xml:space="preserve">nominal discharge rate hides customs, safety, cross-dock and onward-state bottlenecks</t>
  </si>
  <si>
    <t xml:space="preserve">manifest, hazard class and release state</t>
  </si>
  <si>
    <t xml:space="preserve">reversible exterior reach</t>
  </si>
  <si>
    <t xml:space="preserve">attach safe lift, refuge, power and access paths to occupied damaged structures</t>
  </si>
  <si>
    <t xml:space="preserve">ordinary elevators and rescue equipment assume intact cores, short duration or sparse demand</t>
  </si>
  <si>
    <t xml:space="preserve">building state, safe load and rights receipt</t>
  </si>
  <si>
    <t xml:space="preserve">occupied-space robotics</t>
  </si>
  <si>
    <t xml:space="preserve">work around people, heat, smoke, debris and accessibility needs under network loss</t>
  </si>
  <si>
    <t xml:space="preserve">industrial robots do not carry civil authority, safe human interaction or building-to-service closure</t>
  </si>
  <si>
    <t xml:space="preserve">task state, person custody and stop authority</t>
  </si>
  <si>
    <t xml:space="preserve">high-duty precision delivery</t>
  </si>
  <si>
    <t xml:space="preserve">operate continuously with instrumented multi-agent fields and thermal/load-cycle resilience</t>
  </si>
  <si>
    <t xml:space="preserve">converted aircraft optimize transport heritage rather than persistent control geometry and rapid regeneration</t>
  </si>
  <si>
    <t xml:space="preserve">objective, placement and held-edge evidence</t>
  </si>
  <si>
    <t xml:space="preserve">closed intervention metabolism</t>
  </si>
  <si>
    <t xml:space="preserve">produce water or agent, place it and recover contaminated runoff as one system</t>
  </si>
  <si>
    <t xml:space="preserve">suppression output often externalizes water, chemistry, smoke and environmental burden</t>
  </si>
  <si>
    <t xml:space="preserve">mass, heat, agent and residual ledgers</t>
  </si>
  <si>
    <t xml:space="preserve">transportable firm heat source</t>
  </si>
  <si>
    <t xml:space="preserve">deliver passively safe, islandable heat and electricity for water and thermal service</t>
  </si>
  <si>
    <t xml:space="preserve">stationary grids and conventional generators do not close fuel, heat rejection, black start and residuals at disaster scale</t>
  </si>
  <si>
    <t xml:space="preserve">electrical, thermal and safety interface</t>
  </si>
  <si>
    <t xml:space="preserve">robotic source-to-user corridors</t>
  </si>
  <si>
    <t xml:space="preserve">lay, join, test and repair high-flow pipe and conductors through damaged routes</t>
  </si>
  <si>
    <t xml:space="preserve">temporary utilities lack the industrial rate, sanitary proof and route autonomy demanded by the clock</t>
  </si>
  <si>
    <t xml:space="preserve">quality, pressure, voltage and route state</t>
  </si>
  <si>
    <t xml:space="preserve">reconfigurable acuity environments</t>
  </si>
  <si>
    <t xml:space="preserve">change clinical function while preserving air, infection, utilities, workflow and licensure evidence</t>
  </si>
  <si>
    <t xml:space="preserve">beds and modular rooms do not prove appropriate staffed episodes or safe reconfiguration</t>
  </si>
  <si>
    <t xml:space="preserve">patient state, care line and commissioning</t>
  </si>
  <si>
    <t xml:space="preserve">local clinical production</t>
  </si>
  <si>
    <t xml:space="preserve">make oxygen, sterile goods, diagnostics and selected therapies with protected quality</t>
  </si>
  <si>
    <t xml:space="preserve">health logistics can fail even when a care shell and clinicians arrive</t>
  </si>
  <si>
    <t xml:space="preserve">lot identity, quality release and waste custody</t>
  </si>
  <si>
    <t xml:space="preserve">autonomous damage-state reconstruction</t>
  </si>
  <si>
    <t xml:space="preserve">detect hidden damage and generate bounded repair decisions from distributed evidence</t>
  </si>
  <si>
    <t xml:space="preserve">maintenance speed without configuration truth can return an unsafe article</t>
  </si>
  <si>
    <t xml:space="preserve">serial state, limits and damage disposition</t>
  </si>
  <si>
    <t xml:space="preserve">portable sovereign recertification</t>
  </si>
  <si>
    <t xml:space="preserve">carry metrology, signing, process qualification and cold reconstruction into a denied field</t>
  </si>
  <si>
    <t xml:space="preserve">vendor-only keys, calibration and factories make physical repair operationally useless</t>
  </si>
  <si>
    <t xml:space="preserve">configuration, calibration and public signing</t>
  </si>
  <si>
    <t xml:space="preserve">Stress Tests</t>
  </si>
  <si>
    <t xml:space="preserve">Each world tests whether the cohort preserves service meaning, root diversity and the production barrier when an attractive shortcut appears.</t>
  </si>
  <si>
    <t xml:space="preserve">Stress world</t>
  </si>
  <si>
    <t xml:space="preserve">Required response</t>
  </si>
  <si>
    <t xml:space="preserve">Forbidden inference</t>
  </si>
  <si>
    <t xml:space="preserve">Held authority (USD B)</t>
  </si>
  <si>
    <t xml:space="preserve">No-pier system discharges fast but dry staging cannot accept cargo</t>
  </si>
  <si>
    <t xml:space="preserve">deny throughput credit</t>
  </si>
  <si>
    <t xml:space="preserve">gross discharge equals service</t>
  </si>
  <si>
    <t xml:space="preserve">PASS</t>
  </si>
  <si>
    <t xml:space="preserve">accepted onward custody is the numerator</t>
  </si>
  <si>
    <t xml:space="preserve">Building machines raise speed but obstruct egress</t>
  </si>
  <si>
    <t xml:space="preserve">stop and preserve consequence</t>
  </si>
  <si>
    <t xml:space="preserve">productivity compensates safety</t>
  </si>
  <si>
    <t xml:space="preserve">rights and safety are conjunctive</t>
  </si>
  <si>
    <t xml:space="preserve">Fire aircraft deliver agent but edge crosses</t>
  </si>
  <si>
    <t xml:space="preserve">record adverse result</t>
  </si>
  <si>
    <t xml:space="preserve">gallons or sorties equal control</t>
  </si>
  <si>
    <t xml:space="preserve">registered crossing defeats the field</t>
  </si>
  <si>
    <t xml:space="preserve">Utility carrier supplies power but cannot retain brine</t>
  </si>
  <si>
    <t xml:space="preserve">deny service credit</t>
  </si>
  <si>
    <t xml:space="preserve">megawatts compensate residual failure</t>
  </si>
  <si>
    <t xml:space="preserve">all lifeline coordinates must close</t>
  </si>
  <si>
    <t xml:space="preserve">Clinical islands add beds without specialty staff</t>
  </si>
  <si>
    <t xml:space="preserve">deny episode credit</t>
  </si>
  <si>
    <t xml:space="preserve">nominal beds equal care</t>
  </si>
  <si>
    <t xml:space="preserve">care line, staff and pathway remain specific</t>
  </si>
  <si>
    <t xml:space="preserve">Repair completes but signer and calibration are unavailable</t>
  </si>
  <si>
    <t xml:space="preserve">deny return-to-service</t>
  </si>
  <si>
    <t xml:space="preserve">physical repair equals regenerated configuration</t>
  </si>
  <si>
    <t xml:space="preserve">sovereign recertification remains required</t>
  </si>
  <si>
    <t xml:space="preserve">One field article passes inside an incomplete root</t>
  </si>
  <si>
    <t xml:space="preserve">hold root credit</t>
  </si>
  <si>
    <t xml:space="preserve">field success equals complete root</t>
  </si>
  <si>
    <t xml:space="preserve">four fields and every route remain required</t>
  </si>
  <si>
    <t xml:space="preserve">Five systems close their vectors</t>
  </si>
  <si>
    <t xml:space="preserve">hold all production</t>
  </si>
  <si>
    <t xml:space="preserve">near-complete stack equals joint mission</t>
  </si>
  <si>
    <t xml:space="preserve">all-six barrier is conjunctive</t>
  </si>
  <si>
    <t xml:space="preserve">One control stack operates mechanisms across several roots</t>
  </si>
  <si>
    <t xml:space="preserve">suspend affected claims</t>
  </si>
  <si>
    <t xml:space="preserve">open interface equals shared decisive root</t>
  </si>
  <si>
    <t xml:space="preserve">public seams require unlike implementations</t>
  </si>
  <si>
    <t xml:space="preserve">A prototype is requested during catastrophe</t>
  </si>
  <si>
    <t xml:space="preserve">keep it outside ready force</t>
  </si>
  <si>
    <t xml:space="preserve">urgency equals operational release</t>
  </si>
  <si>
    <t xml:space="preserve">article and readiness states remain separate</t>
  </si>
  <si>
    <t xml:space="preserve">Candidate asks to change vector after failure</t>
  </si>
  <si>
    <t xml:space="preserve">deny change in the event</t>
  </si>
  <si>
    <t xml:space="preserve">observed result may redefine need</t>
  </si>
  <si>
    <t xml:space="preserve">denominator freezes before MAKE</t>
  </si>
  <si>
    <t xml:space="preserve">Valid adverse event threatens schedule</t>
  </si>
  <si>
    <t xml:space="preserve">pay and retain it</t>
  </si>
  <si>
    <t xml:space="preserve">failure should be unpaid or repeated</t>
  </si>
  <si>
    <t xml:space="preserve">valid failure is a purchased output</t>
  </si>
  <si>
    <t xml:space="preserve">All selected-field options reach BREAK and fail</t>
  </si>
  <si>
    <t xml:space="preserve">pay USD 12.2B and return remaining option</t>
  </si>
  <si>
    <t xml:space="preserve">program failure requires overrun rescue</t>
  </si>
  <si>
    <t xml:space="preserve">cancellation is an intended fiscal state</t>
  </si>
  <si>
    <t xml:space="preserve">Exterior concept is proposed before route geometry closes</t>
  </si>
  <si>
    <t xml:space="preserve">hold rendering</t>
  </si>
  <si>
    <t xml:space="preserve">visual plausibility equals requirement maturity</t>
  </si>
  <si>
    <t xml:space="preserve">rendering remains outside the cohort</t>
  </si>
  <si>
    <t xml:space="preserve">Mutations</t>
  </si>
  <si>
    <t xml:space="preserve">Deliberate invalid states must fail and restore without creating an award, root claim or production credit.</t>
  </si>
  <si>
    <t xml:space="preserve">Mutation</t>
  </si>
  <si>
    <t xml:space="preserve">Broken law</t>
  </si>
  <si>
    <t xml:space="preserve">Expected</t>
  </si>
  <si>
    <t xml:space="preserve">Restoration</t>
  </si>
  <si>
    <t xml:space="preserve">Restored</t>
  </si>
  <si>
    <t xml:space="preserve">Replace six vectors with tonnes delivered</t>
  </si>
  <si>
    <t xml:space="preserve">nonfungible service</t>
  </si>
  <si>
    <t xml:space="preserve">FAIL</t>
  </si>
  <si>
    <t xml:space="preserve">restore six system-native vectors</t>
  </si>
  <si>
    <t xml:space="preserve">YES</t>
  </si>
  <si>
    <t xml:space="preserve">Score vector coordinates with weighted average</t>
  </si>
  <si>
    <t xml:space="preserve">conjunctive completion</t>
  </si>
  <si>
    <t xml:space="preserve">require all eight coordinates</t>
  </si>
  <si>
    <t xml:space="preserve">Call the selected field a complete root</t>
  </si>
  <si>
    <t xml:space="preserve">root completeness</t>
  </si>
  <si>
    <t xml:space="preserve">retain other three root fields</t>
  </si>
  <si>
    <t xml:space="preserve">Choose nuclear ship, fire aircraft and hospital hull now</t>
  </si>
  <si>
    <t xml:space="preserve">mechanism neutrality</t>
  </si>
  <si>
    <t xml:space="preserve">restore physics-level rivals</t>
  </si>
  <si>
    <t xml:space="preserve">Move held option to a visible winner</t>
  </si>
  <si>
    <t xml:space="preserve">account conservation</t>
  </si>
  <si>
    <t xml:space="preserve">return to owning system</t>
  </si>
  <si>
    <t xml:space="preserve">Let receiver labor create candidate throughput</t>
  </si>
  <si>
    <t xml:space="preserve">receiver burden</t>
  </si>
  <si>
    <t xml:space="preserve">charge all required handling to candidate</t>
  </si>
  <si>
    <t xml:space="preserve">Share one decisive autonomy stack across roots</t>
  </si>
  <si>
    <t xml:space="preserve">root independence</t>
  </si>
  <si>
    <t xml:space="preserve">require unrelated implementations</t>
  </si>
  <si>
    <t xml:space="preserve">Repeat a valid adverse event with a new seed</t>
  </si>
  <si>
    <t xml:space="preserve">permanent evidence</t>
  </si>
  <si>
    <t xml:space="preserve">retain the frozen event result</t>
  </si>
  <si>
    <t xml:space="preserve">Count A1 mechanism article as production</t>
  </si>
  <si>
    <t xml:space="preserve">state separation</t>
  </si>
  <si>
    <t xml:space="preserve">restore zero production credit</t>
  </si>
  <si>
    <t xml:space="preserve">Render exterior before complete geometry</t>
  </si>
  <si>
    <t xml:space="preserve">rendering gate</t>
  </si>
  <si>
    <t xml:space="preserve">retain rendering hold</t>
  </si>
  <si>
    <t xml:space="preserve">Terminal audit</t>
  </si>
  <si>
    <t xml:space="preserve">Checks observe the cohort and do not feed requirements, options, evidence, dispositions or release.</t>
  </si>
  <si>
    <t xml:space="preserve">Audit</t>
  </si>
  <si>
    <t xml:space="preserve">Actual</t>
  </si>
  <si>
    <t xml:space="preserve">Required</t>
  </si>
  <si>
    <t xml:space="preserve">Status</t>
  </si>
  <si>
    <t xml:space="preserve">Interpretation</t>
  </si>
  <si>
    <t xml:space="preserve">Selected candidate gates</t>
  </si>
  <si>
    <t xml:space="preserve">All hard gates</t>
  </si>
  <si>
    <t xml:space="preserve">Selected candidate count</t>
  </si>
  <si>
    <t xml:space="preserve">Exactly one selected</t>
  </si>
  <si>
    <t xml:space="preserve">Mission systems</t>
  </si>
  <si>
    <t xml:space="preserve">One field per system</t>
  </si>
  <si>
    <t xml:space="preserve">Six fields</t>
  </si>
  <si>
    <t xml:space="preserve">Mechanisms selected</t>
  </si>
  <si>
    <t xml:space="preserve">No platform or mechanism selection</t>
  </si>
  <si>
    <t xml:space="preserve">Eight per field</t>
  </si>
  <si>
    <t xml:space="preserve">Vector observed records</t>
  </si>
  <si>
    <t xml:space="preserve">No physical observation</t>
  </si>
  <si>
    <t xml:space="preserve">Vector credit</t>
  </si>
  <si>
    <t xml:space="preserve">No paper performance</t>
  </si>
  <si>
    <t xml:space="preserve">Four roots per selected field</t>
  </si>
  <si>
    <t xml:space="preserve">Root identities</t>
  </si>
  <si>
    <t xml:space="preserve">Twenty-four root opportunities</t>
  </si>
  <si>
    <t xml:space="preserve">No award</t>
  </si>
  <si>
    <t xml:space="preserve">Accepted control identities</t>
  </si>
  <si>
    <t xml:space="preserve">Source empty</t>
  </si>
  <si>
    <t xml:space="preserve">Root production credit</t>
  </si>
  <si>
    <t xml:space="preserve">No production</t>
  </si>
  <si>
    <t xml:space="preserve">Directed interfaces</t>
  </si>
  <si>
    <t xml:space="preserve">Every ordered system pair</t>
  </si>
  <si>
    <t xml:space="preserve">Accepted interfaces</t>
  </si>
  <si>
    <t xml:space="preserve">No interface identity</t>
  </si>
  <si>
    <t xml:space="preserve">Substitutive interfaces</t>
  </si>
  <si>
    <t xml:space="preserve">No cross-system credit</t>
  </si>
  <si>
    <t xml:space="preserve">Full selected-field program</t>
  </si>
  <si>
    <t xml:space="preserve">One quarter of USD 550B</t>
  </si>
  <si>
    <t xml:space="preserve">T1 selected-field ceiling</t>
  </si>
  <si>
    <t xml:space="preserve">One quarter of USD 110B</t>
  </si>
  <si>
    <t xml:space="preserve">Stageable cohort options</t>
  </si>
  <si>
    <t xml:space="preserve">One quarter of active option market</t>
  </si>
  <si>
    <t xml:space="preserve">Held cohort options</t>
  </si>
  <si>
    <t xml:space="preserve">Evidence-held mission authority</t>
  </si>
  <si>
    <t xml:space="preserve">Finance shares</t>
  </si>
  <si>
    <t xml:space="preserve">Stageable allocation conserved</t>
  </si>
  <si>
    <t xml:space="preserve">Root opportunities in finance</t>
  </si>
  <si>
    <t xml:space="preserve">Matches experiments</t>
  </si>
  <si>
    <t xml:space="preserve">Awarded finance</t>
  </si>
  <si>
    <t xml:space="preserve">Finance production credit</t>
  </si>
  <si>
    <t xml:space="preserve">Decision T1 link</t>
  </si>
  <si>
    <t xml:space="preserve">Summary links to T1 field ceiling</t>
  </si>
  <si>
    <t xml:space="preserve">Decision stageable link</t>
  </si>
  <si>
    <t xml:space="preserve">Summary links to stageable option</t>
  </si>
  <si>
    <t xml:space="preserve">Decision held link</t>
  </si>
  <si>
    <t xml:space="preserve">Summary links to held option</t>
  </si>
  <si>
    <t xml:space="preserve">Decision award link</t>
  </si>
  <si>
    <t xml:space="preserve">Summary reports zero awards</t>
  </si>
  <si>
    <t xml:space="preserve">Root stageable trace</t>
  </si>
  <si>
    <t xml:space="preserve">Matches finance</t>
  </si>
  <si>
    <t xml:space="preserve">Root held trace</t>
  </si>
  <si>
    <t xml:space="preserve">FRAME through TRANSFER</t>
  </si>
  <si>
    <t xml:space="preserve">Payment shares</t>
  </si>
  <si>
    <t xml:space="preserve">Complete option ladder</t>
  </si>
  <si>
    <t xml:space="preserve">Payment ceiling</t>
  </si>
  <si>
    <t xml:space="preserve">Matches stageable cohort</t>
  </si>
  <si>
    <t xml:space="preserve">Paid through BREAK</t>
  </si>
  <si>
    <t xml:space="preserve">Eighty-five percent</t>
  </si>
  <si>
    <t xml:space="preserve">Unexercised after BREAK</t>
  </si>
  <si>
    <t xml:space="preserve">Fifteen percent</t>
  </si>
  <si>
    <t xml:space="preserve">Payment root credit</t>
  </si>
  <si>
    <t xml:space="preserve">Payment is not service</t>
  </si>
  <si>
    <t xml:space="preserve">Payment production credit</t>
  </si>
  <si>
    <t xml:space="preserve">Payment is not production</t>
  </si>
  <si>
    <t xml:space="preserve">A0 through A7</t>
  </si>
  <si>
    <t xml:space="preserve">Current evidence records</t>
  </si>
  <si>
    <t xml:space="preserve">No accepted artifact</t>
  </si>
  <si>
    <t xml:space="preserve">Failure rules</t>
  </si>
  <si>
    <t xml:space="preserve">Explicit dispositions</t>
  </si>
  <si>
    <t xml:space="preserve">Authority classes</t>
  </si>
  <si>
    <t xml:space="preserve">Separated powers</t>
  </si>
  <si>
    <t xml:space="preserve">Technology thrusts</t>
  </si>
  <si>
    <t xml:space="preserve">Two per field</t>
  </si>
  <si>
    <t xml:space="preserve">Stress tests</t>
  </si>
  <si>
    <t xml:space="preserve">All worlds pass</t>
  </si>
  <si>
    <t xml:space="preserve">Mutation failures</t>
  </si>
  <si>
    <t xml:space="preserve">All detected</t>
  </si>
  <si>
    <t xml:space="preserve">Mutation restores</t>
  </si>
  <si>
    <t xml:space="preserve">All restored</t>
  </si>
  <si>
    <t xml:space="preserve">Mutation production credit</t>
  </si>
  <si>
    <t xml:space="preserve">No synthetic production</t>
  </si>
  <si>
    <t xml:space="preserve">Sources &amp; Limits</t>
  </si>
  <si>
    <t xml:space="preserve">Repository-internal sources only. Values are controlled acquisition hypotheses and inherited planning authorities, not observed performance, budget estimates or procurement decisions.</t>
  </si>
  <si>
    <t xml:space="preserve">Source or limit</t>
  </si>
  <si>
    <t xml:space="preserve">Title</t>
  </si>
  <si>
    <t xml:space="preserve">Claims used</t>
  </si>
  <si>
    <t xml:space="preserve">Pass 168</t>
  </si>
  <si>
    <t xml:space="preserve">Six Mission-System Portfolio Topology</t>
  </si>
  <si>
    <t xml:space="preserve">six systems, twenty-four problem fields and USD 550B mission technology account</t>
  </si>
  <si>
    <t xml:space="preserve">Authoritative</t>
  </si>
  <si>
    <t xml:space="preserve">Pass 169</t>
  </si>
  <si>
    <t xml:space="preserve">Human Continuity Service Contract</t>
  </si>
  <si>
    <t xml:space="preserve">five-route human-continuity contract and physical-care priority</t>
  </si>
  <si>
    <t xml:space="preserve">Pass 175</t>
  </si>
  <si>
    <t xml:space="preserve">Twenty-Four-Root Diversity Constitution</t>
  </si>
  <si>
    <t xml:space="preserve">four complete roots per system and root-exclusive decisive ancestry</t>
  </si>
  <si>
    <t xml:space="preserve">Pass 176</t>
  </si>
  <si>
    <t xml:space="preserve">Lifeline Root Physical Configuration</t>
  </si>
  <si>
    <t xml:space="preserve">two-million-person staged water, power, thermal and residual vector</t>
  </si>
  <si>
    <t xml:space="preserve">Pass 180</t>
  </si>
  <si>
    <t xml:space="preserve">Six-System G3 Proof Unit</t>
  </si>
  <si>
    <t xml:space="preserve">six system-native denominators, quarter-load units and route completeness</t>
  </si>
  <si>
    <t xml:space="preserve">Civil-terrain studies</t>
  </si>
  <si>
    <t xml:space="preserve">NCAC-35 and HCG-35B</t>
  </si>
  <si>
    <t xml:space="preserve">105,000-person district, household and vertical productivity targets</t>
  </si>
  <si>
    <t xml:space="preserve">Inherited hypothesis</t>
  </si>
  <si>
    <t xml:space="preserve">Fire studies</t>
  </si>
  <si>
    <t xml:space="preserve">Integrated Fire Control and denied-infrastructure edge</t>
  </si>
  <si>
    <t xml:space="preserve">persistent held-edge, 6/18/72-hour article and closed intervention residual</t>
  </si>
  <si>
    <t xml:space="preserve">Clinical study</t>
  </si>
  <si>
    <t xml:space="preserve">HCSG-100 Clinical Continuity Service Contract</t>
  </si>
  <si>
    <t xml:space="preserve">100,000-person, ten-care-line, thirty-day definitive-care vector</t>
  </si>
  <si>
    <t xml:space="preserve">Pass 206</t>
  </si>
  <si>
    <t xml:space="preserve">National First Article Portfolio</t>
  </si>
  <si>
    <t xml:space="preserve">USD 200B tranche, one-quarter field structure and A0-A7 ladder</t>
  </si>
  <si>
    <t xml:space="preserve">Pass 207</t>
  </si>
  <si>
    <t xml:space="preserve">Separated Option-and-Proof Market</t>
  </si>
  <si>
    <t xml:space="preserve">USD 57.4B stageable options, USD 52.6B held and four payment states</t>
  </si>
  <si>
    <t xml:space="preserve">Source status</t>
  </si>
  <si>
    <t xml:space="preserve">All firms, sites, mechanisms, articles, events and observations</t>
  </si>
  <si>
    <t xml:space="preserve">no implementation identity or performance is accepted</t>
  </si>
  <si>
    <t xml:space="preserve">Fiscal status</t>
  </si>
  <si>
    <t xml:space="preserve">Authority is not obligation</t>
  </si>
  <si>
    <t xml:space="preserve">USD 14.3B is a gated selected-field ceiling; awarded amount is zero</t>
  </si>
  <si>
    <t xml:space="preserve">Zero awarded</t>
  </si>
  <si>
    <t xml:space="preserve">System status</t>
  </si>
  <si>
    <t xml:space="preserve">A field is not a root</t>
  </si>
  <si>
    <t xml:space="preserve">other eighteen fields and all route obligations remain binding</t>
  </si>
  <si>
    <t xml:space="preserve">No root credit</t>
  </si>
  <si>
    <t xml:space="preserve">Production status</t>
  </si>
  <si>
    <t xml:space="preserve">No A5 all-six evidence exists</t>
  </si>
  <si>
    <t xml:space="preserve">no object in this workbook may create production or readiness</t>
  </si>
  <si>
    <t xml:space="preserve">Zero</t>
  </si>
  <si>
    <t xml:space="preserve">Visual status</t>
  </si>
  <si>
    <t xml:space="preserve">Physical geometry remains unresolved</t>
  </si>
  <si>
    <t xml:space="preserve">exterior rendering remains held</t>
  </si>
  <si>
    <t xml:space="preserve">Held</t>
  </si>
  <si>
    <t xml:space="preserve">Next decision</t>
  </si>
  <si>
    <t xml:space="preserve">Public denominator freeze and first mechanism articles</t>
  </si>
  <si>
    <t xml:space="preserve">constitute A0 methods and A1 article release without converging roots</t>
  </si>
  <si>
    <t xml:space="preserve">Frontier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</si>
</sst>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00"/>
    <numFmt numFmtId="166" formatCode="\$#,##0.0"/>
    <numFmt numFmtId="167" formatCode="#,##0.00"/>
    <numFmt numFmtId="168" formatCode="\$#,##0.000"/>
    <numFmt numFmtId="169" formatCode="0.0%"/>
    <numFmt numFmtId="170" formatCode="\$0.0"/>
    <numFmt numFmtId="171" formatCode="0%"/>
    <numFmt numFmtId="172" formatCode="#,##0.0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FFF2CC"/>
        <bgColor rgb="FFFCE4D6"/>
      </patternFill>
    </fill>
    <fill>
      <patternFill patternType="solid">
        <fgColor rgb="FF595959"/>
        <bgColor rgb="FF548235"/>
      </patternFill>
    </fill>
    <fill>
      <patternFill patternType="solid">
        <fgColor rgb="FFE2F0D9"/>
        <bgColor rgb="FFD9EAF7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F75B5"/>
      </bottom>
      <diagonal/>
    </border>
    <border diagonalUp="false" diagonalDown="false">
      <left style="thin">
        <color rgb="FF2F75B5"/>
      </left>
      <right/>
      <top style="thin">
        <color rgb="FF2F75B5"/>
      </top>
      <bottom style="thin">
        <color rgb="FF2F75B5"/>
      </bottom>
      <diagonal/>
    </border>
    <border diagonalUp="false" diagonalDown="false">
      <left/>
      <right/>
      <top style="thin">
        <color rgb="FF2F75B5"/>
      </top>
      <bottom style="thin">
        <color rgb="FF2F75B5"/>
      </bottom>
      <diagonal/>
    </border>
    <border diagonalUp="false" diagonalDown="false">
      <left/>
      <right style="thin">
        <color rgb="FF2F75B5"/>
      </right>
      <top style="thin">
        <color rgb="FF2F75B5"/>
      </top>
      <bottom style="thin">
        <color rgb="FF2F75B5"/>
      </bottom>
      <diagonal/>
    </border>
    <border diagonalUp="false" diagonalDown="false">
      <left style="medium">
        <color rgb="FFC59A2A"/>
      </left>
      <right style="medium">
        <color rgb="FFC59A2A"/>
      </right>
      <top style="medium">
        <color rgb="FFC59A2A"/>
      </top>
      <bottom style="medium">
        <color rgb="FFC59A2A"/>
      </bottom>
      <diagonal/>
    </border>
    <border diagonalUp="false" diagonalDown="false">
      <left/>
      <right/>
      <top/>
      <bottom style="medium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95959"/>
      </font>
      <fill>
        <patternFill>
          <bgColor rgb="FFFFF2CC"/>
        </patternFill>
      </fill>
    </dxf>
    <dxf>
      <font>
        <b val="1"/>
        <color rgb="FF595959"/>
      </font>
      <fill>
        <patternFill>
          <bgColor rgb="FFFFF2CC"/>
        </patternFill>
      </fill>
    </dxf>
    <dxf>
      <font>
        <b val="1"/>
        <color rgb="FF595959"/>
      </font>
      <fill>
        <patternFill>
          <bgColor rgb="FFFFF2CC"/>
        </patternFill>
      </fill>
    </dxf>
    <dxf>
      <font>
        <b val="1"/>
        <color rgb="FF595959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C59A2A"/>
      <rgbColor rgb="FFFF6600"/>
      <rgbColor rgb="FF595959"/>
      <rgbColor rgb="FFA6A6A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Stageable option by selected field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"Stageable option (USD B)"</c:f>
              <c:strCache>
                <c:ptCount val="1"/>
                <c:pt idx="0">
                  <c:v>Stageable option (USD B)</c:v>
                </c:pt>
              </c:strCache>
            </c:strRef>
          </c:tx>
          <c:spPr>
            <a:solidFill>
              <a:srgbClr val="2F75B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Finance!$L$7:$L$12</c:f>
              <c:strCache>
                <c:ptCount val="6"/>
                <c:pt idx="0">
                  <c:v>Enter a broken theater</c:v>
                </c:pt>
                <c:pt idx="1">
                  <c:v>Reach occupied civil terrain</c:v>
                </c:pt>
                <c:pt idx="2">
                  <c:v>Control an active hazard</c:v>
                </c:pt>
                <c:pt idx="3">
                  <c:v>Produce and distribute lifelines</c:v>
                </c:pt>
                <c:pt idx="4">
                  <c:v>Preserve care and human continuity</c:v>
                </c:pt>
                <c:pt idx="5">
                  <c:v>Sustain, transfer and regenerate</c:v>
                </c:pt>
              </c:strCache>
            </c:strRef>
          </c:cat>
          <c:val>
            <c:numRef>
              <c:f>Finance!$M$7:$M$12</c:f>
              <c:numCache>
                <c:formatCode>\$0.0</c:formatCode>
                <c:ptCount val="6"/>
                <c:pt idx="0">
                  <c:v>2.0018984723274</c:v>
                </c:pt>
                <c:pt idx="1">
                  <c:v>2.06597392709584</c:v>
                </c:pt>
                <c:pt idx="2">
                  <c:v>1.22888661626853</c:v>
                </c:pt>
                <c:pt idx="3">
                  <c:v>3.59765127728226</c:v>
                </c:pt>
                <c:pt idx="4">
                  <c:v>3.44284981176438</c:v>
                </c:pt>
                <c:pt idx="5">
                  <c:v>2.01039117254385</c:v>
                </c:pt>
              </c:numCache>
            </c:numRef>
          </c:val>
        </c:ser>
        <c:gapWidth val="150"/>
        <c:overlap val="0"/>
        <c:axId val="65586144"/>
        <c:axId val="19003936"/>
      </c:barChart>
      <c:catAx>
        <c:axId val="6558614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9003936"/>
        <c:crosses val="autoZero"/>
        <c:auto val="1"/>
        <c:lblAlgn val="ctr"/>
        <c:lblOffset val="100"/>
        <c:noMultiLvlLbl val="0"/>
      </c:catAx>
      <c:valAx>
        <c:axId val="1900393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5586144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14</xdr:row>
      <xdr:rowOff>0</xdr:rowOff>
    </xdr:from>
    <xdr:to>
      <xdr:col>19</xdr:col>
      <xdr:colOff>610920</xdr:colOff>
      <xdr:row>30</xdr:row>
      <xdr:rowOff>190440</xdr:rowOff>
    </xdr:to>
    <xdr:graphicFrame>
      <xdr:nvGraphicFramePr>
        <xdr:cNvPr id="1" name="Chart"/>
        <xdr:cNvGraphicFramePr/>
      </xdr:nvGraphicFramePr>
      <xdr:xfrm>
        <a:off x="15272280" y="2931840"/>
        <a:ext cx="815688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2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11" min="4" style="0" width="16"/>
    <col collapsed="false" customWidth="true" hidden="false" outlineLevel="0" max="12" min="12" style="0" width="50"/>
  </cols>
  <sheetData>
    <row r="2" customFormat="false" ht="24" hidden="false" customHeight="true" outlineLevel="0" collapsed="false">
      <c r="A2" s="1" t="s">
        <v>0</v>
      </c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6" customFormat="false" ht="15" hidden="false" customHeight="false" outlineLevel="0" collapsed="false">
      <c r="A6" s="3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customFormat="false" ht="15" hidden="false" customHeight="true" outlineLevel="0" collapsed="false">
      <c r="A7" s="6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2" customFormat="false" ht="23.85" hidden="false" customHeight="false" outlineLevel="0" collapsed="false">
      <c r="A12" s="7" t="s">
        <v>4</v>
      </c>
      <c r="B12" s="7" t="s">
        <v>5</v>
      </c>
      <c r="C12" s="7" t="s">
        <v>6</v>
      </c>
      <c r="E12" s="7" t="s">
        <v>7</v>
      </c>
      <c r="F12" s="7" t="s">
        <v>5</v>
      </c>
      <c r="G12" s="7" t="s">
        <v>6</v>
      </c>
    </row>
    <row r="13" customFormat="false" ht="23.85" hidden="false" customHeight="false" outlineLevel="0" collapsed="false">
      <c r="A13" s="8" t="s">
        <v>8</v>
      </c>
      <c r="B13" s="8" t="n">
        <f aca="false">COUNTIFS('Cohort Test'!M7:M11,"SELECT")</f>
        <v>1</v>
      </c>
      <c r="C13" s="8" t="s">
        <v>9</v>
      </c>
      <c r="E13" s="8" t="s">
        <v>10</v>
      </c>
      <c r="F13" s="9" t="n">
        <f aca="false">'Service Vectors'!F7</f>
        <v>5630</v>
      </c>
      <c r="G13" s="8" t="s">
        <v>11</v>
      </c>
    </row>
    <row r="14" customFormat="false" ht="23.85" hidden="false" customHeight="false" outlineLevel="0" collapsed="false">
      <c r="A14" s="8" t="s">
        <v>12</v>
      </c>
      <c r="B14" s="8" t="n">
        <f aca="false">COUNTA('Service Vectors'!A7:A12)</f>
        <v>6</v>
      </c>
      <c r="C14" s="8" t="s">
        <v>13</v>
      </c>
      <c r="E14" s="8" t="s">
        <v>14</v>
      </c>
      <c r="F14" s="9" t="n">
        <f aca="false">'Service Vectors'!F8</f>
        <v>105000</v>
      </c>
      <c r="G14" s="8" t="s">
        <v>15</v>
      </c>
    </row>
    <row r="15" customFormat="false" ht="23.85" hidden="false" customHeight="false" outlineLevel="0" collapsed="false">
      <c r="A15" s="8" t="s">
        <v>16</v>
      </c>
      <c r="B15" s="8" t="n">
        <f aca="false">COUNTA('Vector Ledger'!A7:A54)</f>
        <v>48</v>
      </c>
      <c r="C15" s="8" t="s">
        <v>17</v>
      </c>
      <c r="E15" s="8" t="s">
        <v>18</v>
      </c>
      <c r="F15" s="9" t="n">
        <f aca="false">'Service Vectors'!F9</f>
        <v>1</v>
      </c>
      <c r="G15" s="8" t="s">
        <v>19</v>
      </c>
    </row>
    <row r="16" customFormat="false" ht="23.85" hidden="false" customHeight="false" outlineLevel="0" collapsed="false">
      <c r="A16" s="8" t="s">
        <v>20</v>
      </c>
      <c r="B16" s="8" t="n">
        <f aca="false">COUNTA('Root Experiments'!A7:A30)</f>
        <v>24</v>
      </c>
      <c r="C16" s="8" t="s">
        <v>21</v>
      </c>
      <c r="E16" s="8" t="s">
        <v>22</v>
      </c>
      <c r="F16" s="9" t="n">
        <f aca="false">'Service Vectors'!F10</f>
        <v>2000000</v>
      </c>
      <c r="G16" s="8" t="s">
        <v>15</v>
      </c>
    </row>
    <row r="17" customFormat="false" ht="15" hidden="false" customHeight="false" outlineLevel="0" collapsed="false">
      <c r="A17" s="8" t="s">
        <v>23</v>
      </c>
      <c r="B17" s="8" t="n">
        <f aca="false">COUNTA(Interfaces!A7:A36)</f>
        <v>30</v>
      </c>
      <c r="C17" s="8" t="s">
        <v>24</v>
      </c>
      <c r="E17" s="8" t="s">
        <v>25</v>
      </c>
      <c r="F17" s="9" t="n">
        <f aca="false">'Service Vectors'!F11</f>
        <v>100000</v>
      </c>
      <c r="G17" s="8" t="s">
        <v>15</v>
      </c>
    </row>
    <row r="18" customFormat="false" ht="23.85" hidden="false" customHeight="false" outlineLevel="0" collapsed="false">
      <c r="A18" s="8" t="s">
        <v>26</v>
      </c>
      <c r="B18" s="10" t="n">
        <f aca="false">Finance!D13</f>
        <v>27.5</v>
      </c>
      <c r="C18" s="8" t="s">
        <v>27</v>
      </c>
      <c r="E18" s="8" t="s">
        <v>28</v>
      </c>
      <c r="F18" s="9" t="n">
        <f aca="false">'Service Vectors'!F12</f>
        <v>99</v>
      </c>
      <c r="G18" s="8" t="s">
        <v>29</v>
      </c>
    </row>
    <row r="19" customFormat="false" ht="15" hidden="false" customHeight="false" outlineLevel="0" collapsed="false">
      <c r="A19" s="8" t="s">
        <v>30</v>
      </c>
      <c r="B19" s="10" t="n">
        <f aca="false">Finance!E13</f>
        <v>14.3476512772823</v>
      </c>
      <c r="C19" s="8" t="s">
        <v>27</v>
      </c>
      <c r="E19" s="8" t="s">
        <v>31</v>
      </c>
      <c r="F19" s="8" t="n">
        <f aca="false">COUNTA(Payment!A7:A10)</f>
        <v>4</v>
      </c>
      <c r="G19" s="8" t="s">
        <v>32</v>
      </c>
    </row>
    <row r="20" customFormat="false" ht="15" hidden="false" customHeight="false" outlineLevel="0" collapsed="false">
      <c r="A20" s="8" t="s">
        <v>33</v>
      </c>
      <c r="B20" s="10" t="n">
        <f aca="false">Finance!F13</f>
        <v>13.1523487227177</v>
      </c>
      <c r="C20" s="8" t="s">
        <v>27</v>
      </c>
      <c r="E20" s="8" t="s">
        <v>34</v>
      </c>
      <c r="F20" s="8" t="n">
        <f aca="false">COUNTA('Evidence Sequence'!A7:A14)</f>
        <v>8</v>
      </c>
      <c r="G20" s="8" t="s">
        <v>32</v>
      </c>
    </row>
    <row r="21" customFormat="false" ht="23.85" hidden="false" customHeight="false" outlineLevel="0" collapsed="false">
      <c r="A21" s="8" t="s">
        <v>35</v>
      </c>
      <c r="B21" s="8" t="n">
        <f aca="false">COUNTIFS('Root Experiments'!K7:K30,"&lt;&gt;UNAWARDED")</f>
        <v>0</v>
      </c>
      <c r="C21" s="8" t="s">
        <v>36</v>
      </c>
      <c r="E21" s="8" t="s">
        <v>37</v>
      </c>
      <c r="F21" s="8" t="n">
        <f aca="false">COUNTIFS('Stress Tests'!F7:F20,"PASS")</f>
        <v>14</v>
      </c>
      <c r="G21" s="8" t="s">
        <v>38</v>
      </c>
    </row>
    <row r="22" customFormat="false" ht="23.85" hidden="false" customHeight="false" outlineLevel="0" collapsed="false">
      <c r="A22" s="8" t="s">
        <v>39</v>
      </c>
      <c r="B22" s="8" t="n">
        <f aca="false">SUM('Root Experiments'!M7:M30)</f>
        <v>0</v>
      </c>
      <c r="C22" s="8" t="s">
        <v>27</v>
      </c>
      <c r="E22" s="8" t="s">
        <v>40</v>
      </c>
      <c r="F22" s="8" t="n">
        <f aca="false">COUNTIFS(Mutations!G7:G16,"YES")</f>
        <v>10</v>
      </c>
      <c r="G22" s="8" t="s">
        <v>41</v>
      </c>
    </row>
    <row r="24" customFormat="false" ht="15" hidden="false" customHeight="false" outlineLevel="0" collapsed="false">
      <c r="A24" s="3" t="s">
        <v>42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customFormat="false" ht="23.85" hidden="false" customHeight="false" outlineLevel="0" collapsed="false">
      <c r="A25" s="7" t="s">
        <v>43</v>
      </c>
      <c r="B25" s="7" t="s">
        <v>44</v>
      </c>
      <c r="C25" s="7" t="s">
        <v>45</v>
      </c>
      <c r="D25" s="7" t="s">
        <v>46</v>
      </c>
      <c r="E25" s="7" t="s">
        <v>47</v>
      </c>
      <c r="F25" s="7" t="s">
        <v>48</v>
      </c>
      <c r="G25" s="7" t="s">
        <v>49</v>
      </c>
      <c r="H25" s="7" t="s">
        <v>50</v>
      </c>
      <c r="I25" s="7" t="s">
        <v>51</v>
      </c>
      <c r="J25" s="7" t="s">
        <v>52</v>
      </c>
      <c r="K25" s="7" t="s">
        <v>53</v>
      </c>
      <c r="L25" s="7" t="s">
        <v>54</v>
      </c>
    </row>
    <row r="26" customFormat="false" ht="35.05" hidden="false" customHeight="false" outlineLevel="0" collapsed="false">
      <c r="A26" s="11" t="str">
        <f aca="false">'Cohort Test'!A7</f>
        <v>Compound first reach</v>
      </c>
      <c r="B26" s="11" t="n">
        <f aca="false">'Cohort Test'!L7</f>
        <v>10</v>
      </c>
      <c r="C26" s="11" t="str">
        <f aca="false">'Cohort Test'!M7</f>
        <v>SELECT</v>
      </c>
      <c r="D26" s="11" t="n">
        <f aca="false">'Cohort Test'!D7</f>
        <v>1</v>
      </c>
      <c r="E26" s="11" t="n">
        <f aca="false">'Cohort Test'!E7</f>
        <v>1</v>
      </c>
      <c r="F26" s="11" t="n">
        <f aca="false">'Cohort Test'!F7</f>
        <v>1</v>
      </c>
      <c r="G26" s="11" t="n">
        <f aca="false">'Cohort Test'!G7</f>
        <v>1</v>
      </c>
      <c r="H26" s="11" t="n">
        <f aca="false">'Cohort Test'!H7</f>
        <v>1</v>
      </c>
      <c r="I26" s="11" t="n">
        <f aca="false">'Cohort Test'!I7</f>
        <v>1</v>
      </c>
      <c r="J26" s="11" t="n">
        <f aca="false">'Cohort Test'!J7</f>
        <v>1</v>
      </c>
      <c r="K26" s="11" t="n">
        <f aca="false">'Cohort Test'!K7</f>
        <v>1</v>
      </c>
      <c r="L26" s="11" t="str">
        <f aca="false">'Cohort Test'!N7</f>
        <v>A single damaged-region thread forces entry, last-building reach, hazard control, lifelines, definitive care and regeneration to close together.</v>
      </c>
    </row>
    <row r="27" customFormat="false" ht="35.05" hidden="false" customHeight="false" outlineLevel="0" collapsed="false">
      <c r="A27" s="8" t="str">
        <f aca="false">'Cohort Test'!A8</f>
        <v>Largest-demand first</v>
      </c>
      <c r="B27" s="8" t="n">
        <f aca="false">'Cohort Test'!L8</f>
        <v>7</v>
      </c>
      <c r="C27" s="8" t="str">
        <f aca="false">'Cohort Test'!M8</f>
        <v>REJECT</v>
      </c>
      <c r="D27" s="8" t="n">
        <f aca="false">'Cohort Test'!D8</f>
        <v>0</v>
      </c>
      <c r="E27" s="8" t="n">
        <f aca="false">'Cohort Test'!E8</f>
        <v>1</v>
      </c>
      <c r="F27" s="8" t="n">
        <f aca="false">'Cohort Test'!F8</f>
        <v>0</v>
      </c>
      <c r="G27" s="8" t="n">
        <f aca="false">'Cohort Test'!G8</f>
        <v>1</v>
      </c>
      <c r="H27" s="8" t="n">
        <f aca="false">'Cohort Test'!H8</f>
        <v>0</v>
      </c>
      <c r="I27" s="8" t="n">
        <f aca="false">'Cohort Test'!I8</f>
        <v>1</v>
      </c>
      <c r="J27" s="8" t="n">
        <f aca="false">'Cohort Test'!J8</f>
        <v>1</v>
      </c>
      <c r="K27" s="8" t="n">
        <f aca="false">'Cohort Test'!K8</f>
        <v>1</v>
      </c>
      <c r="L27" s="8" t="str">
        <f aca="false">'Cohort Test'!N8</f>
        <v>System-by-system demand ranking does not create one executable mission route and permits high-demand fields to dominate nonfungible failures.</v>
      </c>
    </row>
    <row r="28" customFormat="false" ht="35.05" hidden="false" customHeight="false" outlineLevel="0" collapsed="false">
      <c r="A28" s="8" t="str">
        <f aca="false">'Cohort Test'!A9</f>
        <v>Showcase machines</v>
      </c>
      <c r="B28" s="8" t="n">
        <f aca="false">'Cohort Test'!L9</f>
        <v>8</v>
      </c>
      <c r="C28" s="8" t="str">
        <f aca="false">'Cohort Test'!M9</f>
        <v>REJECT</v>
      </c>
      <c r="D28" s="8" t="n">
        <f aca="false">'Cohort Test'!D9</f>
        <v>1</v>
      </c>
      <c r="E28" s="8" t="n">
        <f aca="false">'Cohort Test'!E9</f>
        <v>1</v>
      </c>
      <c r="F28" s="8" t="n">
        <f aca="false">'Cohort Test'!F9</f>
        <v>1</v>
      </c>
      <c r="G28" s="8" t="n">
        <f aca="false">'Cohort Test'!G9</f>
        <v>0</v>
      </c>
      <c r="H28" s="8" t="n">
        <f aca="false">'Cohort Test'!H9</f>
        <v>0</v>
      </c>
      <c r="I28" s="8" t="n">
        <f aca="false">'Cohort Test'!I9</f>
        <v>1</v>
      </c>
      <c r="J28" s="8" t="n">
        <f aca="false">'Cohort Test'!J9</f>
        <v>1</v>
      </c>
      <c r="K28" s="8" t="n">
        <f aca="false">'Cohort Test'!K9</f>
        <v>1</v>
      </c>
      <c r="L28" s="8" t="str">
        <f aca="false">'Cohort Test'!N9</f>
        <v>Naming a heavy lifter, fire aircraft, utility ship and hospital ship chooses exteriors before service geometry and encourages platform substitution.</v>
      </c>
    </row>
    <row r="29" customFormat="false" ht="35.05" hidden="false" customHeight="false" outlineLevel="0" collapsed="false">
      <c r="A29" s="8" t="str">
        <f aca="false">'Cohort Test'!A10</f>
        <v>Infrastructure restoration</v>
      </c>
      <c r="B29" s="8" t="n">
        <f aca="false">'Cohort Test'!L10</f>
        <v>9</v>
      </c>
      <c r="C29" s="8" t="str">
        <f aca="false">'Cohort Test'!M10</f>
        <v>REJECT</v>
      </c>
      <c r="D29" s="8" t="n">
        <f aca="false">'Cohort Test'!D10</f>
        <v>1</v>
      </c>
      <c r="E29" s="8" t="n">
        <f aca="false">'Cohort Test'!E10</f>
        <v>1</v>
      </c>
      <c r="F29" s="8" t="n">
        <f aca="false">'Cohort Test'!F10</f>
        <v>1</v>
      </c>
      <c r="G29" s="8" t="n">
        <f aca="false">'Cohort Test'!G10</f>
        <v>1</v>
      </c>
      <c r="H29" s="8" t="n">
        <f aca="false">'Cohort Test'!H10</f>
        <v>0</v>
      </c>
      <c r="I29" s="8" t="n">
        <f aca="false">'Cohort Test'!I10</f>
        <v>1</v>
      </c>
      <c r="J29" s="8" t="n">
        <f aca="false">'Cohort Test'!J10</f>
        <v>1</v>
      </c>
      <c r="K29" s="8" t="n">
        <f aca="false">'Cohort Test'!K10</f>
        <v>1</v>
      </c>
      <c r="L29" s="8" t="str">
        <f aca="false">'Cohort Test'!N10</f>
        <v>Restored infrastructure can conceal failed clinical episodes, household reach and custody; it is not the complete public effect.</v>
      </c>
    </row>
    <row r="30" customFormat="false" ht="35.05" hidden="false" customHeight="false" outlineLevel="0" collapsed="false">
      <c r="A30" s="8" t="str">
        <f aca="false">'Cohort Test'!A11</f>
        <v>Autonomy and control substrate</v>
      </c>
      <c r="B30" s="8" t="n">
        <f aca="false">'Cohort Test'!L11</f>
        <v>6</v>
      </c>
      <c r="C30" s="8" t="str">
        <f aca="false">'Cohort Test'!M11</f>
        <v>REJECT</v>
      </c>
      <c r="D30" s="8" t="n">
        <f aca="false">'Cohort Test'!D11</f>
        <v>0</v>
      </c>
      <c r="E30" s="8" t="n">
        <f aca="false">'Cohort Test'!E11</f>
        <v>0</v>
      </c>
      <c r="F30" s="8" t="n">
        <f aca="false">'Cohort Test'!F11</f>
        <v>1</v>
      </c>
      <c r="G30" s="8" t="n">
        <f aca="false">'Cohort Test'!G11</f>
        <v>1</v>
      </c>
      <c r="H30" s="8" t="n">
        <f aca="false">'Cohort Test'!H11</f>
        <v>0</v>
      </c>
      <c r="I30" s="8" t="n">
        <f aca="false">'Cohort Test'!I11</f>
        <v>0</v>
      </c>
      <c r="J30" s="8" t="n">
        <f aca="false">'Cohort Test'!J11</f>
        <v>1</v>
      </c>
      <c r="K30" s="8" t="n">
        <f aca="false">'Cohort Test'!K11</f>
        <v>1</v>
      </c>
      <c r="L30" s="8" t="str">
        <f aca="false">'Cohort Test'!N11</f>
        <v>A common information and autonomy substrate risks becoming one decisive technical root and has no complete six-system public denominator.</v>
      </c>
    </row>
  </sheetData>
  <mergeCells count="1">
    <mergeCell ref="A7:L10"/>
  </mergeCells>
  <conditionalFormatting sqref="C26:C30">
    <cfRule type="containsText" priority="2" operator="containsText" aboveAverage="0" equalAverage="0" bottom="0" percent="0" rank="0" text="REJECT" dxfId="0">
      <formula>NOT(ISERROR(SEARCH("REJECT",C26)))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11" min="2" style="0" width="16"/>
    <col collapsed="false" customWidth="true" hidden="false" outlineLevel="0" max="13" min="12" style="0" width="13"/>
    <col collapsed="false" customWidth="true" hidden="false" outlineLevel="0" max="14" min="14" style="0" width="62"/>
  </cols>
  <sheetData>
    <row r="2" customFormat="false" ht="24" hidden="false" customHeight="true" outlineLevel="0" collapsed="false">
      <c r="A2" s="1" t="s">
        <v>55</v>
      </c>
    </row>
    <row r="3" customFormat="false" ht="18" hidden="false" customHeight="true" outlineLevel="0" collapsed="false">
      <c r="A3" s="2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customFormat="false" ht="23.85" hidden="false" customHeight="false" outlineLevel="0" collapsed="false">
      <c r="A6" s="7" t="s">
        <v>43</v>
      </c>
      <c r="B6" s="7" t="s">
        <v>57</v>
      </c>
      <c r="C6" s="7" t="s">
        <v>58</v>
      </c>
      <c r="D6" s="7" t="s">
        <v>46</v>
      </c>
      <c r="E6" s="7" t="s">
        <v>47</v>
      </c>
      <c r="F6" s="7" t="s">
        <v>48</v>
      </c>
      <c r="G6" s="7" t="s">
        <v>49</v>
      </c>
      <c r="H6" s="7" t="s">
        <v>50</v>
      </c>
      <c r="I6" s="7" t="s">
        <v>51</v>
      </c>
      <c r="J6" s="7" t="s">
        <v>52</v>
      </c>
      <c r="K6" s="7" t="s">
        <v>53</v>
      </c>
      <c r="L6" s="7" t="s">
        <v>44</v>
      </c>
      <c r="M6" s="7" t="s">
        <v>45</v>
      </c>
      <c r="N6" s="7" t="s">
        <v>59</v>
      </c>
    </row>
    <row r="7" customFormat="false" ht="23.85" hidden="false" customHeight="false" outlineLevel="0" collapsed="false">
      <c r="A7" s="8" t="s">
        <v>60</v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f aca="false">SUM(B7:K7)</f>
        <v>10</v>
      </c>
      <c r="M7" s="8" t="str">
        <f aca="false">IF(L7=10,"SELECT","REJECT")</f>
        <v>SELECT</v>
      </c>
      <c r="N7" s="8" t="s">
        <v>61</v>
      </c>
    </row>
    <row r="8" customFormat="false" ht="23.85" hidden="false" customHeight="false" outlineLevel="0" collapsed="false">
      <c r="A8" s="8" t="s">
        <v>62</v>
      </c>
      <c r="B8" s="8" t="n">
        <v>1</v>
      </c>
      <c r="C8" s="8" t="n">
        <v>1</v>
      </c>
      <c r="D8" s="8" t="n">
        <v>0</v>
      </c>
      <c r="E8" s="8" t="n">
        <v>1</v>
      </c>
      <c r="F8" s="8" t="n">
        <v>0</v>
      </c>
      <c r="G8" s="8" t="n">
        <v>1</v>
      </c>
      <c r="H8" s="8" t="n">
        <v>0</v>
      </c>
      <c r="I8" s="8" t="n">
        <v>1</v>
      </c>
      <c r="J8" s="8" t="n">
        <v>1</v>
      </c>
      <c r="K8" s="8" t="n">
        <v>1</v>
      </c>
      <c r="L8" s="8" t="n">
        <f aca="false">SUM(B8:K8)</f>
        <v>7</v>
      </c>
      <c r="M8" s="8" t="str">
        <f aca="false">IF(L8=10,"SELECT","REJECT")</f>
        <v>REJECT</v>
      </c>
      <c r="N8" s="8" t="s">
        <v>63</v>
      </c>
    </row>
    <row r="9" customFormat="false" ht="23.85" hidden="false" customHeight="false" outlineLevel="0" collapsed="false">
      <c r="A9" s="8" t="s">
        <v>64</v>
      </c>
      <c r="B9" s="8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0</v>
      </c>
      <c r="H9" s="8" t="n">
        <v>0</v>
      </c>
      <c r="I9" s="8" t="n">
        <v>1</v>
      </c>
      <c r="J9" s="8" t="n">
        <v>1</v>
      </c>
      <c r="K9" s="8" t="n">
        <v>1</v>
      </c>
      <c r="L9" s="8" t="n">
        <f aca="false">SUM(B9:K9)</f>
        <v>8</v>
      </c>
      <c r="M9" s="8" t="str">
        <f aca="false">IF(L9=10,"SELECT","REJECT")</f>
        <v>REJECT</v>
      </c>
      <c r="N9" s="8" t="s">
        <v>65</v>
      </c>
    </row>
    <row r="10" customFormat="false" ht="23.85" hidden="false" customHeight="false" outlineLevel="0" collapsed="false">
      <c r="A10" s="8" t="s">
        <v>66</v>
      </c>
      <c r="B10" s="8" t="n">
        <v>1</v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8" t="n">
        <v>0</v>
      </c>
      <c r="I10" s="8" t="n">
        <v>1</v>
      </c>
      <c r="J10" s="8" t="n">
        <v>1</v>
      </c>
      <c r="K10" s="8" t="n">
        <v>1</v>
      </c>
      <c r="L10" s="8" t="n">
        <f aca="false">SUM(B10:K10)</f>
        <v>9</v>
      </c>
      <c r="M10" s="8" t="str">
        <f aca="false">IF(L10=10,"SELECT","REJECT")</f>
        <v>REJECT</v>
      </c>
      <c r="N10" s="8" t="s">
        <v>67</v>
      </c>
    </row>
    <row r="11" customFormat="false" ht="23.85" hidden="false" customHeight="false" outlineLevel="0" collapsed="false">
      <c r="A11" s="8" t="s">
        <v>68</v>
      </c>
      <c r="B11" s="8" t="n">
        <v>1</v>
      </c>
      <c r="C11" s="8" t="n">
        <v>1</v>
      </c>
      <c r="D11" s="8" t="n">
        <v>0</v>
      </c>
      <c r="E11" s="8" t="n">
        <v>0</v>
      </c>
      <c r="F11" s="8" t="n">
        <v>1</v>
      </c>
      <c r="G11" s="8" t="n">
        <v>1</v>
      </c>
      <c r="H11" s="8" t="n">
        <v>0</v>
      </c>
      <c r="I11" s="8" t="n">
        <v>0</v>
      </c>
      <c r="J11" s="8" t="n">
        <v>1</v>
      </c>
      <c r="K11" s="8" t="n">
        <v>1</v>
      </c>
      <c r="L11" s="8" t="n">
        <f aca="false">SUM(B11:K11)</f>
        <v>6</v>
      </c>
      <c r="M11" s="8" t="str">
        <f aca="false">IF(L11=10,"SELECT","REJECT")</f>
        <v>REJECT</v>
      </c>
      <c r="N11" s="8" t="s">
        <v>69</v>
      </c>
    </row>
  </sheetData>
  <conditionalFormatting sqref="M7:M11">
    <cfRule type="containsText" priority="2" operator="containsText" aboveAverage="0" equalAverage="0" bottom="0" percent="0" rank="0" text="REJECT" dxfId="1">
      <formula>NOT(ISERROR(SEARCH("REJECT",M7)))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31"/>
    <col collapsed="false" customWidth="true" hidden="false" outlineLevel="0" max="5" min="5" style="0" width="54"/>
    <col collapsed="false" customWidth="true" hidden="false" outlineLevel="0" max="7" min="6" style="0" width="19"/>
    <col collapsed="false" customWidth="true" hidden="false" outlineLevel="0" max="9" min="8" style="0" width="27"/>
    <col collapsed="false" customWidth="true" hidden="false" outlineLevel="0" max="11" min="10" style="0" width="52"/>
    <col collapsed="false" customWidth="true" hidden="false" outlineLevel="0" max="13" min="12" style="0" width="18"/>
  </cols>
  <sheetData>
    <row r="2" customFormat="false" ht="24" hidden="false" customHeight="true" outlineLevel="0" collapsed="false">
      <c r="A2" s="1" t="s">
        <v>70</v>
      </c>
    </row>
    <row r="3" customFormat="false" ht="18" hidden="false" customHeight="true" outlineLevel="0" collapsed="false">
      <c r="A3" s="2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6" customFormat="false" ht="23.85" hidden="false" customHeight="false" outlineLevel="0" collapsed="false">
      <c r="A6" s="7" t="s">
        <v>72</v>
      </c>
      <c r="B6" s="7" t="s">
        <v>73</v>
      </c>
      <c r="C6" s="7" t="s">
        <v>74</v>
      </c>
      <c r="D6" s="7" t="s">
        <v>75</v>
      </c>
      <c r="E6" s="7" t="s">
        <v>76</v>
      </c>
      <c r="F6" s="7" t="s">
        <v>77</v>
      </c>
      <c r="G6" s="7" t="s">
        <v>6</v>
      </c>
      <c r="H6" s="7" t="s">
        <v>78</v>
      </c>
      <c r="I6" s="7" t="s">
        <v>79</v>
      </c>
      <c r="J6" s="7" t="s">
        <v>80</v>
      </c>
      <c r="K6" s="7" t="s">
        <v>81</v>
      </c>
      <c r="L6" s="7" t="s">
        <v>82</v>
      </c>
      <c r="M6" s="7" t="s">
        <v>83</v>
      </c>
    </row>
    <row r="7" customFormat="false" ht="23.85" hidden="false" customHeight="false" outlineLevel="0" collapsed="false">
      <c r="A7" s="8" t="s">
        <v>84</v>
      </c>
      <c r="B7" s="8" t="s">
        <v>85</v>
      </c>
      <c r="C7" s="8" t="s">
        <v>86</v>
      </c>
      <c r="D7" s="8" t="s">
        <v>87</v>
      </c>
      <c r="E7" s="8" t="s">
        <v>88</v>
      </c>
      <c r="F7" s="9" t="n">
        <v>5630</v>
      </c>
      <c r="G7" s="8" t="s">
        <v>11</v>
      </c>
      <c r="H7" s="8" t="s">
        <v>89</v>
      </c>
      <c r="I7" s="8" t="s">
        <v>90</v>
      </c>
      <c r="J7" s="8" t="s">
        <v>91</v>
      </c>
      <c r="K7" s="8" t="s">
        <v>92</v>
      </c>
      <c r="L7" s="9" t="n">
        <v>0</v>
      </c>
      <c r="M7" s="8" t="s">
        <v>93</v>
      </c>
    </row>
    <row r="8" customFormat="false" ht="23.85" hidden="false" customHeight="false" outlineLevel="0" collapsed="false">
      <c r="A8" s="8" t="s">
        <v>94</v>
      </c>
      <c r="B8" s="8" t="s">
        <v>95</v>
      </c>
      <c r="C8" s="8" t="s">
        <v>96</v>
      </c>
      <c r="D8" s="8" t="s">
        <v>97</v>
      </c>
      <c r="E8" s="8" t="s">
        <v>98</v>
      </c>
      <c r="F8" s="9" t="n">
        <v>105000</v>
      </c>
      <c r="G8" s="8" t="s">
        <v>15</v>
      </c>
      <c r="H8" s="8" t="s">
        <v>99</v>
      </c>
      <c r="I8" s="8" t="s">
        <v>100</v>
      </c>
      <c r="J8" s="8" t="s">
        <v>101</v>
      </c>
      <c r="K8" s="8" t="s">
        <v>102</v>
      </c>
      <c r="L8" s="9" t="n">
        <v>0</v>
      </c>
      <c r="M8" s="8" t="s">
        <v>93</v>
      </c>
    </row>
    <row r="9" customFormat="false" ht="23.85" hidden="false" customHeight="false" outlineLevel="0" collapsed="false">
      <c r="A9" s="8" t="s">
        <v>103</v>
      </c>
      <c r="B9" s="8" t="s">
        <v>104</v>
      </c>
      <c r="C9" s="8" t="s">
        <v>105</v>
      </c>
      <c r="D9" s="8" t="s">
        <v>106</v>
      </c>
      <c r="E9" s="8" t="s">
        <v>107</v>
      </c>
      <c r="F9" s="9" t="n">
        <v>1</v>
      </c>
      <c r="G9" s="8" t="s">
        <v>108</v>
      </c>
      <c r="H9" s="8" t="s">
        <v>109</v>
      </c>
      <c r="I9" s="8" t="s">
        <v>110</v>
      </c>
      <c r="J9" s="8" t="s">
        <v>111</v>
      </c>
      <c r="K9" s="8" t="s">
        <v>112</v>
      </c>
      <c r="L9" s="9" t="n">
        <v>0</v>
      </c>
      <c r="M9" s="8" t="s">
        <v>93</v>
      </c>
    </row>
    <row r="10" customFormat="false" ht="23.85" hidden="false" customHeight="false" outlineLevel="0" collapsed="false">
      <c r="A10" s="8" t="s">
        <v>113</v>
      </c>
      <c r="B10" s="8" t="s">
        <v>114</v>
      </c>
      <c r="C10" s="8" t="s">
        <v>115</v>
      </c>
      <c r="D10" s="8" t="s">
        <v>116</v>
      </c>
      <c r="E10" s="8" t="s">
        <v>117</v>
      </c>
      <c r="F10" s="9" t="n">
        <v>2000000</v>
      </c>
      <c r="G10" s="8" t="s">
        <v>15</v>
      </c>
      <c r="H10" s="8" t="s">
        <v>118</v>
      </c>
      <c r="I10" s="8" t="s">
        <v>90</v>
      </c>
      <c r="J10" s="8" t="s">
        <v>119</v>
      </c>
      <c r="K10" s="8" t="s">
        <v>120</v>
      </c>
      <c r="L10" s="9" t="n">
        <v>0</v>
      </c>
      <c r="M10" s="8" t="s">
        <v>93</v>
      </c>
    </row>
    <row r="11" customFormat="false" ht="23.85" hidden="false" customHeight="false" outlineLevel="0" collapsed="false">
      <c r="A11" s="8" t="s">
        <v>121</v>
      </c>
      <c r="B11" s="8" t="s">
        <v>122</v>
      </c>
      <c r="C11" s="8" t="s">
        <v>123</v>
      </c>
      <c r="D11" s="8" t="s">
        <v>124</v>
      </c>
      <c r="E11" s="8" t="s">
        <v>125</v>
      </c>
      <c r="F11" s="9" t="n">
        <v>100000</v>
      </c>
      <c r="G11" s="8" t="s">
        <v>15</v>
      </c>
      <c r="H11" s="8" t="s">
        <v>126</v>
      </c>
      <c r="I11" s="8" t="s">
        <v>90</v>
      </c>
      <c r="J11" s="8" t="s">
        <v>127</v>
      </c>
      <c r="K11" s="8" t="s">
        <v>128</v>
      </c>
      <c r="L11" s="9" t="n">
        <v>0</v>
      </c>
      <c r="M11" s="8" t="s">
        <v>93</v>
      </c>
    </row>
    <row r="12" customFormat="false" ht="23.85" hidden="false" customHeight="false" outlineLevel="0" collapsed="false">
      <c r="A12" s="8" t="s">
        <v>129</v>
      </c>
      <c r="B12" s="8" t="s">
        <v>130</v>
      </c>
      <c r="C12" s="8" t="s">
        <v>131</v>
      </c>
      <c r="D12" s="8" t="s">
        <v>132</v>
      </c>
      <c r="E12" s="8" t="s">
        <v>133</v>
      </c>
      <c r="F12" s="9" t="n">
        <v>99</v>
      </c>
      <c r="G12" s="8" t="s">
        <v>29</v>
      </c>
      <c r="H12" s="8" t="s">
        <v>134</v>
      </c>
      <c r="I12" s="8" t="s">
        <v>135</v>
      </c>
      <c r="J12" s="8" t="s">
        <v>136</v>
      </c>
      <c r="K12" s="8" t="s">
        <v>137</v>
      </c>
      <c r="L12" s="9" t="n">
        <v>0</v>
      </c>
      <c r="M12" s="8" t="s">
        <v>93</v>
      </c>
    </row>
  </sheetData>
  <conditionalFormatting sqref="M7:M12">
    <cfRule type="containsText" priority="2" operator="containsText" aboveAverage="0" equalAverage="0" bottom="0" percent="0" rank="0" text="UNOBSERVED" dxfId="2">
      <formula>NOT(ISERROR(SEARCH("UNOBSERVED",M7)))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7" min="6" style="0" width="20"/>
    <col collapsed="false" customWidth="true" hidden="false" outlineLevel="0" max="8" min="8" style="0" width="54"/>
    <col collapsed="false" customWidth="true" hidden="false" outlineLevel="0" max="10" min="9" style="0" width="18"/>
  </cols>
  <sheetData>
    <row r="2" customFormat="false" ht="24" hidden="false" customHeight="true" outlineLevel="0" collapsed="false">
      <c r="A2" s="1" t="s">
        <v>138</v>
      </c>
    </row>
    <row r="3" customFormat="false" ht="18" hidden="false" customHeight="true" outlineLevel="0" collapsed="false">
      <c r="A3" s="2" t="s">
        <v>139</v>
      </c>
      <c r="B3" s="2"/>
      <c r="C3" s="2"/>
      <c r="D3" s="2"/>
      <c r="E3" s="2"/>
      <c r="F3" s="2"/>
      <c r="G3" s="2"/>
      <c r="H3" s="2"/>
      <c r="I3" s="2"/>
      <c r="J3" s="2"/>
    </row>
    <row r="6" customFormat="false" ht="15" hidden="false" customHeight="false" outlineLevel="0" collapsed="false">
      <c r="A6" s="7" t="s">
        <v>72</v>
      </c>
      <c r="B6" s="7" t="s">
        <v>73</v>
      </c>
      <c r="C6" s="7" t="s">
        <v>140</v>
      </c>
      <c r="D6" s="7" t="s">
        <v>141</v>
      </c>
      <c r="E6" s="7" t="s">
        <v>142</v>
      </c>
      <c r="F6" s="7" t="s">
        <v>6</v>
      </c>
      <c r="G6" s="7" t="s">
        <v>143</v>
      </c>
      <c r="H6" s="7" t="s">
        <v>144</v>
      </c>
      <c r="I6" s="7" t="s">
        <v>145</v>
      </c>
      <c r="J6" s="7" t="s">
        <v>146</v>
      </c>
    </row>
    <row r="7" customFormat="false" ht="15" hidden="false" customHeight="false" outlineLevel="0" collapsed="false">
      <c r="A7" s="8" t="s">
        <v>84</v>
      </c>
      <c r="B7" s="8" t="s">
        <v>85</v>
      </c>
      <c r="C7" s="8" t="s">
        <v>87</v>
      </c>
      <c r="D7" s="8" t="s">
        <v>147</v>
      </c>
      <c r="E7" s="12" t="n">
        <v>5630</v>
      </c>
      <c r="F7" s="8" t="s">
        <v>148</v>
      </c>
      <c r="G7" s="8" t="s">
        <v>149</v>
      </c>
      <c r="H7" s="8" t="s">
        <v>150</v>
      </c>
      <c r="I7" s="8" t="s">
        <v>151</v>
      </c>
      <c r="J7" s="9" t="n">
        <v>0</v>
      </c>
    </row>
    <row r="8" customFormat="false" ht="15" hidden="false" customHeight="false" outlineLevel="0" collapsed="false">
      <c r="A8" s="8" t="s">
        <v>84</v>
      </c>
      <c r="B8" s="8" t="s">
        <v>85</v>
      </c>
      <c r="C8" s="8" t="s">
        <v>87</v>
      </c>
      <c r="D8" s="8" t="s">
        <v>152</v>
      </c>
      <c r="E8" s="12" t="n">
        <v>600</v>
      </c>
      <c r="F8" s="8" t="s">
        <v>153</v>
      </c>
      <c r="G8" s="8" t="s">
        <v>149</v>
      </c>
      <c r="H8" s="8" t="s">
        <v>154</v>
      </c>
      <c r="I8" s="8" t="s">
        <v>151</v>
      </c>
      <c r="J8" s="9" t="n">
        <v>0</v>
      </c>
    </row>
    <row r="9" customFormat="false" ht="15" hidden="false" customHeight="false" outlineLevel="0" collapsed="false">
      <c r="A9" s="8" t="s">
        <v>84</v>
      </c>
      <c r="B9" s="8" t="s">
        <v>85</v>
      </c>
      <c r="C9" s="8" t="s">
        <v>87</v>
      </c>
      <c r="D9" s="8" t="s">
        <v>155</v>
      </c>
      <c r="E9" s="12" t="n">
        <v>0.82</v>
      </c>
      <c r="F9" s="8" t="s">
        <v>156</v>
      </c>
      <c r="G9" s="8" t="s">
        <v>149</v>
      </c>
      <c r="H9" s="8" t="s">
        <v>157</v>
      </c>
      <c r="I9" s="8" t="s">
        <v>151</v>
      </c>
      <c r="J9" s="9" t="n">
        <v>0</v>
      </c>
    </row>
    <row r="10" customFormat="false" ht="15" hidden="false" customHeight="false" outlineLevel="0" collapsed="false">
      <c r="A10" s="8" t="s">
        <v>84</v>
      </c>
      <c r="B10" s="8" t="s">
        <v>85</v>
      </c>
      <c r="C10" s="8" t="s">
        <v>87</v>
      </c>
      <c r="D10" s="8" t="s">
        <v>158</v>
      </c>
      <c r="E10" s="12" t="n">
        <v>48</v>
      </c>
      <c r="F10" s="8" t="s">
        <v>159</v>
      </c>
      <c r="G10" s="8" t="s">
        <v>160</v>
      </c>
      <c r="H10" s="8" t="s">
        <v>161</v>
      </c>
      <c r="I10" s="8" t="s">
        <v>151</v>
      </c>
      <c r="J10" s="9" t="n">
        <v>0</v>
      </c>
    </row>
    <row r="11" customFormat="false" ht="15" hidden="false" customHeight="false" outlineLevel="0" collapsed="false">
      <c r="A11" s="8" t="s">
        <v>84</v>
      </c>
      <c r="B11" s="8" t="s">
        <v>85</v>
      </c>
      <c r="C11" s="8" t="s">
        <v>87</v>
      </c>
      <c r="D11" s="8" t="s">
        <v>162</v>
      </c>
      <c r="E11" s="12" t="n">
        <v>30</v>
      </c>
      <c r="F11" s="8" t="s">
        <v>163</v>
      </c>
      <c r="G11" s="8" t="s">
        <v>149</v>
      </c>
      <c r="H11" s="8" t="s">
        <v>164</v>
      </c>
      <c r="I11" s="8" t="s">
        <v>151</v>
      </c>
      <c r="J11" s="9" t="n">
        <v>0</v>
      </c>
    </row>
    <row r="12" customFormat="false" ht="15" hidden="false" customHeight="false" outlineLevel="0" collapsed="false">
      <c r="A12" s="8" t="s">
        <v>84</v>
      </c>
      <c r="B12" s="8" t="s">
        <v>85</v>
      </c>
      <c r="C12" s="8" t="s">
        <v>87</v>
      </c>
      <c r="D12" s="8" t="s">
        <v>165</v>
      </c>
      <c r="E12" s="12" t="n">
        <v>1</v>
      </c>
      <c r="F12" s="8" t="s">
        <v>166</v>
      </c>
      <c r="G12" s="8" t="s">
        <v>149</v>
      </c>
      <c r="H12" s="8" t="s">
        <v>167</v>
      </c>
      <c r="I12" s="8" t="s">
        <v>151</v>
      </c>
      <c r="J12" s="9" t="n">
        <v>0</v>
      </c>
    </row>
    <row r="13" customFormat="false" ht="15" hidden="false" customHeight="false" outlineLevel="0" collapsed="false">
      <c r="A13" s="8" t="s">
        <v>84</v>
      </c>
      <c r="B13" s="8" t="s">
        <v>85</v>
      </c>
      <c r="C13" s="8" t="s">
        <v>87</v>
      </c>
      <c r="D13" s="8" t="s">
        <v>168</v>
      </c>
      <c r="E13" s="12" t="n">
        <v>1</v>
      </c>
      <c r="F13" s="8" t="s">
        <v>156</v>
      </c>
      <c r="G13" s="8" t="s">
        <v>169</v>
      </c>
      <c r="H13" s="8" t="s">
        <v>170</v>
      </c>
      <c r="I13" s="8" t="s">
        <v>151</v>
      </c>
      <c r="J13" s="9" t="n">
        <v>0</v>
      </c>
    </row>
    <row r="14" customFormat="false" ht="15" hidden="false" customHeight="false" outlineLevel="0" collapsed="false">
      <c r="A14" s="8" t="s">
        <v>84</v>
      </c>
      <c r="B14" s="8" t="s">
        <v>85</v>
      </c>
      <c r="C14" s="8" t="s">
        <v>87</v>
      </c>
      <c r="D14" s="8" t="s">
        <v>171</v>
      </c>
      <c r="E14" s="12" t="n">
        <v>0</v>
      </c>
      <c r="F14" s="8" t="s">
        <v>172</v>
      </c>
      <c r="G14" s="8" t="s">
        <v>169</v>
      </c>
      <c r="H14" s="8" t="s">
        <v>173</v>
      </c>
      <c r="I14" s="8" t="s">
        <v>151</v>
      </c>
      <c r="J14" s="9" t="n">
        <v>0</v>
      </c>
    </row>
    <row r="15" customFormat="false" ht="15" hidden="false" customHeight="false" outlineLevel="0" collapsed="false">
      <c r="A15" s="8" t="s">
        <v>94</v>
      </c>
      <c r="B15" s="8" t="s">
        <v>95</v>
      </c>
      <c r="C15" s="8" t="s">
        <v>97</v>
      </c>
      <c r="D15" s="8" t="s">
        <v>174</v>
      </c>
      <c r="E15" s="12" t="n">
        <v>105000</v>
      </c>
      <c r="F15" s="8" t="s">
        <v>15</v>
      </c>
      <c r="G15" s="8" t="s">
        <v>149</v>
      </c>
      <c r="H15" s="8" t="s">
        <v>175</v>
      </c>
      <c r="I15" s="8" t="s">
        <v>151</v>
      </c>
      <c r="J15" s="9" t="n">
        <v>0</v>
      </c>
    </row>
    <row r="16" customFormat="false" ht="15" hidden="false" customHeight="false" outlineLevel="0" collapsed="false">
      <c r="A16" s="8" t="s">
        <v>94</v>
      </c>
      <c r="B16" s="8" t="s">
        <v>95</v>
      </c>
      <c r="C16" s="8" t="s">
        <v>97</v>
      </c>
      <c r="D16" s="8" t="s">
        <v>176</v>
      </c>
      <c r="E16" s="12" t="n">
        <v>42800</v>
      </c>
      <c r="F16" s="8" t="s">
        <v>177</v>
      </c>
      <c r="G16" s="8" t="s">
        <v>149</v>
      </c>
      <c r="H16" s="8" t="s">
        <v>178</v>
      </c>
      <c r="I16" s="8" t="s">
        <v>151</v>
      </c>
      <c r="J16" s="9" t="n">
        <v>0</v>
      </c>
    </row>
    <row r="17" customFormat="false" ht="15" hidden="false" customHeight="false" outlineLevel="0" collapsed="false">
      <c r="A17" s="8" t="s">
        <v>94</v>
      </c>
      <c r="B17" s="8" t="s">
        <v>95</v>
      </c>
      <c r="C17" s="8" t="s">
        <v>97</v>
      </c>
      <c r="D17" s="8" t="s">
        <v>179</v>
      </c>
      <c r="E17" s="12" t="n">
        <v>180</v>
      </c>
      <c r="F17" s="8" t="s">
        <v>19</v>
      </c>
      <c r="G17" s="8" t="s">
        <v>149</v>
      </c>
      <c r="H17" s="8" t="s">
        <v>180</v>
      </c>
      <c r="I17" s="8" t="s">
        <v>151</v>
      </c>
      <c r="J17" s="9" t="n">
        <v>0</v>
      </c>
    </row>
    <row r="18" customFormat="false" ht="15" hidden="false" customHeight="false" outlineLevel="0" collapsed="false">
      <c r="A18" s="8" t="s">
        <v>94</v>
      </c>
      <c r="B18" s="8" t="s">
        <v>95</v>
      </c>
      <c r="C18" s="8" t="s">
        <v>97</v>
      </c>
      <c r="D18" s="8" t="s">
        <v>181</v>
      </c>
      <c r="E18" s="12" t="n">
        <v>2.15</v>
      </c>
      <c r="F18" s="8" t="s">
        <v>182</v>
      </c>
      <c r="G18" s="8" t="s">
        <v>149</v>
      </c>
      <c r="H18" s="8" t="s">
        <v>183</v>
      </c>
      <c r="I18" s="8" t="s">
        <v>151</v>
      </c>
      <c r="J18" s="9" t="n">
        <v>0</v>
      </c>
    </row>
    <row r="19" customFormat="false" ht="15" hidden="false" customHeight="false" outlineLevel="0" collapsed="false">
      <c r="A19" s="8" t="s">
        <v>94</v>
      </c>
      <c r="B19" s="8" t="s">
        <v>95</v>
      </c>
      <c r="C19" s="8" t="s">
        <v>97</v>
      </c>
      <c r="D19" s="8" t="s">
        <v>184</v>
      </c>
      <c r="E19" s="12" t="n">
        <v>0.8</v>
      </c>
      <c r="F19" s="8" t="s">
        <v>185</v>
      </c>
      <c r="G19" s="8" t="s">
        <v>149</v>
      </c>
      <c r="H19" s="8" t="s">
        <v>186</v>
      </c>
      <c r="I19" s="8" t="s">
        <v>151</v>
      </c>
      <c r="J19" s="9" t="n">
        <v>0</v>
      </c>
    </row>
    <row r="20" customFormat="false" ht="15" hidden="false" customHeight="false" outlineLevel="0" collapsed="false">
      <c r="A20" s="8" t="s">
        <v>94</v>
      </c>
      <c r="B20" s="8" t="s">
        <v>95</v>
      </c>
      <c r="C20" s="8" t="s">
        <v>97</v>
      </c>
      <c r="D20" s="8" t="s">
        <v>187</v>
      </c>
      <c r="E20" s="12" t="n">
        <v>168</v>
      </c>
      <c r="F20" s="8" t="s">
        <v>159</v>
      </c>
      <c r="G20" s="8" t="s">
        <v>160</v>
      </c>
      <c r="H20" s="8" t="s">
        <v>188</v>
      </c>
      <c r="I20" s="8" t="s">
        <v>151</v>
      </c>
      <c r="J20" s="9" t="n">
        <v>0</v>
      </c>
    </row>
    <row r="21" customFormat="false" ht="15" hidden="false" customHeight="false" outlineLevel="0" collapsed="false">
      <c r="A21" s="8" t="s">
        <v>94</v>
      </c>
      <c r="B21" s="8" t="s">
        <v>95</v>
      </c>
      <c r="C21" s="8" t="s">
        <v>97</v>
      </c>
      <c r="D21" s="8" t="s">
        <v>189</v>
      </c>
      <c r="E21" s="12" t="n">
        <v>1</v>
      </c>
      <c r="F21" s="8" t="s">
        <v>156</v>
      </c>
      <c r="G21" s="8" t="s">
        <v>169</v>
      </c>
      <c r="H21" s="8" t="s">
        <v>190</v>
      </c>
      <c r="I21" s="8" t="s">
        <v>151</v>
      </c>
      <c r="J21" s="9" t="n">
        <v>0</v>
      </c>
    </row>
    <row r="22" customFormat="false" ht="15" hidden="false" customHeight="false" outlineLevel="0" collapsed="false">
      <c r="A22" s="8" t="s">
        <v>94</v>
      </c>
      <c r="B22" s="8" t="s">
        <v>95</v>
      </c>
      <c r="C22" s="8" t="s">
        <v>97</v>
      </c>
      <c r="D22" s="8" t="s">
        <v>191</v>
      </c>
      <c r="E22" s="12" t="n">
        <v>2</v>
      </c>
      <c r="F22" s="8" t="s">
        <v>192</v>
      </c>
      <c r="G22" s="8" t="s">
        <v>149</v>
      </c>
      <c r="H22" s="8" t="s">
        <v>193</v>
      </c>
      <c r="I22" s="8" t="s">
        <v>151</v>
      </c>
      <c r="J22" s="9" t="n">
        <v>0</v>
      </c>
    </row>
    <row r="23" customFormat="false" ht="15" hidden="false" customHeight="false" outlineLevel="0" collapsed="false">
      <c r="A23" s="8" t="s">
        <v>103</v>
      </c>
      <c r="B23" s="8" t="s">
        <v>104</v>
      </c>
      <c r="C23" s="8" t="s">
        <v>106</v>
      </c>
      <c r="D23" s="8" t="s">
        <v>194</v>
      </c>
      <c r="E23" s="12" t="n">
        <v>1</v>
      </c>
      <c r="F23" s="8" t="s">
        <v>19</v>
      </c>
      <c r="G23" s="8" t="s">
        <v>149</v>
      </c>
      <c r="H23" s="8" t="s">
        <v>195</v>
      </c>
      <c r="I23" s="8" t="s">
        <v>151</v>
      </c>
      <c r="J23" s="9" t="n">
        <v>0</v>
      </c>
    </row>
    <row r="24" customFormat="false" ht="15" hidden="false" customHeight="false" outlineLevel="0" collapsed="false">
      <c r="A24" s="8" t="s">
        <v>103</v>
      </c>
      <c r="B24" s="8" t="s">
        <v>104</v>
      </c>
      <c r="C24" s="8" t="s">
        <v>106</v>
      </c>
      <c r="D24" s="8" t="s">
        <v>196</v>
      </c>
      <c r="E24" s="12" t="n">
        <v>6</v>
      </c>
      <c r="F24" s="8" t="s">
        <v>159</v>
      </c>
      <c r="G24" s="8" t="s">
        <v>160</v>
      </c>
      <c r="H24" s="8" t="s">
        <v>197</v>
      </c>
      <c r="I24" s="8" t="s">
        <v>151</v>
      </c>
      <c r="J24" s="9" t="n">
        <v>0</v>
      </c>
    </row>
    <row r="25" customFormat="false" ht="15" hidden="false" customHeight="false" outlineLevel="0" collapsed="false">
      <c r="A25" s="8" t="s">
        <v>103</v>
      </c>
      <c r="B25" s="8" t="s">
        <v>104</v>
      </c>
      <c r="C25" s="8" t="s">
        <v>106</v>
      </c>
      <c r="D25" s="8" t="s">
        <v>198</v>
      </c>
      <c r="E25" s="12" t="n">
        <v>18</v>
      </c>
      <c r="F25" s="8" t="s">
        <v>159</v>
      </c>
      <c r="G25" s="8" t="s">
        <v>160</v>
      </c>
      <c r="H25" s="8" t="s">
        <v>199</v>
      </c>
      <c r="I25" s="8" t="s">
        <v>151</v>
      </c>
      <c r="J25" s="9" t="n">
        <v>0</v>
      </c>
    </row>
    <row r="26" customFormat="false" ht="15" hidden="false" customHeight="false" outlineLevel="0" collapsed="false">
      <c r="A26" s="8" t="s">
        <v>103</v>
      </c>
      <c r="B26" s="8" t="s">
        <v>104</v>
      </c>
      <c r="C26" s="8" t="s">
        <v>106</v>
      </c>
      <c r="D26" s="8" t="s">
        <v>200</v>
      </c>
      <c r="E26" s="12" t="n">
        <v>72</v>
      </c>
      <c r="F26" s="8" t="s">
        <v>159</v>
      </c>
      <c r="G26" s="8" t="s">
        <v>149</v>
      </c>
      <c r="H26" s="8" t="s">
        <v>201</v>
      </c>
      <c r="I26" s="8" t="s">
        <v>151</v>
      </c>
      <c r="J26" s="9" t="n">
        <v>0</v>
      </c>
    </row>
    <row r="27" customFormat="false" ht="15" hidden="false" customHeight="false" outlineLevel="0" collapsed="false">
      <c r="A27" s="8" t="s">
        <v>103</v>
      </c>
      <c r="B27" s="8" t="s">
        <v>104</v>
      </c>
      <c r="C27" s="8" t="s">
        <v>106</v>
      </c>
      <c r="D27" s="8" t="s">
        <v>202</v>
      </c>
      <c r="E27" s="12" t="n">
        <v>0</v>
      </c>
      <c r="F27" s="8" t="s">
        <v>203</v>
      </c>
      <c r="G27" s="8" t="s">
        <v>169</v>
      </c>
      <c r="H27" s="8" t="s">
        <v>204</v>
      </c>
      <c r="I27" s="8" t="s">
        <v>151</v>
      </c>
      <c r="J27" s="9" t="n">
        <v>0</v>
      </c>
    </row>
    <row r="28" customFormat="false" ht="15" hidden="false" customHeight="false" outlineLevel="0" collapsed="false">
      <c r="A28" s="8" t="s">
        <v>103</v>
      </c>
      <c r="B28" s="8" t="s">
        <v>104</v>
      </c>
      <c r="C28" s="8" t="s">
        <v>106</v>
      </c>
      <c r="D28" s="8" t="s">
        <v>205</v>
      </c>
      <c r="E28" s="12" t="n">
        <v>4</v>
      </c>
      <c r="F28" s="8" t="s">
        <v>206</v>
      </c>
      <c r="G28" s="8" t="s">
        <v>149</v>
      </c>
      <c r="H28" s="8" t="s">
        <v>207</v>
      </c>
      <c r="I28" s="8" t="s">
        <v>151</v>
      </c>
      <c r="J28" s="9" t="n">
        <v>0</v>
      </c>
    </row>
    <row r="29" customFormat="false" ht="15" hidden="false" customHeight="false" outlineLevel="0" collapsed="false">
      <c r="A29" s="8" t="s">
        <v>103</v>
      </c>
      <c r="B29" s="8" t="s">
        <v>104</v>
      </c>
      <c r="C29" s="8" t="s">
        <v>106</v>
      </c>
      <c r="D29" s="8" t="s">
        <v>208</v>
      </c>
      <c r="E29" s="12" t="n">
        <v>1</v>
      </c>
      <c r="F29" s="8" t="s">
        <v>156</v>
      </c>
      <c r="G29" s="8" t="s">
        <v>169</v>
      </c>
      <c r="H29" s="8" t="s">
        <v>209</v>
      </c>
      <c r="I29" s="8" t="s">
        <v>151</v>
      </c>
      <c r="J29" s="9" t="n">
        <v>0</v>
      </c>
    </row>
    <row r="30" customFormat="false" ht="15" hidden="false" customHeight="false" outlineLevel="0" collapsed="false">
      <c r="A30" s="8" t="s">
        <v>103</v>
      </c>
      <c r="B30" s="8" t="s">
        <v>104</v>
      </c>
      <c r="C30" s="8" t="s">
        <v>106</v>
      </c>
      <c r="D30" s="8" t="s">
        <v>210</v>
      </c>
      <c r="E30" s="12" t="n">
        <v>30</v>
      </c>
      <c r="F30" s="8" t="s">
        <v>163</v>
      </c>
      <c r="G30" s="8" t="s">
        <v>149</v>
      </c>
      <c r="H30" s="8" t="s">
        <v>211</v>
      </c>
      <c r="I30" s="8" t="s">
        <v>151</v>
      </c>
      <c r="J30" s="9" t="n">
        <v>0</v>
      </c>
    </row>
    <row r="31" customFormat="false" ht="15" hidden="false" customHeight="false" outlineLevel="0" collapsed="false">
      <c r="A31" s="8" t="s">
        <v>113</v>
      </c>
      <c r="B31" s="8" t="s">
        <v>114</v>
      </c>
      <c r="C31" s="8" t="s">
        <v>116</v>
      </c>
      <c r="D31" s="8" t="s">
        <v>212</v>
      </c>
      <c r="E31" s="12" t="n">
        <v>25000</v>
      </c>
      <c r="F31" s="8" t="s">
        <v>213</v>
      </c>
      <c r="G31" s="8" t="s">
        <v>149</v>
      </c>
      <c r="H31" s="8" t="s">
        <v>214</v>
      </c>
      <c r="I31" s="8" t="s">
        <v>151</v>
      </c>
      <c r="J31" s="9" t="n">
        <v>0</v>
      </c>
    </row>
    <row r="32" customFormat="false" ht="15" hidden="false" customHeight="false" outlineLevel="0" collapsed="false">
      <c r="A32" s="8" t="s">
        <v>113</v>
      </c>
      <c r="B32" s="8" t="s">
        <v>114</v>
      </c>
      <c r="C32" s="8" t="s">
        <v>116</v>
      </c>
      <c r="D32" s="8" t="s">
        <v>215</v>
      </c>
      <c r="E32" s="12" t="n">
        <v>25</v>
      </c>
      <c r="F32" s="8" t="s">
        <v>216</v>
      </c>
      <c r="G32" s="8" t="s">
        <v>149</v>
      </c>
      <c r="H32" s="8" t="s">
        <v>217</v>
      </c>
      <c r="I32" s="8" t="s">
        <v>151</v>
      </c>
      <c r="J32" s="9" t="n">
        <v>0</v>
      </c>
    </row>
    <row r="33" customFormat="false" ht="15" hidden="false" customHeight="false" outlineLevel="0" collapsed="false">
      <c r="A33" s="8" t="s">
        <v>113</v>
      </c>
      <c r="B33" s="8" t="s">
        <v>114</v>
      </c>
      <c r="C33" s="8" t="s">
        <v>116</v>
      </c>
      <c r="D33" s="8" t="s">
        <v>218</v>
      </c>
      <c r="E33" s="12" t="n">
        <v>20</v>
      </c>
      <c r="F33" s="8" t="s">
        <v>219</v>
      </c>
      <c r="G33" s="8" t="s">
        <v>149</v>
      </c>
      <c r="H33" s="8" t="s">
        <v>220</v>
      </c>
      <c r="I33" s="8" t="s">
        <v>151</v>
      </c>
      <c r="J33" s="9" t="n">
        <v>0</v>
      </c>
    </row>
    <row r="34" customFormat="false" ht="15" hidden="false" customHeight="false" outlineLevel="0" collapsed="false">
      <c r="A34" s="8" t="s">
        <v>113</v>
      </c>
      <c r="B34" s="8" t="s">
        <v>114</v>
      </c>
      <c r="C34" s="8" t="s">
        <v>116</v>
      </c>
      <c r="D34" s="8" t="s">
        <v>221</v>
      </c>
      <c r="E34" s="12" t="n">
        <v>100000</v>
      </c>
      <c r="F34" s="8" t="s">
        <v>213</v>
      </c>
      <c r="G34" s="8" t="s">
        <v>149</v>
      </c>
      <c r="H34" s="8" t="s">
        <v>222</v>
      </c>
      <c r="I34" s="8" t="s">
        <v>151</v>
      </c>
      <c r="J34" s="9" t="n">
        <v>0</v>
      </c>
    </row>
    <row r="35" customFormat="false" ht="15" hidden="false" customHeight="false" outlineLevel="0" collapsed="false">
      <c r="A35" s="8" t="s">
        <v>113</v>
      </c>
      <c r="B35" s="8" t="s">
        <v>114</v>
      </c>
      <c r="C35" s="8" t="s">
        <v>116</v>
      </c>
      <c r="D35" s="8" t="s">
        <v>223</v>
      </c>
      <c r="E35" s="12" t="n">
        <v>80000</v>
      </c>
      <c r="F35" s="8" t="s">
        <v>213</v>
      </c>
      <c r="G35" s="8" t="s">
        <v>149</v>
      </c>
      <c r="H35" s="8" t="s">
        <v>224</v>
      </c>
      <c r="I35" s="8" t="s">
        <v>151</v>
      </c>
      <c r="J35" s="9" t="n">
        <v>0</v>
      </c>
    </row>
    <row r="36" customFormat="false" ht="15" hidden="false" customHeight="false" outlineLevel="0" collapsed="false">
      <c r="A36" s="8" t="s">
        <v>113</v>
      </c>
      <c r="B36" s="8" t="s">
        <v>114</v>
      </c>
      <c r="C36" s="8" t="s">
        <v>116</v>
      </c>
      <c r="D36" s="8" t="s">
        <v>225</v>
      </c>
      <c r="E36" s="12" t="n">
        <v>100</v>
      </c>
      <c r="F36" s="8" t="s">
        <v>216</v>
      </c>
      <c r="G36" s="8" t="s">
        <v>149</v>
      </c>
      <c r="H36" s="8" t="s">
        <v>226</v>
      </c>
      <c r="I36" s="8" t="s">
        <v>151</v>
      </c>
      <c r="J36" s="9" t="n">
        <v>0</v>
      </c>
    </row>
    <row r="37" customFormat="false" ht="15" hidden="false" customHeight="false" outlineLevel="0" collapsed="false">
      <c r="A37" s="8" t="s">
        <v>113</v>
      </c>
      <c r="B37" s="8" t="s">
        <v>114</v>
      </c>
      <c r="C37" s="8" t="s">
        <v>116</v>
      </c>
      <c r="D37" s="8" t="s">
        <v>227</v>
      </c>
      <c r="E37" s="12" t="n">
        <v>80</v>
      </c>
      <c r="F37" s="8" t="s">
        <v>219</v>
      </c>
      <c r="G37" s="8" t="s">
        <v>149</v>
      </c>
      <c r="H37" s="8" t="s">
        <v>228</v>
      </c>
      <c r="I37" s="8" t="s">
        <v>151</v>
      </c>
      <c r="J37" s="9" t="n">
        <v>0</v>
      </c>
    </row>
    <row r="38" customFormat="false" ht="15" hidden="false" customHeight="false" outlineLevel="0" collapsed="false">
      <c r="A38" s="8" t="s">
        <v>113</v>
      </c>
      <c r="B38" s="8" t="s">
        <v>114</v>
      </c>
      <c r="C38" s="8" t="s">
        <v>116</v>
      </c>
      <c r="D38" s="8" t="s">
        <v>162</v>
      </c>
      <c r="E38" s="12" t="n">
        <v>30</v>
      </c>
      <c r="F38" s="8" t="s">
        <v>163</v>
      </c>
      <c r="G38" s="8" t="s">
        <v>149</v>
      </c>
      <c r="H38" s="8" t="s">
        <v>229</v>
      </c>
      <c r="I38" s="8" t="s">
        <v>151</v>
      </c>
      <c r="J38" s="9" t="n">
        <v>0</v>
      </c>
    </row>
    <row r="39" customFormat="false" ht="15" hidden="false" customHeight="false" outlineLevel="0" collapsed="false">
      <c r="A39" s="8" t="s">
        <v>121</v>
      </c>
      <c r="B39" s="8" t="s">
        <v>122</v>
      </c>
      <c r="C39" s="8" t="s">
        <v>124</v>
      </c>
      <c r="D39" s="8" t="s">
        <v>230</v>
      </c>
      <c r="E39" s="12" t="n">
        <v>100000</v>
      </c>
      <c r="F39" s="8" t="s">
        <v>15</v>
      </c>
      <c r="G39" s="8" t="s">
        <v>149</v>
      </c>
      <c r="H39" s="8" t="s">
        <v>231</v>
      </c>
      <c r="I39" s="8" t="s">
        <v>151</v>
      </c>
      <c r="J39" s="9" t="n">
        <v>0</v>
      </c>
    </row>
    <row r="40" customFormat="false" ht="15" hidden="false" customHeight="false" outlineLevel="0" collapsed="false">
      <c r="A40" s="8" t="s">
        <v>121</v>
      </c>
      <c r="B40" s="8" t="s">
        <v>122</v>
      </c>
      <c r="C40" s="8" t="s">
        <v>124</v>
      </c>
      <c r="D40" s="8" t="s">
        <v>232</v>
      </c>
      <c r="E40" s="12" t="n">
        <v>10</v>
      </c>
      <c r="F40" s="8" t="s">
        <v>233</v>
      </c>
      <c r="G40" s="8" t="s">
        <v>149</v>
      </c>
      <c r="H40" s="8" t="s">
        <v>234</v>
      </c>
      <c r="I40" s="8" t="s">
        <v>151</v>
      </c>
      <c r="J40" s="9" t="n">
        <v>0</v>
      </c>
    </row>
    <row r="41" customFormat="false" ht="15" hidden="false" customHeight="false" outlineLevel="0" collapsed="false">
      <c r="A41" s="8" t="s">
        <v>121</v>
      </c>
      <c r="B41" s="8" t="s">
        <v>122</v>
      </c>
      <c r="C41" s="8" t="s">
        <v>124</v>
      </c>
      <c r="D41" s="8" t="s">
        <v>235</v>
      </c>
      <c r="E41" s="12" t="n">
        <v>951</v>
      </c>
      <c r="F41" s="8" t="s">
        <v>236</v>
      </c>
      <c r="G41" s="8" t="s">
        <v>149</v>
      </c>
      <c r="H41" s="8" t="s">
        <v>237</v>
      </c>
      <c r="I41" s="8" t="s">
        <v>151</v>
      </c>
      <c r="J41" s="9" t="n">
        <v>0</v>
      </c>
    </row>
    <row r="42" customFormat="false" ht="15" hidden="false" customHeight="false" outlineLevel="0" collapsed="false">
      <c r="A42" s="8" t="s">
        <v>121</v>
      </c>
      <c r="B42" s="8" t="s">
        <v>122</v>
      </c>
      <c r="C42" s="8" t="s">
        <v>124</v>
      </c>
      <c r="D42" s="8" t="s">
        <v>238</v>
      </c>
      <c r="E42" s="12" t="n">
        <v>11215.5</v>
      </c>
      <c r="F42" s="8" t="s">
        <v>239</v>
      </c>
      <c r="G42" s="8" t="s">
        <v>149</v>
      </c>
      <c r="H42" s="8" t="s">
        <v>240</v>
      </c>
      <c r="I42" s="8" t="s">
        <v>151</v>
      </c>
      <c r="J42" s="9" t="n">
        <v>0</v>
      </c>
    </row>
    <row r="43" customFormat="false" ht="15" hidden="false" customHeight="false" outlineLevel="0" collapsed="false">
      <c r="A43" s="8" t="s">
        <v>121</v>
      </c>
      <c r="B43" s="8" t="s">
        <v>122</v>
      </c>
      <c r="C43" s="8" t="s">
        <v>124</v>
      </c>
      <c r="D43" s="8" t="s">
        <v>241</v>
      </c>
      <c r="E43" s="12" t="n">
        <v>412.5</v>
      </c>
      <c r="F43" s="8" t="s">
        <v>242</v>
      </c>
      <c r="G43" s="8" t="s">
        <v>149</v>
      </c>
      <c r="H43" s="8" t="s">
        <v>243</v>
      </c>
      <c r="I43" s="8" t="s">
        <v>151</v>
      </c>
      <c r="J43" s="9" t="n">
        <v>0</v>
      </c>
    </row>
    <row r="44" customFormat="false" ht="15" hidden="false" customHeight="false" outlineLevel="0" collapsed="false">
      <c r="A44" s="8" t="s">
        <v>121</v>
      </c>
      <c r="B44" s="8" t="s">
        <v>122</v>
      </c>
      <c r="C44" s="8" t="s">
        <v>124</v>
      </c>
      <c r="D44" s="8" t="s">
        <v>244</v>
      </c>
      <c r="E44" s="12" t="n">
        <v>51.9275</v>
      </c>
      <c r="F44" s="8" t="s">
        <v>245</v>
      </c>
      <c r="G44" s="8" t="s">
        <v>149</v>
      </c>
      <c r="H44" s="8" t="s">
        <v>246</v>
      </c>
      <c r="I44" s="8" t="s">
        <v>151</v>
      </c>
      <c r="J44" s="9" t="n">
        <v>0</v>
      </c>
    </row>
    <row r="45" customFormat="false" ht="15" hidden="false" customHeight="false" outlineLevel="0" collapsed="false">
      <c r="A45" s="8" t="s">
        <v>121</v>
      </c>
      <c r="B45" s="8" t="s">
        <v>122</v>
      </c>
      <c r="C45" s="8" t="s">
        <v>124</v>
      </c>
      <c r="D45" s="8" t="s">
        <v>247</v>
      </c>
      <c r="E45" s="12" t="n">
        <v>529.17</v>
      </c>
      <c r="F45" s="8" t="s">
        <v>248</v>
      </c>
      <c r="G45" s="8" t="s">
        <v>149</v>
      </c>
      <c r="H45" s="8" t="s">
        <v>249</v>
      </c>
      <c r="I45" s="8" t="s">
        <v>151</v>
      </c>
      <c r="J45" s="9" t="n">
        <v>0</v>
      </c>
    </row>
    <row r="46" customFormat="false" ht="15" hidden="false" customHeight="false" outlineLevel="0" collapsed="false">
      <c r="A46" s="8" t="s">
        <v>121</v>
      </c>
      <c r="B46" s="8" t="s">
        <v>122</v>
      </c>
      <c r="C46" s="8" t="s">
        <v>124</v>
      </c>
      <c r="D46" s="8" t="s">
        <v>162</v>
      </c>
      <c r="E46" s="12" t="n">
        <v>30</v>
      </c>
      <c r="F46" s="8" t="s">
        <v>163</v>
      </c>
      <c r="G46" s="8" t="s">
        <v>149</v>
      </c>
      <c r="H46" s="8" t="s">
        <v>250</v>
      </c>
      <c r="I46" s="8" t="s">
        <v>151</v>
      </c>
      <c r="J46" s="9" t="n">
        <v>0</v>
      </c>
    </row>
    <row r="47" customFormat="false" ht="15" hidden="false" customHeight="false" outlineLevel="0" collapsed="false">
      <c r="A47" s="8" t="s">
        <v>129</v>
      </c>
      <c r="B47" s="8" t="s">
        <v>130</v>
      </c>
      <c r="C47" s="8" t="s">
        <v>132</v>
      </c>
      <c r="D47" s="8" t="s">
        <v>251</v>
      </c>
      <c r="E47" s="12" t="n">
        <v>99</v>
      </c>
      <c r="F47" s="8" t="s">
        <v>29</v>
      </c>
      <c r="G47" s="8" t="s">
        <v>169</v>
      </c>
      <c r="H47" s="8" t="s">
        <v>252</v>
      </c>
      <c r="I47" s="8" t="s">
        <v>151</v>
      </c>
      <c r="J47" s="9" t="n">
        <v>0</v>
      </c>
    </row>
    <row r="48" customFormat="false" ht="15" hidden="false" customHeight="false" outlineLevel="0" collapsed="false">
      <c r="A48" s="8" t="s">
        <v>129</v>
      </c>
      <c r="B48" s="8" t="s">
        <v>130</v>
      </c>
      <c r="C48" s="8" t="s">
        <v>132</v>
      </c>
      <c r="D48" s="8" t="s">
        <v>253</v>
      </c>
      <c r="E48" s="12" t="n">
        <v>2970</v>
      </c>
      <c r="F48" s="8" t="s">
        <v>254</v>
      </c>
      <c r="G48" s="8" t="s">
        <v>149</v>
      </c>
      <c r="H48" s="8" t="s">
        <v>255</v>
      </c>
      <c r="I48" s="8" t="s">
        <v>151</v>
      </c>
      <c r="J48" s="9" t="n">
        <v>0</v>
      </c>
    </row>
    <row r="49" customFormat="false" ht="15" hidden="false" customHeight="false" outlineLevel="0" collapsed="false">
      <c r="A49" s="8" t="s">
        <v>129</v>
      </c>
      <c r="B49" s="8" t="s">
        <v>130</v>
      </c>
      <c r="C49" s="8" t="s">
        <v>132</v>
      </c>
      <c r="D49" s="8" t="s">
        <v>256</v>
      </c>
      <c r="E49" s="12" t="n">
        <v>168</v>
      </c>
      <c r="F49" s="8" t="s">
        <v>159</v>
      </c>
      <c r="G49" s="8" t="s">
        <v>160</v>
      </c>
      <c r="H49" s="8" t="s">
        <v>257</v>
      </c>
      <c r="I49" s="8" t="s">
        <v>151</v>
      </c>
      <c r="J49" s="9" t="n">
        <v>0</v>
      </c>
    </row>
    <row r="50" customFormat="false" ht="15" hidden="false" customHeight="false" outlineLevel="0" collapsed="false">
      <c r="A50" s="8" t="s">
        <v>129</v>
      </c>
      <c r="B50" s="8" t="s">
        <v>130</v>
      </c>
      <c r="C50" s="8" t="s">
        <v>132</v>
      </c>
      <c r="D50" s="8" t="s">
        <v>258</v>
      </c>
      <c r="E50" s="12" t="n">
        <v>1</v>
      </c>
      <c r="F50" s="8" t="s">
        <v>156</v>
      </c>
      <c r="G50" s="8" t="s">
        <v>169</v>
      </c>
      <c r="H50" s="8" t="s">
        <v>259</v>
      </c>
      <c r="I50" s="8" t="s">
        <v>151</v>
      </c>
      <c r="J50" s="9" t="n">
        <v>0</v>
      </c>
    </row>
    <row r="51" customFormat="false" ht="15" hidden="false" customHeight="false" outlineLevel="0" collapsed="false">
      <c r="A51" s="8" t="s">
        <v>129</v>
      </c>
      <c r="B51" s="8" t="s">
        <v>130</v>
      </c>
      <c r="C51" s="8" t="s">
        <v>132</v>
      </c>
      <c r="D51" s="8" t="s">
        <v>260</v>
      </c>
      <c r="E51" s="12" t="n">
        <v>1</v>
      </c>
      <c r="F51" s="8" t="s">
        <v>156</v>
      </c>
      <c r="G51" s="8" t="s">
        <v>169</v>
      </c>
      <c r="H51" s="8" t="s">
        <v>261</v>
      </c>
      <c r="I51" s="8" t="s">
        <v>151</v>
      </c>
      <c r="J51" s="9" t="n">
        <v>0</v>
      </c>
    </row>
    <row r="52" customFormat="false" ht="15" hidden="false" customHeight="false" outlineLevel="0" collapsed="false">
      <c r="A52" s="8" t="s">
        <v>129</v>
      </c>
      <c r="B52" s="8" t="s">
        <v>130</v>
      </c>
      <c r="C52" s="8" t="s">
        <v>132</v>
      </c>
      <c r="D52" s="8" t="s">
        <v>262</v>
      </c>
      <c r="E52" s="12" t="n">
        <v>0</v>
      </c>
      <c r="F52" s="8" t="s">
        <v>192</v>
      </c>
      <c r="G52" s="8" t="s">
        <v>169</v>
      </c>
      <c r="H52" s="8" t="s">
        <v>263</v>
      </c>
      <c r="I52" s="8" t="s">
        <v>151</v>
      </c>
      <c r="J52" s="9" t="n">
        <v>0</v>
      </c>
    </row>
    <row r="53" customFormat="false" ht="15" hidden="false" customHeight="false" outlineLevel="0" collapsed="false">
      <c r="A53" s="8" t="s">
        <v>129</v>
      </c>
      <c r="B53" s="8" t="s">
        <v>130</v>
      </c>
      <c r="C53" s="8" t="s">
        <v>132</v>
      </c>
      <c r="D53" s="8" t="s">
        <v>264</v>
      </c>
      <c r="E53" s="12" t="n">
        <v>1</v>
      </c>
      <c r="F53" s="8" t="s">
        <v>265</v>
      </c>
      <c r="G53" s="8" t="s">
        <v>149</v>
      </c>
      <c r="H53" s="8" t="s">
        <v>266</v>
      </c>
      <c r="I53" s="8" t="s">
        <v>151</v>
      </c>
      <c r="J53" s="9" t="n">
        <v>0</v>
      </c>
    </row>
    <row r="54" customFormat="false" ht="15" hidden="false" customHeight="false" outlineLevel="0" collapsed="false">
      <c r="A54" s="8" t="s">
        <v>129</v>
      </c>
      <c r="B54" s="8" t="s">
        <v>130</v>
      </c>
      <c r="C54" s="8" t="s">
        <v>132</v>
      </c>
      <c r="D54" s="8" t="s">
        <v>267</v>
      </c>
      <c r="E54" s="12" t="n">
        <v>1</v>
      </c>
      <c r="F54" s="8" t="s">
        <v>166</v>
      </c>
      <c r="G54" s="8" t="s">
        <v>149</v>
      </c>
      <c r="H54" s="8" t="s">
        <v>268</v>
      </c>
      <c r="I54" s="8" t="s">
        <v>151</v>
      </c>
      <c r="J54" s="9" t="n">
        <v>0</v>
      </c>
    </row>
  </sheetData>
  <conditionalFormatting sqref="I7:I54">
    <cfRule type="containsText" priority="2" operator="containsText" aboveAverage="0" equalAverage="0" bottom="0" percent="0" rank="0" text="SOURCE EMPTY" dxfId="3">
      <formula>NOT(ISERROR(SEARCH("SOURCE EMPTY",I7)))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5" min="4" style="0" width="29"/>
    <col collapsed="false" customWidth="true" hidden="false" outlineLevel="0" max="6" min="6" style="0" width="58"/>
    <col collapsed="false" customWidth="true" hidden="false" outlineLevel="0" max="8" min="7" style="0" width="43"/>
    <col collapsed="false" customWidth="true" hidden="false" outlineLevel="0" max="10" min="9" style="0" width="21"/>
    <col collapsed="false" customWidth="true" hidden="false" outlineLevel="0" max="13" min="11" style="0" width="18"/>
    <col collapsed="false" customWidth="true" hidden="false" outlineLevel="0" max="14" min="14" style="0" width="54"/>
  </cols>
  <sheetData>
    <row r="2" customFormat="false" ht="24" hidden="false" customHeight="true" outlineLevel="0" collapsed="false">
      <c r="A2" s="1" t="s">
        <v>269</v>
      </c>
    </row>
    <row r="3" customFormat="false" ht="18" hidden="false" customHeight="true" outlineLevel="0" collapsed="false">
      <c r="A3" s="2" t="s">
        <v>270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customFormat="false" ht="23.85" hidden="false" customHeight="false" outlineLevel="0" collapsed="false">
      <c r="A6" s="7" t="s">
        <v>271</v>
      </c>
      <c r="B6" s="7" t="s">
        <v>272</v>
      </c>
      <c r="C6" s="7" t="s">
        <v>73</v>
      </c>
      <c r="D6" s="7" t="s">
        <v>140</v>
      </c>
      <c r="E6" s="7" t="s">
        <v>273</v>
      </c>
      <c r="F6" s="7" t="s">
        <v>274</v>
      </c>
      <c r="G6" s="7" t="s">
        <v>275</v>
      </c>
      <c r="H6" s="7" t="s">
        <v>276</v>
      </c>
      <c r="I6" s="7" t="s">
        <v>277</v>
      </c>
      <c r="J6" s="7" t="s">
        <v>278</v>
      </c>
      <c r="K6" s="7" t="s">
        <v>279</v>
      </c>
      <c r="L6" s="7" t="s">
        <v>280</v>
      </c>
      <c r="M6" s="7" t="s">
        <v>39</v>
      </c>
      <c r="N6" s="7" t="s">
        <v>281</v>
      </c>
    </row>
    <row r="7" customFormat="false" ht="23.85" hidden="false" customHeight="false" outlineLevel="0" collapsed="false">
      <c r="A7" s="8" t="s">
        <v>282</v>
      </c>
      <c r="B7" s="8" t="s">
        <v>283</v>
      </c>
      <c r="C7" s="8" t="s">
        <v>85</v>
      </c>
      <c r="D7" s="8" t="s">
        <v>87</v>
      </c>
      <c r="E7" s="8" t="s">
        <v>284</v>
      </c>
      <c r="F7" s="8" t="s">
        <v>285</v>
      </c>
      <c r="G7" s="8" t="s">
        <v>286</v>
      </c>
      <c r="H7" s="8" t="s">
        <v>287</v>
      </c>
      <c r="I7" s="13" t="n">
        <f aca="false">Finance!E7/4</f>
        <v>0.50047461808185</v>
      </c>
      <c r="J7" s="13" t="n">
        <f aca="false">Finance!F7/4</f>
        <v>0.612317832919206</v>
      </c>
      <c r="K7" s="8" t="s">
        <v>288</v>
      </c>
      <c r="L7" s="8" t="s">
        <v>151</v>
      </c>
      <c r="M7" s="8" t="n">
        <v>0</v>
      </c>
      <c r="N7" s="8" t="s">
        <v>289</v>
      </c>
    </row>
    <row r="8" customFormat="false" ht="23.85" hidden="false" customHeight="false" outlineLevel="0" collapsed="false">
      <c r="A8" s="8" t="s">
        <v>290</v>
      </c>
      <c r="B8" s="8" t="s">
        <v>291</v>
      </c>
      <c r="C8" s="8" t="s">
        <v>85</v>
      </c>
      <c r="D8" s="8" t="s">
        <v>87</v>
      </c>
      <c r="E8" s="8" t="s">
        <v>292</v>
      </c>
      <c r="F8" s="8" t="s">
        <v>293</v>
      </c>
      <c r="G8" s="8" t="s">
        <v>294</v>
      </c>
      <c r="H8" s="8" t="s">
        <v>295</v>
      </c>
      <c r="I8" s="13" t="n">
        <f aca="false">Finance!E7/4</f>
        <v>0.50047461808185</v>
      </c>
      <c r="J8" s="13" t="n">
        <f aca="false">Finance!F7/4</f>
        <v>0.612317832919206</v>
      </c>
      <c r="K8" s="8" t="s">
        <v>288</v>
      </c>
      <c r="L8" s="8" t="s">
        <v>151</v>
      </c>
      <c r="M8" s="8" t="n">
        <v>0</v>
      </c>
      <c r="N8" s="8" t="s">
        <v>296</v>
      </c>
    </row>
    <row r="9" customFormat="false" ht="23.85" hidden="false" customHeight="false" outlineLevel="0" collapsed="false">
      <c r="A9" s="8" t="s">
        <v>297</v>
      </c>
      <c r="B9" s="8" t="s">
        <v>298</v>
      </c>
      <c r="C9" s="8" t="s">
        <v>85</v>
      </c>
      <c r="D9" s="8" t="s">
        <v>87</v>
      </c>
      <c r="E9" s="8" t="s">
        <v>299</v>
      </c>
      <c r="F9" s="8" t="s">
        <v>300</v>
      </c>
      <c r="G9" s="8" t="s">
        <v>301</v>
      </c>
      <c r="H9" s="8" t="s">
        <v>302</v>
      </c>
      <c r="I9" s="13" t="n">
        <f aca="false">Finance!E7/4</f>
        <v>0.50047461808185</v>
      </c>
      <c r="J9" s="13" t="n">
        <f aca="false">Finance!F7/4</f>
        <v>0.612317832919206</v>
      </c>
      <c r="K9" s="8" t="s">
        <v>288</v>
      </c>
      <c r="L9" s="8" t="s">
        <v>151</v>
      </c>
      <c r="M9" s="8" t="n">
        <v>0</v>
      </c>
      <c r="N9" s="8" t="s">
        <v>303</v>
      </c>
    </row>
    <row r="10" customFormat="false" ht="23.85" hidden="false" customHeight="false" outlineLevel="0" collapsed="false">
      <c r="A10" s="8" t="s">
        <v>304</v>
      </c>
      <c r="B10" s="8" t="s">
        <v>305</v>
      </c>
      <c r="C10" s="8" t="s">
        <v>85</v>
      </c>
      <c r="D10" s="8" t="s">
        <v>87</v>
      </c>
      <c r="E10" s="8" t="s">
        <v>306</v>
      </c>
      <c r="F10" s="8" t="s">
        <v>307</v>
      </c>
      <c r="G10" s="8" t="s">
        <v>308</v>
      </c>
      <c r="H10" s="8" t="s">
        <v>309</v>
      </c>
      <c r="I10" s="13" t="n">
        <f aca="false">Finance!E7/4</f>
        <v>0.50047461808185</v>
      </c>
      <c r="J10" s="13" t="n">
        <f aca="false">Finance!F7/4</f>
        <v>0.612317832919206</v>
      </c>
      <c r="K10" s="8" t="s">
        <v>288</v>
      </c>
      <c r="L10" s="8" t="s">
        <v>151</v>
      </c>
      <c r="M10" s="8" t="n">
        <v>0</v>
      </c>
      <c r="N10" s="8" t="s">
        <v>310</v>
      </c>
    </row>
    <row r="11" customFormat="false" ht="23.85" hidden="false" customHeight="false" outlineLevel="0" collapsed="false">
      <c r="A11" s="8" t="s">
        <v>311</v>
      </c>
      <c r="B11" s="8" t="s">
        <v>312</v>
      </c>
      <c r="C11" s="8" t="s">
        <v>95</v>
      </c>
      <c r="D11" s="8" t="s">
        <v>97</v>
      </c>
      <c r="E11" s="8" t="s">
        <v>313</v>
      </c>
      <c r="F11" s="8" t="s">
        <v>314</v>
      </c>
      <c r="G11" s="8" t="s">
        <v>315</v>
      </c>
      <c r="H11" s="8" t="s">
        <v>316</v>
      </c>
      <c r="I11" s="13" t="n">
        <f aca="false">Finance!E8/4</f>
        <v>0.516493481773961</v>
      </c>
      <c r="J11" s="13" t="n">
        <f aca="false">Finance!F8/4</f>
        <v>0.631916500958307</v>
      </c>
      <c r="K11" s="8" t="s">
        <v>288</v>
      </c>
      <c r="L11" s="8" t="s">
        <v>151</v>
      </c>
      <c r="M11" s="8" t="n">
        <v>0</v>
      </c>
      <c r="N11" s="8" t="s">
        <v>317</v>
      </c>
    </row>
    <row r="12" customFormat="false" ht="23.85" hidden="false" customHeight="false" outlineLevel="0" collapsed="false">
      <c r="A12" s="8" t="s">
        <v>318</v>
      </c>
      <c r="B12" s="8" t="s">
        <v>319</v>
      </c>
      <c r="C12" s="8" t="s">
        <v>95</v>
      </c>
      <c r="D12" s="8" t="s">
        <v>97</v>
      </c>
      <c r="E12" s="8" t="s">
        <v>320</v>
      </c>
      <c r="F12" s="8" t="s">
        <v>321</v>
      </c>
      <c r="G12" s="8" t="s">
        <v>322</v>
      </c>
      <c r="H12" s="8" t="s">
        <v>323</v>
      </c>
      <c r="I12" s="13" t="n">
        <f aca="false">Finance!E8/4</f>
        <v>0.516493481773961</v>
      </c>
      <c r="J12" s="13" t="n">
        <f aca="false">Finance!F8/4</f>
        <v>0.631916500958307</v>
      </c>
      <c r="K12" s="8" t="s">
        <v>288</v>
      </c>
      <c r="L12" s="8" t="s">
        <v>151</v>
      </c>
      <c r="M12" s="8" t="n">
        <v>0</v>
      </c>
      <c r="N12" s="8" t="s">
        <v>324</v>
      </c>
    </row>
    <row r="13" customFormat="false" ht="23.85" hidden="false" customHeight="false" outlineLevel="0" collapsed="false">
      <c r="A13" s="8" t="s">
        <v>325</v>
      </c>
      <c r="B13" s="8" t="s">
        <v>326</v>
      </c>
      <c r="C13" s="8" t="s">
        <v>95</v>
      </c>
      <c r="D13" s="8" t="s">
        <v>97</v>
      </c>
      <c r="E13" s="8" t="s">
        <v>327</v>
      </c>
      <c r="F13" s="8" t="s">
        <v>328</v>
      </c>
      <c r="G13" s="8" t="s">
        <v>329</v>
      </c>
      <c r="H13" s="8" t="s">
        <v>330</v>
      </c>
      <c r="I13" s="13" t="n">
        <f aca="false">Finance!E8/4</f>
        <v>0.516493481773961</v>
      </c>
      <c r="J13" s="13" t="n">
        <f aca="false">Finance!F8/4</f>
        <v>0.631916500958307</v>
      </c>
      <c r="K13" s="8" t="s">
        <v>288</v>
      </c>
      <c r="L13" s="8" t="s">
        <v>151</v>
      </c>
      <c r="M13" s="8" t="n">
        <v>0</v>
      </c>
      <c r="N13" s="8" t="s">
        <v>331</v>
      </c>
    </row>
    <row r="14" customFormat="false" ht="23.85" hidden="false" customHeight="false" outlineLevel="0" collapsed="false">
      <c r="A14" s="8" t="s">
        <v>332</v>
      </c>
      <c r="B14" s="8" t="s">
        <v>333</v>
      </c>
      <c r="C14" s="8" t="s">
        <v>95</v>
      </c>
      <c r="D14" s="8" t="s">
        <v>97</v>
      </c>
      <c r="E14" s="8" t="s">
        <v>334</v>
      </c>
      <c r="F14" s="8" t="s">
        <v>335</v>
      </c>
      <c r="G14" s="8" t="s">
        <v>336</v>
      </c>
      <c r="H14" s="8" t="s">
        <v>337</v>
      </c>
      <c r="I14" s="13" t="n">
        <f aca="false">Finance!E8/4</f>
        <v>0.516493481773961</v>
      </c>
      <c r="J14" s="13" t="n">
        <f aca="false">Finance!F8/4</f>
        <v>0.631916500958307</v>
      </c>
      <c r="K14" s="8" t="s">
        <v>288</v>
      </c>
      <c r="L14" s="8" t="s">
        <v>151</v>
      </c>
      <c r="M14" s="8" t="n">
        <v>0</v>
      </c>
      <c r="N14" s="8" t="s">
        <v>338</v>
      </c>
    </row>
    <row r="15" customFormat="false" ht="23.85" hidden="false" customHeight="false" outlineLevel="0" collapsed="false">
      <c r="A15" s="8" t="s">
        <v>339</v>
      </c>
      <c r="B15" s="8" t="s">
        <v>340</v>
      </c>
      <c r="C15" s="8" t="s">
        <v>104</v>
      </c>
      <c r="D15" s="8" t="s">
        <v>106</v>
      </c>
      <c r="E15" s="8" t="s">
        <v>341</v>
      </c>
      <c r="F15" s="8" t="s">
        <v>342</v>
      </c>
      <c r="G15" s="8" t="s">
        <v>343</v>
      </c>
      <c r="H15" s="8" t="s">
        <v>344</v>
      </c>
      <c r="I15" s="13" t="n">
        <f aca="false">Finance!E9/4</f>
        <v>0.307221654067134</v>
      </c>
      <c r="J15" s="13" t="n">
        <f aca="false">Finance!F9/4</f>
        <v>0.375877798089404</v>
      </c>
      <c r="K15" s="8" t="s">
        <v>288</v>
      </c>
      <c r="L15" s="8" t="s">
        <v>151</v>
      </c>
      <c r="M15" s="8" t="n">
        <v>0</v>
      </c>
      <c r="N15" s="8" t="s">
        <v>345</v>
      </c>
    </row>
    <row r="16" customFormat="false" ht="23.85" hidden="false" customHeight="false" outlineLevel="0" collapsed="false">
      <c r="A16" s="8" t="s">
        <v>346</v>
      </c>
      <c r="B16" s="8" t="s">
        <v>347</v>
      </c>
      <c r="C16" s="8" t="s">
        <v>104</v>
      </c>
      <c r="D16" s="8" t="s">
        <v>106</v>
      </c>
      <c r="E16" s="8" t="s">
        <v>348</v>
      </c>
      <c r="F16" s="8" t="s">
        <v>349</v>
      </c>
      <c r="G16" s="8" t="s">
        <v>350</v>
      </c>
      <c r="H16" s="8" t="s">
        <v>351</v>
      </c>
      <c r="I16" s="13" t="n">
        <f aca="false">Finance!E9/4</f>
        <v>0.307221654067134</v>
      </c>
      <c r="J16" s="13" t="n">
        <f aca="false">Finance!F9/4</f>
        <v>0.375877798089404</v>
      </c>
      <c r="K16" s="8" t="s">
        <v>288</v>
      </c>
      <c r="L16" s="8" t="s">
        <v>151</v>
      </c>
      <c r="M16" s="8" t="n">
        <v>0</v>
      </c>
      <c r="N16" s="8" t="s">
        <v>352</v>
      </c>
    </row>
    <row r="17" customFormat="false" ht="23.85" hidden="false" customHeight="false" outlineLevel="0" collapsed="false">
      <c r="A17" s="8" t="s">
        <v>353</v>
      </c>
      <c r="B17" s="8" t="s">
        <v>354</v>
      </c>
      <c r="C17" s="8" t="s">
        <v>104</v>
      </c>
      <c r="D17" s="8" t="s">
        <v>106</v>
      </c>
      <c r="E17" s="8" t="s">
        <v>355</v>
      </c>
      <c r="F17" s="8" t="s">
        <v>356</v>
      </c>
      <c r="G17" s="8" t="s">
        <v>357</v>
      </c>
      <c r="H17" s="8" t="s">
        <v>358</v>
      </c>
      <c r="I17" s="13" t="n">
        <f aca="false">Finance!E9/4</f>
        <v>0.307221654067134</v>
      </c>
      <c r="J17" s="13" t="n">
        <f aca="false">Finance!F9/4</f>
        <v>0.375877798089404</v>
      </c>
      <c r="K17" s="8" t="s">
        <v>288</v>
      </c>
      <c r="L17" s="8" t="s">
        <v>151</v>
      </c>
      <c r="M17" s="8" t="n">
        <v>0</v>
      </c>
      <c r="N17" s="8" t="s">
        <v>359</v>
      </c>
    </row>
    <row r="18" customFormat="false" ht="23.85" hidden="false" customHeight="false" outlineLevel="0" collapsed="false">
      <c r="A18" s="8" t="s">
        <v>360</v>
      </c>
      <c r="B18" s="8" t="s">
        <v>361</v>
      </c>
      <c r="C18" s="8" t="s">
        <v>104</v>
      </c>
      <c r="D18" s="8" t="s">
        <v>106</v>
      </c>
      <c r="E18" s="8" t="s">
        <v>362</v>
      </c>
      <c r="F18" s="8" t="s">
        <v>363</v>
      </c>
      <c r="G18" s="8" t="s">
        <v>364</v>
      </c>
      <c r="H18" s="8" t="s">
        <v>365</v>
      </c>
      <c r="I18" s="13" t="n">
        <f aca="false">Finance!E9/4</f>
        <v>0.307221654067134</v>
      </c>
      <c r="J18" s="13" t="n">
        <f aca="false">Finance!F9/4</f>
        <v>0.375877798089404</v>
      </c>
      <c r="K18" s="8" t="s">
        <v>288</v>
      </c>
      <c r="L18" s="8" t="s">
        <v>151</v>
      </c>
      <c r="M18" s="8" t="n">
        <v>0</v>
      </c>
      <c r="N18" s="8" t="s">
        <v>366</v>
      </c>
    </row>
    <row r="19" customFormat="false" ht="23.85" hidden="false" customHeight="false" outlineLevel="0" collapsed="false">
      <c r="A19" s="8" t="s">
        <v>367</v>
      </c>
      <c r="B19" s="8" t="s">
        <v>368</v>
      </c>
      <c r="C19" s="8" t="s">
        <v>114</v>
      </c>
      <c r="D19" s="8" t="s">
        <v>116</v>
      </c>
      <c r="E19" s="8" t="s">
        <v>369</v>
      </c>
      <c r="F19" s="8" t="s">
        <v>370</v>
      </c>
      <c r="G19" s="8" t="s">
        <v>371</v>
      </c>
      <c r="H19" s="8" t="s">
        <v>372</v>
      </c>
      <c r="I19" s="13" t="n">
        <f aca="false">Finance!E10/4</f>
        <v>0.899412819320564</v>
      </c>
      <c r="J19" s="13" t="n">
        <f aca="false">Finance!F10/4</f>
        <v>0</v>
      </c>
      <c r="K19" s="8" t="s">
        <v>288</v>
      </c>
      <c r="L19" s="8" t="s">
        <v>151</v>
      </c>
      <c r="M19" s="8" t="n">
        <v>0</v>
      </c>
      <c r="N19" s="8" t="s">
        <v>373</v>
      </c>
    </row>
    <row r="20" customFormat="false" ht="23.85" hidden="false" customHeight="false" outlineLevel="0" collapsed="false">
      <c r="A20" s="8" t="s">
        <v>374</v>
      </c>
      <c r="B20" s="8" t="s">
        <v>375</v>
      </c>
      <c r="C20" s="8" t="s">
        <v>114</v>
      </c>
      <c r="D20" s="8" t="s">
        <v>116</v>
      </c>
      <c r="E20" s="8" t="s">
        <v>376</v>
      </c>
      <c r="F20" s="8" t="s">
        <v>377</v>
      </c>
      <c r="G20" s="8" t="s">
        <v>378</v>
      </c>
      <c r="H20" s="8" t="s">
        <v>379</v>
      </c>
      <c r="I20" s="13" t="n">
        <f aca="false">Finance!E10/4</f>
        <v>0.899412819320564</v>
      </c>
      <c r="J20" s="13" t="n">
        <f aca="false">Finance!F10/4</f>
        <v>0</v>
      </c>
      <c r="K20" s="8" t="s">
        <v>288</v>
      </c>
      <c r="L20" s="8" t="s">
        <v>151</v>
      </c>
      <c r="M20" s="8" t="n">
        <v>0</v>
      </c>
      <c r="N20" s="8" t="s">
        <v>380</v>
      </c>
    </row>
    <row r="21" customFormat="false" ht="23.85" hidden="false" customHeight="false" outlineLevel="0" collapsed="false">
      <c r="A21" s="8" t="s">
        <v>381</v>
      </c>
      <c r="B21" s="8" t="s">
        <v>382</v>
      </c>
      <c r="C21" s="8" t="s">
        <v>114</v>
      </c>
      <c r="D21" s="8" t="s">
        <v>116</v>
      </c>
      <c r="E21" s="8" t="s">
        <v>383</v>
      </c>
      <c r="F21" s="8" t="s">
        <v>384</v>
      </c>
      <c r="G21" s="8" t="s">
        <v>385</v>
      </c>
      <c r="H21" s="8" t="s">
        <v>386</v>
      </c>
      <c r="I21" s="13" t="n">
        <f aca="false">Finance!E10/4</f>
        <v>0.899412819320564</v>
      </c>
      <c r="J21" s="13" t="n">
        <f aca="false">Finance!F10/4</f>
        <v>0</v>
      </c>
      <c r="K21" s="8" t="s">
        <v>288</v>
      </c>
      <c r="L21" s="8" t="s">
        <v>151</v>
      </c>
      <c r="M21" s="8" t="n">
        <v>0</v>
      </c>
      <c r="N21" s="8" t="s">
        <v>387</v>
      </c>
    </row>
    <row r="22" customFormat="false" ht="23.85" hidden="false" customHeight="false" outlineLevel="0" collapsed="false">
      <c r="A22" s="8" t="s">
        <v>388</v>
      </c>
      <c r="B22" s="8" t="s">
        <v>389</v>
      </c>
      <c r="C22" s="8" t="s">
        <v>114</v>
      </c>
      <c r="D22" s="8" t="s">
        <v>116</v>
      </c>
      <c r="E22" s="8" t="s">
        <v>390</v>
      </c>
      <c r="F22" s="8" t="s">
        <v>391</v>
      </c>
      <c r="G22" s="8" t="s">
        <v>392</v>
      </c>
      <c r="H22" s="8" t="s">
        <v>393</v>
      </c>
      <c r="I22" s="13" t="n">
        <f aca="false">Finance!E10/4</f>
        <v>0.899412819320564</v>
      </c>
      <c r="J22" s="13" t="n">
        <f aca="false">Finance!F10/4</f>
        <v>0</v>
      </c>
      <c r="K22" s="8" t="s">
        <v>288</v>
      </c>
      <c r="L22" s="8" t="s">
        <v>151</v>
      </c>
      <c r="M22" s="8" t="n">
        <v>0</v>
      </c>
      <c r="N22" s="8" t="s">
        <v>394</v>
      </c>
    </row>
    <row r="23" customFormat="false" ht="23.85" hidden="false" customHeight="false" outlineLevel="0" collapsed="false">
      <c r="A23" s="8" t="s">
        <v>395</v>
      </c>
      <c r="B23" s="8" t="s">
        <v>396</v>
      </c>
      <c r="C23" s="8" t="s">
        <v>122</v>
      </c>
      <c r="D23" s="8" t="s">
        <v>124</v>
      </c>
      <c r="E23" s="8" t="s">
        <v>397</v>
      </c>
      <c r="F23" s="8" t="s">
        <v>398</v>
      </c>
      <c r="G23" s="8" t="s">
        <v>399</v>
      </c>
      <c r="H23" s="8" t="s">
        <v>400</v>
      </c>
      <c r="I23" s="13" t="n">
        <f aca="false">Finance!E11/4</f>
        <v>0.860712452941094</v>
      </c>
      <c r="J23" s="13" t="n">
        <f aca="false">Finance!F11/4</f>
        <v>1.05305956568066</v>
      </c>
      <c r="K23" s="8" t="s">
        <v>288</v>
      </c>
      <c r="L23" s="8" t="s">
        <v>151</v>
      </c>
      <c r="M23" s="8" t="n">
        <v>0</v>
      </c>
      <c r="N23" s="8" t="s">
        <v>401</v>
      </c>
    </row>
    <row r="24" customFormat="false" ht="23.85" hidden="false" customHeight="false" outlineLevel="0" collapsed="false">
      <c r="A24" s="8" t="s">
        <v>402</v>
      </c>
      <c r="B24" s="8" t="s">
        <v>403</v>
      </c>
      <c r="C24" s="8" t="s">
        <v>122</v>
      </c>
      <c r="D24" s="8" t="s">
        <v>124</v>
      </c>
      <c r="E24" s="8" t="s">
        <v>404</v>
      </c>
      <c r="F24" s="8" t="s">
        <v>405</v>
      </c>
      <c r="G24" s="8" t="s">
        <v>406</v>
      </c>
      <c r="H24" s="8" t="s">
        <v>407</v>
      </c>
      <c r="I24" s="13" t="n">
        <f aca="false">Finance!E11/4</f>
        <v>0.860712452941094</v>
      </c>
      <c r="J24" s="13" t="n">
        <f aca="false">Finance!F11/4</f>
        <v>1.05305956568066</v>
      </c>
      <c r="K24" s="8" t="s">
        <v>288</v>
      </c>
      <c r="L24" s="8" t="s">
        <v>151</v>
      </c>
      <c r="M24" s="8" t="n">
        <v>0</v>
      </c>
      <c r="N24" s="8" t="s">
        <v>408</v>
      </c>
    </row>
    <row r="25" customFormat="false" ht="23.85" hidden="false" customHeight="false" outlineLevel="0" collapsed="false">
      <c r="A25" s="8" t="s">
        <v>409</v>
      </c>
      <c r="B25" s="8" t="s">
        <v>410</v>
      </c>
      <c r="C25" s="8" t="s">
        <v>122</v>
      </c>
      <c r="D25" s="8" t="s">
        <v>124</v>
      </c>
      <c r="E25" s="8" t="s">
        <v>411</v>
      </c>
      <c r="F25" s="8" t="s">
        <v>412</v>
      </c>
      <c r="G25" s="8" t="s">
        <v>413</v>
      </c>
      <c r="H25" s="8" t="s">
        <v>414</v>
      </c>
      <c r="I25" s="13" t="n">
        <f aca="false">Finance!E11/4</f>
        <v>0.860712452941094</v>
      </c>
      <c r="J25" s="13" t="n">
        <f aca="false">Finance!F11/4</f>
        <v>1.05305956568066</v>
      </c>
      <c r="K25" s="8" t="s">
        <v>288</v>
      </c>
      <c r="L25" s="8" t="s">
        <v>151</v>
      </c>
      <c r="M25" s="8" t="n">
        <v>0</v>
      </c>
      <c r="N25" s="8" t="s">
        <v>415</v>
      </c>
    </row>
    <row r="26" customFormat="false" ht="23.85" hidden="false" customHeight="false" outlineLevel="0" collapsed="false">
      <c r="A26" s="8" t="s">
        <v>416</v>
      </c>
      <c r="B26" s="8" t="s">
        <v>417</v>
      </c>
      <c r="C26" s="8" t="s">
        <v>122</v>
      </c>
      <c r="D26" s="8" t="s">
        <v>124</v>
      </c>
      <c r="E26" s="8" t="s">
        <v>418</v>
      </c>
      <c r="F26" s="8" t="s">
        <v>419</v>
      </c>
      <c r="G26" s="8" t="s">
        <v>420</v>
      </c>
      <c r="H26" s="8" t="s">
        <v>421</v>
      </c>
      <c r="I26" s="13" t="n">
        <f aca="false">Finance!E11/4</f>
        <v>0.860712452941094</v>
      </c>
      <c r="J26" s="13" t="n">
        <f aca="false">Finance!F11/4</f>
        <v>1.05305956568066</v>
      </c>
      <c r="K26" s="8" t="s">
        <v>288</v>
      </c>
      <c r="L26" s="8" t="s">
        <v>151</v>
      </c>
      <c r="M26" s="8" t="n">
        <v>0</v>
      </c>
      <c r="N26" s="8" t="s">
        <v>422</v>
      </c>
    </row>
    <row r="27" customFormat="false" ht="23.85" hidden="false" customHeight="false" outlineLevel="0" collapsed="false">
      <c r="A27" s="8" t="s">
        <v>423</v>
      </c>
      <c r="B27" s="8" t="s">
        <v>424</v>
      </c>
      <c r="C27" s="8" t="s">
        <v>130</v>
      </c>
      <c r="D27" s="8" t="s">
        <v>132</v>
      </c>
      <c r="E27" s="8" t="s">
        <v>425</v>
      </c>
      <c r="F27" s="8" t="s">
        <v>426</v>
      </c>
      <c r="G27" s="8" t="s">
        <v>427</v>
      </c>
      <c r="H27" s="8" t="s">
        <v>428</v>
      </c>
      <c r="I27" s="13" t="n">
        <f aca="false">Finance!E12/4</f>
        <v>0.502597793135962</v>
      </c>
      <c r="J27" s="13" t="n">
        <f aca="false">Finance!F12/4</f>
        <v>0.614915483031863</v>
      </c>
      <c r="K27" s="8" t="s">
        <v>288</v>
      </c>
      <c r="L27" s="8" t="s">
        <v>151</v>
      </c>
      <c r="M27" s="8" t="n">
        <v>0</v>
      </c>
      <c r="N27" s="8" t="s">
        <v>429</v>
      </c>
    </row>
    <row r="28" customFormat="false" ht="23.85" hidden="false" customHeight="false" outlineLevel="0" collapsed="false">
      <c r="A28" s="8" t="s">
        <v>430</v>
      </c>
      <c r="B28" s="8" t="s">
        <v>431</v>
      </c>
      <c r="C28" s="8" t="s">
        <v>130</v>
      </c>
      <c r="D28" s="8" t="s">
        <v>132</v>
      </c>
      <c r="E28" s="8" t="s">
        <v>432</v>
      </c>
      <c r="F28" s="8" t="s">
        <v>433</v>
      </c>
      <c r="G28" s="8" t="s">
        <v>434</v>
      </c>
      <c r="H28" s="8" t="s">
        <v>435</v>
      </c>
      <c r="I28" s="13" t="n">
        <f aca="false">Finance!E12/4</f>
        <v>0.502597793135962</v>
      </c>
      <c r="J28" s="13" t="n">
        <f aca="false">Finance!F12/4</f>
        <v>0.614915483031863</v>
      </c>
      <c r="K28" s="8" t="s">
        <v>288</v>
      </c>
      <c r="L28" s="8" t="s">
        <v>151</v>
      </c>
      <c r="M28" s="8" t="n">
        <v>0</v>
      </c>
      <c r="N28" s="8" t="s">
        <v>436</v>
      </c>
    </row>
    <row r="29" customFormat="false" ht="23.85" hidden="false" customHeight="false" outlineLevel="0" collapsed="false">
      <c r="A29" s="8" t="s">
        <v>437</v>
      </c>
      <c r="B29" s="8" t="s">
        <v>438</v>
      </c>
      <c r="C29" s="8" t="s">
        <v>130</v>
      </c>
      <c r="D29" s="8" t="s">
        <v>132</v>
      </c>
      <c r="E29" s="8" t="s">
        <v>439</v>
      </c>
      <c r="F29" s="8" t="s">
        <v>440</v>
      </c>
      <c r="G29" s="8" t="s">
        <v>441</v>
      </c>
      <c r="H29" s="8" t="s">
        <v>442</v>
      </c>
      <c r="I29" s="13" t="n">
        <f aca="false">Finance!E12/4</f>
        <v>0.502597793135962</v>
      </c>
      <c r="J29" s="13" t="n">
        <f aca="false">Finance!F12/4</f>
        <v>0.614915483031863</v>
      </c>
      <c r="K29" s="8" t="s">
        <v>288</v>
      </c>
      <c r="L29" s="8" t="s">
        <v>151</v>
      </c>
      <c r="M29" s="8" t="n">
        <v>0</v>
      </c>
      <c r="N29" s="8" t="s">
        <v>443</v>
      </c>
    </row>
    <row r="30" customFormat="false" ht="23.85" hidden="false" customHeight="false" outlineLevel="0" collapsed="false">
      <c r="A30" s="8" t="s">
        <v>444</v>
      </c>
      <c r="B30" s="8" t="s">
        <v>445</v>
      </c>
      <c r="C30" s="8" t="s">
        <v>130</v>
      </c>
      <c r="D30" s="8" t="s">
        <v>132</v>
      </c>
      <c r="E30" s="8" t="s">
        <v>446</v>
      </c>
      <c r="F30" s="8" t="s">
        <v>447</v>
      </c>
      <c r="G30" s="8" t="s">
        <v>448</v>
      </c>
      <c r="H30" s="8" t="s">
        <v>449</v>
      </c>
      <c r="I30" s="13" t="n">
        <f aca="false">Finance!E12/4</f>
        <v>0.502597793135962</v>
      </c>
      <c r="J30" s="13" t="n">
        <f aca="false">Finance!F12/4</f>
        <v>0.614915483031863</v>
      </c>
      <c r="K30" s="8" t="s">
        <v>288</v>
      </c>
      <c r="L30" s="8" t="s">
        <v>151</v>
      </c>
      <c r="M30" s="8" t="n">
        <v>0</v>
      </c>
      <c r="N30" s="8" t="s">
        <v>450</v>
      </c>
    </row>
  </sheetData>
  <conditionalFormatting sqref="K7:K30">
    <cfRule type="containsText" priority="2" operator="containsText" aboveAverage="0" equalAverage="0" bottom="0" percent="0" rank="0" text="UNAWARDED" dxfId="4">
      <formula>NOT(ISERROR(SEARCH("UNAWARDED",K7)))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5" min="4" style="0" width="64"/>
    <col collapsed="false" customWidth="true" hidden="false" outlineLevel="0" max="8" min="6" style="0" width="18"/>
  </cols>
  <sheetData>
    <row r="2" customFormat="false" ht="24" hidden="false" customHeight="true" outlineLevel="0" collapsed="false">
      <c r="A2" s="1" t="s">
        <v>451</v>
      </c>
    </row>
    <row r="3" customFormat="false" ht="18" hidden="false" customHeight="true" outlineLevel="0" collapsed="false">
      <c r="A3" s="2" t="s">
        <v>452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7" t="s">
        <v>453</v>
      </c>
      <c r="B6" s="7" t="s">
        <v>454</v>
      </c>
      <c r="C6" s="7" t="s">
        <v>455</v>
      </c>
      <c r="D6" s="7" t="s">
        <v>456</v>
      </c>
      <c r="E6" s="7" t="s">
        <v>457</v>
      </c>
      <c r="F6" s="7" t="s">
        <v>458</v>
      </c>
      <c r="G6" s="7" t="s">
        <v>459</v>
      </c>
      <c r="H6" s="7" t="s">
        <v>279</v>
      </c>
    </row>
    <row r="7" customFormat="false" ht="15" hidden="false" customHeight="false" outlineLevel="0" collapsed="false">
      <c r="A7" s="8" t="n">
        <v>1</v>
      </c>
      <c r="B7" s="8" t="s">
        <v>85</v>
      </c>
      <c r="C7" s="8" t="s">
        <v>95</v>
      </c>
      <c r="D7" s="8" t="s">
        <v>460</v>
      </c>
      <c r="E7" s="8" t="s">
        <v>461</v>
      </c>
      <c r="F7" s="8" t="s">
        <v>462</v>
      </c>
      <c r="G7" s="8" t="s">
        <v>151</v>
      </c>
      <c r="H7" s="8" t="s">
        <v>463</v>
      </c>
    </row>
    <row r="8" customFormat="false" ht="15" hidden="false" customHeight="false" outlineLevel="0" collapsed="false">
      <c r="A8" s="8" t="n">
        <v>2</v>
      </c>
      <c r="B8" s="8" t="s">
        <v>85</v>
      </c>
      <c r="C8" s="8" t="s">
        <v>104</v>
      </c>
      <c r="D8" s="8" t="s">
        <v>460</v>
      </c>
      <c r="E8" s="8" t="s">
        <v>464</v>
      </c>
      <c r="F8" s="8" t="s">
        <v>462</v>
      </c>
      <c r="G8" s="8" t="s">
        <v>151</v>
      </c>
      <c r="H8" s="8" t="s">
        <v>463</v>
      </c>
    </row>
    <row r="9" customFormat="false" ht="15" hidden="false" customHeight="false" outlineLevel="0" collapsed="false">
      <c r="A9" s="8" t="n">
        <v>3</v>
      </c>
      <c r="B9" s="8" t="s">
        <v>85</v>
      </c>
      <c r="C9" s="8" t="s">
        <v>114</v>
      </c>
      <c r="D9" s="8" t="s">
        <v>460</v>
      </c>
      <c r="E9" s="8" t="s">
        <v>465</v>
      </c>
      <c r="F9" s="8" t="s">
        <v>462</v>
      </c>
      <c r="G9" s="8" t="s">
        <v>151</v>
      </c>
      <c r="H9" s="8" t="s">
        <v>463</v>
      </c>
    </row>
    <row r="10" customFormat="false" ht="15" hidden="false" customHeight="false" outlineLevel="0" collapsed="false">
      <c r="A10" s="8" t="n">
        <v>4</v>
      </c>
      <c r="B10" s="8" t="s">
        <v>85</v>
      </c>
      <c r="C10" s="8" t="s">
        <v>122</v>
      </c>
      <c r="D10" s="8" t="s">
        <v>460</v>
      </c>
      <c r="E10" s="8" t="s">
        <v>466</v>
      </c>
      <c r="F10" s="8" t="s">
        <v>462</v>
      </c>
      <c r="G10" s="8" t="s">
        <v>151</v>
      </c>
      <c r="H10" s="8" t="s">
        <v>463</v>
      </c>
    </row>
    <row r="11" customFormat="false" ht="15" hidden="false" customHeight="false" outlineLevel="0" collapsed="false">
      <c r="A11" s="8" t="n">
        <v>5</v>
      </c>
      <c r="B11" s="8" t="s">
        <v>85</v>
      </c>
      <c r="C11" s="8" t="s">
        <v>130</v>
      </c>
      <c r="D11" s="8" t="s">
        <v>460</v>
      </c>
      <c r="E11" s="8" t="s">
        <v>467</v>
      </c>
      <c r="F11" s="8" t="s">
        <v>462</v>
      </c>
      <c r="G11" s="8" t="s">
        <v>151</v>
      </c>
      <c r="H11" s="8" t="s">
        <v>463</v>
      </c>
    </row>
    <row r="12" customFormat="false" ht="15" hidden="false" customHeight="false" outlineLevel="0" collapsed="false">
      <c r="A12" s="8" t="n">
        <v>6</v>
      </c>
      <c r="B12" s="8" t="s">
        <v>95</v>
      </c>
      <c r="C12" s="8" t="s">
        <v>85</v>
      </c>
      <c r="D12" s="8" t="s">
        <v>468</v>
      </c>
      <c r="E12" s="8" t="s">
        <v>469</v>
      </c>
      <c r="F12" s="8" t="s">
        <v>462</v>
      </c>
      <c r="G12" s="8" t="s">
        <v>151</v>
      </c>
      <c r="H12" s="8" t="s">
        <v>463</v>
      </c>
    </row>
    <row r="13" customFormat="false" ht="15" hidden="false" customHeight="false" outlineLevel="0" collapsed="false">
      <c r="A13" s="8" t="n">
        <v>7</v>
      </c>
      <c r="B13" s="8" t="s">
        <v>95</v>
      </c>
      <c r="C13" s="8" t="s">
        <v>104</v>
      </c>
      <c r="D13" s="8" t="s">
        <v>468</v>
      </c>
      <c r="E13" s="8" t="s">
        <v>470</v>
      </c>
      <c r="F13" s="8" t="s">
        <v>462</v>
      </c>
      <c r="G13" s="8" t="s">
        <v>151</v>
      </c>
      <c r="H13" s="8" t="s">
        <v>463</v>
      </c>
    </row>
    <row r="14" customFormat="false" ht="15" hidden="false" customHeight="false" outlineLevel="0" collapsed="false">
      <c r="A14" s="8" t="n">
        <v>8</v>
      </c>
      <c r="B14" s="8" t="s">
        <v>95</v>
      </c>
      <c r="C14" s="8" t="s">
        <v>114</v>
      </c>
      <c r="D14" s="8" t="s">
        <v>468</v>
      </c>
      <c r="E14" s="8" t="s">
        <v>471</v>
      </c>
      <c r="F14" s="8" t="s">
        <v>462</v>
      </c>
      <c r="G14" s="8" t="s">
        <v>151</v>
      </c>
      <c r="H14" s="8" t="s">
        <v>463</v>
      </c>
    </row>
    <row r="15" customFormat="false" ht="15" hidden="false" customHeight="false" outlineLevel="0" collapsed="false">
      <c r="A15" s="8" t="n">
        <v>9</v>
      </c>
      <c r="B15" s="8" t="s">
        <v>95</v>
      </c>
      <c r="C15" s="8" t="s">
        <v>122</v>
      </c>
      <c r="D15" s="8" t="s">
        <v>468</v>
      </c>
      <c r="E15" s="8" t="s">
        <v>472</v>
      </c>
      <c r="F15" s="8" t="s">
        <v>462</v>
      </c>
      <c r="G15" s="8" t="s">
        <v>151</v>
      </c>
      <c r="H15" s="8" t="s">
        <v>463</v>
      </c>
    </row>
    <row r="16" customFormat="false" ht="15" hidden="false" customHeight="false" outlineLevel="0" collapsed="false">
      <c r="A16" s="8" t="n">
        <v>10</v>
      </c>
      <c r="B16" s="8" t="s">
        <v>95</v>
      </c>
      <c r="C16" s="8" t="s">
        <v>130</v>
      </c>
      <c r="D16" s="8" t="s">
        <v>468</v>
      </c>
      <c r="E16" s="8" t="s">
        <v>473</v>
      </c>
      <c r="F16" s="8" t="s">
        <v>462</v>
      </c>
      <c r="G16" s="8" t="s">
        <v>151</v>
      </c>
      <c r="H16" s="8" t="s">
        <v>463</v>
      </c>
    </row>
    <row r="17" customFormat="false" ht="15" hidden="false" customHeight="false" outlineLevel="0" collapsed="false">
      <c r="A17" s="8" t="n">
        <v>11</v>
      </c>
      <c r="B17" s="8" t="s">
        <v>104</v>
      </c>
      <c r="C17" s="8" t="s">
        <v>85</v>
      </c>
      <c r="D17" s="8" t="s">
        <v>474</v>
      </c>
      <c r="E17" s="8" t="s">
        <v>475</v>
      </c>
      <c r="F17" s="8" t="s">
        <v>462</v>
      </c>
      <c r="G17" s="8" t="s">
        <v>151</v>
      </c>
      <c r="H17" s="8" t="s">
        <v>463</v>
      </c>
    </row>
    <row r="18" customFormat="false" ht="15" hidden="false" customHeight="false" outlineLevel="0" collapsed="false">
      <c r="A18" s="8" t="n">
        <v>12</v>
      </c>
      <c r="B18" s="8" t="s">
        <v>104</v>
      </c>
      <c r="C18" s="8" t="s">
        <v>95</v>
      </c>
      <c r="D18" s="8" t="s">
        <v>474</v>
      </c>
      <c r="E18" s="8" t="s">
        <v>476</v>
      </c>
      <c r="F18" s="8" t="s">
        <v>462</v>
      </c>
      <c r="G18" s="8" t="s">
        <v>151</v>
      </c>
      <c r="H18" s="8" t="s">
        <v>463</v>
      </c>
    </row>
    <row r="19" customFormat="false" ht="15" hidden="false" customHeight="false" outlineLevel="0" collapsed="false">
      <c r="A19" s="8" t="n">
        <v>13</v>
      </c>
      <c r="B19" s="8" t="s">
        <v>104</v>
      </c>
      <c r="C19" s="8" t="s">
        <v>114</v>
      </c>
      <c r="D19" s="8" t="s">
        <v>474</v>
      </c>
      <c r="E19" s="8" t="s">
        <v>477</v>
      </c>
      <c r="F19" s="8" t="s">
        <v>462</v>
      </c>
      <c r="G19" s="8" t="s">
        <v>151</v>
      </c>
      <c r="H19" s="8" t="s">
        <v>463</v>
      </c>
    </row>
    <row r="20" customFormat="false" ht="15" hidden="false" customHeight="false" outlineLevel="0" collapsed="false">
      <c r="A20" s="8" t="n">
        <v>14</v>
      </c>
      <c r="B20" s="8" t="s">
        <v>104</v>
      </c>
      <c r="C20" s="8" t="s">
        <v>122</v>
      </c>
      <c r="D20" s="8" t="s">
        <v>474</v>
      </c>
      <c r="E20" s="8" t="s">
        <v>478</v>
      </c>
      <c r="F20" s="8" t="s">
        <v>462</v>
      </c>
      <c r="G20" s="8" t="s">
        <v>151</v>
      </c>
      <c r="H20" s="8" t="s">
        <v>463</v>
      </c>
    </row>
    <row r="21" customFormat="false" ht="15" hidden="false" customHeight="false" outlineLevel="0" collapsed="false">
      <c r="A21" s="8" t="n">
        <v>15</v>
      </c>
      <c r="B21" s="8" t="s">
        <v>104</v>
      </c>
      <c r="C21" s="8" t="s">
        <v>130</v>
      </c>
      <c r="D21" s="8" t="s">
        <v>474</v>
      </c>
      <c r="E21" s="8" t="s">
        <v>479</v>
      </c>
      <c r="F21" s="8" t="s">
        <v>462</v>
      </c>
      <c r="G21" s="8" t="s">
        <v>151</v>
      </c>
      <c r="H21" s="8" t="s">
        <v>463</v>
      </c>
    </row>
    <row r="22" customFormat="false" ht="15" hidden="false" customHeight="false" outlineLevel="0" collapsed="false">
      <c r="A22" s="8" t="n">
        <v>16</v>
      </c>
      <c r="B22" s="8" t="s">
        <v>114</v>
      </c>
      <c r="C22" s="8" t="s">
        <v>85</v>
      </c>
      <c r="D22" s="8" t="s">
        <v>480</v>
      </c>
      <c r="E22" s="8" t="s">
        <v>481</v>
      </c>
      <c r="F22" s="8" t="s">
        <v>462</v>
      </c>
      <c r="G22" s="8" t="s">
        <v>151</v>
      </c>
      <c r="H22" s="8" t="s">
        <v>463</v>
      </c>
    </row>
    <row r="23" customFormat="false" ht="15" hidden="false" customHeight="false" outlineLevel="0" collapsed="false">
      <c r="A23" s="8" t="n">
        <v>17</v>
      </c>
      <c r="B23" s="8" t="s">
        <v>114</v>
      </c>
      <c r="C23" s="8" t="s">
        <v>95</v>
      </c>
      <c r="D23" s="8" t="s">
        <v>480</v>
      </c>
      <c r="E23" s="8" t="s">
        <v>482</v>
      </c>
      <c r="F23" s="8" t="s">
        <v>462</v>
      </c>
      <c r="G23" s="8" t="s">
        <v>151</v>
      </c>
      <c r="H23" s="8" t="s">
        <v>463</v>
      </c>
    </row>
    <row r="24" customFormat="false" ht="15" hidden="false" customHeight="false" outlineLevel="0" collapsed="false">
      <c r="A24" s="8" t="n">
        <v>18</v>
      </c>
      <c r="B24" s="8" t="s">
        <v>114</v>
      </c>
      <c r="C24" s="8" t="s">
        <v>104</v>
      </c>
      <c r="D24" s="8" t="s">
        <v>480</v>
      </c>
      <c r="E24" s="8" t="s">
        <v>483</v>
      </c>
      <c r="F24" s="8" t="s">
        <v>462</v>
      </c>
      <c r="G24" s="8" t="s">
        <v>151</v>
      </c>
      <c r="H24" s="8" t="s">
        <v>463</v>
      </c>
    </row>
    <row r="25" customFormat="false" ht="15" hidden="false" customHeight="false" outlineLevel="0" collapsed="false">
      <c r="A25" s="8" t="n">
        <v>19</v>
      </c>
      <c r="B25" s="8" t="s">
        <v>114</v>
      </c>
      <c r="C25" s="8" t="s">
        <v>122</v>
      </c>
      <c r="D25" s="8" t="s">
        <v>480</v>
      </c>
      <c r="E25" s="8" t="s">
        <v>484</v>
      </c>
      <c r="F25" s="8" t="s">
        <v>462</v>
      </c>
      <c r="G25" s="8" t="s">
        <v>151</v>
      </c>
      <c r="H25" s="8" t="s">
        <v>463</v>
      </c>
    </row>
    <row r="26" customFormat="false" ht="15" hidden="false" customHeight="false" outlineLevel="0" collapsed="false">
      <c r="A26" s="8" t="n">
        <v>20</v>
      </c>
      <c r="B26" s="8" t="s">
        <v>114</v>
      </c>
      <c r="C26" s="8" t="s">
        <v>130</v>
      </c>
      <c r="D26" s="8" t="s">
        <v>480</v>
      </c>
      <c r="E26" s="8" t="s">
        <v>485</v>
      </c>
      <c r="F26" s="8" t="s">
        <v>462</v>
      </c>
      <c r="G26" s="8" t="s">
        <v>151</v>
      </c>
      <c r="H26" s="8" t="s">
        <v>463</v>
      </c>
    </row>
    <row r="27" customFormat="false" ht="15" hidden="false" customHeight="false" outlineLevel="0" collapsed="false">
      <c r="A27" s="8" t="n">
        <v>21</v>
      </c>
      <c r="B27" s="8" t="s">
        <v>122</v>
      </c>
      <c r="C27" s="8" t="s">
        <v>85</v>
      </c>
      <c r="D27" s="8" t="s">
        <v>486</v>
      </c>
      <c r="E27" s="8" t="s">
        <v>487</v>
      </c>
      <c r="F27" s="8" t="s">
        <v>462</v>
      </c>
      <c r="G27" s="8" t="s">
        <v>151</v>
      </c>
      <c r="H27" s="8" t="s">
        <v>463</v>
      </c>
    </row>
    <row r="28" customFormat="false" ht="15" hidden="false" customHeight="false" outlineLevel="0" collapsed="false">
      <c r="A28" s="8" t="n">
        <v>22</v>
      </c>
      <c r="B28" s="8" t="s">
        <v>122</v>
      </c>
      <c r="C28" s="8" t="s">
        <v>95</v>
      </c>
      <c r="D28" s="8" t="s">
        <v>486</v>
      </c>
      <c r="E28" s="8" t="s">
        <v>488</v>
      </c>
      <c r="F28" s="8" t="s">
        <v>462</v>
      </c>
      <c r="G28" s="8" t="s">
        <v>151</v>
      </c>
      <c r="H28" s="8" t="s">
        <v>463</v>
      </c>
    </row>
    <row r="29" customFormat="false" ht="15" hidden="false" customHeight="false" outlineLevel="0" collapsed="false">
      <c r="A29" s="8" t="n">
        <v>23</v>
      </c>
      <c r="B29" s="8" t="s">
        <v>122</v>
      </c>
      <c r="C29" s="8" t="s">
        <v>104</v>
      </c>
      <c r="D29" s="8" t="s">
        <v>486</v>
      </c>
      <c r="E29" s="8" t="s">
        <v>489</v>
      </c>
      <c r="F29" s="8" t="s">
        <v>462</v>
      </c>
      <c r="G29" s="8" t="s">
        <v>151</v>
      </c>
      <c r="H29" s="8" t="s">
        <v>463</v>
      </c>
    </row>
    <row r="30" customFormat="false" ht="15" hidden="false" customHeight="false" outlineLevel="0" collapsed="false">
      <c r="A30" s="8" t="n">
        <v>24</v>
      </c>
      <c r="B30" s="8" t="s">
        <v>122</v>
      </c>
      <c r="C30" s="8" t="s">
        <v>114</v>
      </c>
      <c r="D30" s="8" t="s">
        <v>486</v>
      </c>
      <c r="E30" s="8" t="s">
        <v>490</v>
      </c>
      <c r="F30" s="8" t="s">
        <v>462</v>
      </c>
      <c r="G30" s="8" t="s">
        <v>151</v>
      </c>
      <c r="H30" s="8" t="s">
        <v>463</v>
      </c>
    </row>
    <row r="31" customFormat="false" ht="15" hidden="false" customHeight="false" outlineLevel="0" collapsed="false">
      <c r="A31" s="8" t="n">
        <v>25</v>
      </c>
      <c r="B31" s="8" t="s">
        <v>122</v>
      </c>
      <c r="C31" s="8" t="s">
        <v>130</v>
      </c>
      <c r="D31" s="8" t="s">
        <v>486</v>
      </c>
      <c r="E31" s="8" t="s">
        <v>491</v>
      </c>
      <c r="F31" s="8" t="s">
        <v>462</v>
      </c>
      <c r="G31" s="8" t="s">
        <v>151</v>
      </c>
      <c r="H31" s="8" t="s">
        <v>463</v>
      </c>
    </row>
    <row r="32" customFormat="false" ht="15" hidden="false" customHeight="false" outlineLevel="0" collapsed="false">
      <c r="A32" s="8" t="n">
        <v>26</v>
      </c>
      <c r="B32" s="8" t="s">
        <v>130</v>
      </c>
      <c r="C32" s="8" t="s">
        <v>85</v>
      </c>
      <c r="D32" s="8" t="s">
        <v>492</v>
      </c>
      <c r="E32" s="8" t="s">
        <v>493</v>
      </c>
      <c r="F32" s="8" t="s">
        <v>462</v>
      </c>
      <c r="G32" s="8" t="s">
        <v>151</v>
      </c>
      <c r="H32" s="8" t="s">
        <v>463</v>
      </c>
    </row>
    <row r="33" customFormat="false" ht="15" hidden="false" customHeight="false" outlineLevel="0" collapsed="false">
      <c r="A33" s="8" t="n">
        <v>27</v>
      </c>
      <c r="B33" s="8" t="s">
        <v>130</v>
      </c>
      <c r="C33" s="8" t="s">
        <v>95</v>
      </c>
      <c r="D33" s="8" t="s">
        <v>492</v>
      </c>
      <c r="E33" s="8" t="s">
        <v>494</v>
      </c>
      <c r="F33" s="8" t="s">
        <v>462</v>
      </c>
      <c r="G33" s="8" t="s">
        <v>151</v>
      </c>
      <c r="H33" s="8" t="s">
        <v>463</v>
      </c>
    </row>
    <row r="34" customFormat="false" ht="15" hidden="false" customHeight="false" outlineLevel="0" collapsed="false">
      <c r="A34" s="8" t="n">
        <v>28</v>
      </c>
      <c r="B34" s="8" t="s">
        <v>130</v>
      </c>
      <c r="C34" s="8" t="s">
        <v>104</v>
      </c>
      <c r="D34" s="8" t="s">
        <v>492</v>
      </c>
      <c r="E34" s="8" t="s">
        <v>495</v>
      </c>
      <c r="F34" s="8" t="s">
        <v>462</v>
      </c>
      <c r="G34" s="8" t="s">
        <v>151</v>
      </c>
      <c r="H34" s="8" t="s">
        <v>463</v>
      </c>
    </row>
    <row r="35" customFormat="false" ht="15" hidden="false" customHeight="false" outlineLevel="0" collapsed="false">
      <c r="A35" s="8" t="n">
        <v>29</v>
      </c>
      <c r="B35" s="8" t="s">
        <v>130</v>
      </c>
      <c r="C35" s="8" t="s">
        <v>114</v>
      </c>
      <c r="D35" s="8" t="s">
        <v>492</v>
      </c>
      <c r="E35" s="8" t="s">
        <v>496</v>
      </c>
      <c r="F35" s="8" t="s">
        <v>462</v>
      </c>
      <c r="G35" s="8" t="s">
        <v>151</v>
      </c>
      <c r="H35" s="8" t="s">
        <v>463</v>
      </c>
    </row>
    <row r="36" customFormat="false" ht="15" hidden="false" customHeight="false" outlineLevel="0" collapsed="false">
      <c r="A36" s="8" t="n">
        <v>30</v>
      </c>
      <c r="B36" s="8" t="s">
        <v>130</v>
      </c>
      <c r="C36" s="8" t="s">
        <v>122</v>
      </c>
      <c r="D36" s="8" t="s">
        <v>492</v>
      </c>
      <c r="E36" s="8" t="s">
        <v>497</v>
      </c>
      <c r="F36" s="8" t="s">
        <v>462</v>
      </c>
      <c r="G36" s="8" t="s">
        <v>151</v>
      </c>
      <c r="H36" s="8" t="s">
        <v>463</v>
      </c>
    </row>
  </sheetData>
  <conditionalFormatting sqref="G7:G36">
    <cfRule type="containsText" priority="2" operator="containsText" aboveAverage="0" equalAverage="0" bottom="0" percent="0" rank="0" text="SOURCE EMPTY" dxfId="5">
      <formula>NOT(ISERROR(SEARCH("SOURCE EMPTY",G7)))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3"/>
    <col collapsed="false" customWidth="true" hidden="false" outlineLevel="0" max="7" min="3" style="0" width="22"/>
    <col collapsed="false" customWidth="true" hidden="false" outlineLevel="0" max="10" min="8" style="0" width="18"/>
    <col collapsed="false" customWidth="true" hidden="false" outlineLevel="0" max="12" min="12" style="0" width="33"/>
    <col collapsed="false" customWidth="true" hidden="false" outlineLevel="0" max="13" min="13" style="0" width="22"/>
  </cols>
  <sheetData>
    <row r="2" customFormat="false" ht="24" hidden="false" customHeight="true" outlineLevel="0" collapsed="false">
      <c r="A2" s="1" t="s">
        <v>498</v>
      </c>
    </row>
    <row r="3" customFormat="false" ht="18" hidden="false" customHeight="true" outlineLevel="0" collapsed="false">
      <c r="A3" s="2" t="s">
        <v>499</v>
      </c>
      <c r="B3" s="2"/>
      <c r="C3" s="2"/>
      <c r="D3" s="2"/>
      <c r="E3" s="2"/>
      <c r="F3" s="2"/>
      <c r="G3" s="2"/>
      <c r="H3" s="2"/>
      <c r="I3" s="2"/>
      <c r="J3" s="2"/>
    </row>
    <row r="6" customFormat="false" ht="23.85" hidden="false" customHeight="false" outlineLevel="0" collapsed="false">
      <c r="A6" s="7" t="s">
        <v>73</v>
      </c>
      <c r="B6" s="7" t="s">
        <v>74</v>
      </c>
      <c r="C6" s="7" t="s">
        <v>500</v>
      </c>
      <c r="D6" s="7" t="s">
        <v>501</v>
      </c>
      <c r="E6" s="7" t="s">
        <v>277</v>
      </c>
      <c r="F6" s="7" t="s">
        <v>502</v>
      </c>
      <c r="G6" s="7" t="s">
        <v>503</v>
      </c>
      <c r="H6" s="7" t="s">
        <v>504</v>
      </c>
      <c r="I6" s="7" t="s">
        <v>505</v>
      </c>
      <c r="J6" s="7" t="s">
        <v>39</v>
      </c>
      <c r="L6" s="7" t="s">
        <v>74</v>
      </c>
      <c r="M6" s="7" t="s">
        <v>277</v>
      </c>
    </row>
    <row r="7" customFormat="false" ht="15" hidden="false" customHeight="false" outlineLevel="0" collapsed="false">
      <c r="A7" s="8" t="s">
        <v>85</v>
      </c>
      <c r="B7" s="8" t="s">
        <v>86</v>
      </c>
      <c r="C7" s="13" t="n">
        <v>22.2558490200211</v>
      </c>
      <c r="D7" s="13" t="n">
        <f aca="false">C7*20%</f>
        <v>4.45116980400422</v>
      </c>
      <c r="E7" s="13" t="n">
        <f aca="false">D7*(43/4)/($D$13-$D$10)</f>
        <v>2.0018984723274</v>
      </c>
      <c r="F7" s="13" t="n">
        <f aca="false">D7-E7</f>
        <v>2.44927133167682</v>
      </c>
      <c r="G7" s="14" t="n">
        <f aca="false">E7/$E$13</f>
        <v>0.139527957129622</v>
      </c>
      <c r="H7" s="9" t="n">
        <v>4</v>
      </c>
      <c r="I7" s="9" t="n">
        <v>0</v>
      </c>
      <c r="J7" s="9" t="n">
        <v>0</v>
      </c>
      <c r="L7" s="0" t="str">
        <f aca="false">B7</f>
        <v>Enter a broken theater</v>
      </c>
      <c r="M7" s="15" t="n">
        <f aca="false">E7</f>
        <v>2.0018984723274</v>
      </c>
    </row>
    <row r="8" customFormat="false" ht="15" hidden="false" customHeight="false" outlineLevel="0" collapsed="false">
      <c r="A8" s="8" t="s">
        <v>95</v>
      </c>
      <c r="B8" s="8" t="s">
        <v>96</v>
      </c>
      <c r="C8" s="13" t="n">
        <v>22.9681996546453</v>
      </c>
      <c r="D8" s="13" t="n">
        <f aca="false">C8*20%</f>
        <v>4.59363993092907</v>
      </c>
      <c r="E8" s="13" t="n">
        <f aca="false">D8*(43/4)/($D$13-$D$10)</f>
        <v>2.06597392709584</v>
      </c>
      <c r="F8" s="13" t="n">
        <f aca="false">D8-E8</f>
        <v>2.52766600383323</v>
      </c>
      <c r="G8" s="14" t="n">
        <f aca="false">E8/$E$13</f>
        <v>0.143993876570381</v>
      </c>
      <c r="H8" s="9" t="n">
        <v>4</v>
      </c>
      <c r="I8" s="9" t="n">
        <v>0</v>
      </c>
      <c r="J8" s="9" t="n">
        <v>0</v>
      </c>
      <c r="L8" s="0" t="str">
        <f aca="false">B8</f>
        <v>Reach occupied civil terrain</v>
      </c>
      <c r="M8" s="15" t="n">
        <f aca="false">E8</f>
        <v>2.06597392709584</v>
      </c>
    </row>
    <row r="9" customFormat="false" ht="15" hidden="false" customHeight="false" outlineLevel="0" collapsed="false">
      <c r="A9" s="8" t="s">
        <v>104</v>
      </c>
      <c r="B9" s="8" t="s">
        <v>105</v>
      </c>
      <c r="C9" s="13" t="n">
        <v>13.6619890431308</v>
      </c>
      <c r="D9" s="13" t="n">
        <f aca="false">C9*20%</f>
        <v>2.73239780862615</v>
      </c>
      <c r="E9" s="13" t="n">
        <f aca="false">D9*(43/4)/($D$13-$D$10)</f>
        <v>1.22888661626853</v>
      </c>
      <c r="F9" s="13" t="n">
        <f aca="false">D9-E9</f>
        <v>1.50351119235762</v>
      </c>
      <c r="G9" s="14" t="n">
        <f aca="false">E9/$E$13</f>
        <v>0.0856507167981093</v>
      </c>
      <c r="H9" s="9" t="n">
        <v>4</v>
      </c>
      <c r="I9" s="9" t="n">
        <v>0</v>
      </c>
      <c r="J9" s="9" t="n">
        <v>0</v>
      </c>
      <c r="L9" s="0" t="str">
        <f aca="false">B9</f>
        <v>Control an active hazard</v>
      </c>
      <c r="M9" s="15" t="n">
        <f aca="false">E9</f>
        <v>1.22888661626853</v>
      </c>
    </row>
    <row r="10" customFormat="false" ht="15" hidden="false" customHeight="false" outlineLevel="0" collapsed="false">
      <c r="A10" s="8" t="s">
        <v>114</v>
      </c>
      <c r="B10" s="8" t="s">
        <v>115</v>
      </c>
      <c r="C10" s="13" t="n">
        <v>17.9882563864113</v>
      </c>
      <c r="D10" s="13" t="n">
        <f aca="false">C10*20%</f>
        <v>3.59765127728226</v>
      </c>
      <c r="E10" s="13" t="n">
        <f aca="false">D10</f>
        <v>3.59765127728226</v>
      </c>
      <c r="F10" s="13" t="n">
        <f aca="false">D10-E10</f>
        <v>0</v>
      </c>
      <c r="G10" s="14" t="n">
        <f aca="false">E10/$E$13</f>
        <v>0.250748447098007</v>
      </c>
      <c r="H10" s="9" t="n">
        <v>4</v>
      </c>
      <c r="I10" s="9" t="n">
        <v>0</v>
      </c>
      <c r="J10" s="9" t="n">
        <v>0</v>
      </c>
      <c r="L10" s="0" t="str">
        <f aca="false">B10</f>
        <v>Produce and distribute lifelines</v>
      </c>
      <c r="M10" s="15" t="n">
        <f aca="false">E10</f>
        <v>3.59765127728226</v>
      </c>
    </row>
    <row r="11" customFormat="false" ht="15" hidden="false" customHeight="false" outlineLevel="0" collapsed="false">
      <c r="A11" s="8" t="s">
        <v>122</v>
      </c>
      <c r="B11" s="8" t="s">
        <v>123</v>
      </c>
      <c r="C11" s="13" t="n">
        <v>38.275440372435</v>
      </c>
      <c r="D11" s="13" t="n">
        <f aca="false">C11*20%</f>
        <v>7.65508807448701</v>
      </c>
      <c r="E11" s="13" t="n">
        <f aca="false">D11*(43/4)/($D$13-$D$10)</f>
        <v>3.44284981176438</v>
      </c>
      <c r="F11" s="13" t="n">
        <f aca="false">D11-E11</f>
        <v>4.21223826272263</v>
      </c>
      <c r="G11" s="14" t="n">
        <f aca="false">E11/$E$13</f>
        <v>0.239959122592818</v>
      </c>
      <c r="H11" s="9" t="n">
        <v>4</v>
      </c>
      <c r="I11" s="9" t="n">
        <v>0</v>
      </c>
      <c r="J11" s="9" t="n">
        <v>0</v>
      </c>
      <c r="L11" s="0" t="str">
        <f aca="false">B11</f>
        <v>Preserve care and human continuity</v>
      </c>
      <c r="M11" s="15" t="n">
        <f aca="false">E11</f>
        <v>3.44284981176438</v>
      </c>
    </row>
    <row r="12" customFormat="false" ht="15" hidden="false" customHeight="false" outlineLevel="0" collapsed="false">
      <c r="A12" s="8" t="s">
        <v>130</v>
      </c>
      <c r="B12" s="8" t="s">
        <v>131</v>
      </c>
      <c r="C12" s="13" t="n">
        <v>22.3502655233565</v>
      </c>
      <c r="D12" s="13" t="n">
        <f aca="false">C12*20%</f>
        <v>4.4700531046713</v>
      </c>
      <c r="E12" s="13" t="n">
        <f aca="false">D12*(43/4)/($D$13-$D$10)</f>
        <v>2.01039117254385</v>
      </c>
      <c r="F12" s="13" t="n">
        <f aca="false">D12-E12</f>
        <v>2.45966193212745</v>
      </c>
      <c r="G12" s="14" t="n">
        <f aca="false">E12/$E$13</f>
        <v>0.140119879811064</v>
      </c>
      <c r="H12" s="9" t="n">
        <v>4</v>
      </c>
      <c r="I12" s="9" t="n">
        <v>0</v>
      </c>
      <c r="J12" s="9" t="n">
        <v>0</v>
      </c>
      <c r="L12" s="0" t="str">
        <f aca="false">B12</f>
        <v>Sustain, transfer and regenerate</v>
      </c>
      <c r="M12" s="15" t="n">
        <f aca="false">E12</f>
        <v>2.01039117254385</v>
      </c>
    </row>
    <row r="13" customFormat="false" ht="15" hidden="false" customHeight="false" outlineLevel="0" collapsed="false">
      <c r="A13" s="16" t="s">
        <v>506</v>
      </c>
      <c r="B13" s="16" t="s">
        <v>507</v>
      </c>
      <c r="C13" s="17" t="n">
        <f aca="false">SUM(C7:C12)</f>
        <v>137.5</v>
      </c>
      <c r="D13" s="17" t="n">
        <f aca="false">SUM(D7:D12)</f>
        <v>27.5</v>
      </c>
      <c r="E13" s="17" t="n">
        <f aca="false">SUM(E7:E12)</f>
        <v>14.3476512772823</v>
      </c>
      <c r="F13" s="17" t="n">
        <f aca="false">SUM(F7:F12)</f>
        <v>13.1523487227177</v>
      </c>
      <c r="G13" s="18" t="n">
        <f aca="false">SUM(G7:G12)</f>
        <v>1</v>
      </c>
      <c r="H13" s="19" t="n">
        <f aca="false">SUM(H7:H12)</f>
        <v>24</v>
      </c>
      <c r="I13" s="19" t="n">
        <f aca="false">SUM(I7:I12)</f>
        <v>0</v>
      </c>
      <c r="J13" s="19" t="n">
        <f aca="false">SUM(J7:J12)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5" min="3" style="0" width="23"/>
    <col collapsed="false" customWidth="true" hidden="false" outlineLevel="0" max="6" min="6" style="0" width="54"/>
    <col collapsed="false" customWidth="true" hidden="false" outlineLevel="0" max="10" min="7" style="0" width="18"/>
  </cols>
  <sheetData>
    <row r="2" customFormat="false" ht="24" hidden="false" customHeight="true" outlineLevel="0" collapsed="false">
      <c r="A2" s="1" t="s">
        <v>508</v>
      </c>
    </row>
    <row r="3" customFormat="false" ht="18" hidden="false" customHeight="true" outlineLevel="0" collapsed="false">
      <c r="A3" s="2" t="s">
        <v>509</v>
      </c>
      <c r="B3" s="2"/>
      <c r="C3" s="2"/>
      <c r="D3" s="2"/>
      <c r="E3" s="2"/>
      <c r="F3" s="2"/>
      <c r="G3" s="2"/>
      <c r="H3" s="2"/>
      <c r="I3" s="2"/>
      <c r="J3" s="2"/>
    </row>
    <row r="6" customFormat="false" ht="23.85" hidden="false" customHeight="false" outlineLevel="0" collapsed="false">
      <c r="A6" s="7" t="s">
        <v>279</v>
      </c>
      <c r="B6" s="7" t="s">
        <v>510</v>
      </c>
      <c r="C6" s="7" t="s">
        <v>511</v>
      </c>
      <c r="D6" s="7" t="s">
        <v>512</v>
      </c>
      <c r="E6" s="7" t="s">
        <v>513</v>
      </c>
      <c r="F6" s="7" t="s">
        <v>514</v>
      </c>
      <c r="G6" s="7" t="s">
        <v>515</v>
      </c>
      <c r="H6" s="7" t="s">
        <v>516</v>
      </c>
      <c r="I6" s="7" t="s">
        <v>39</v>
      </c>
      <c r="J6" s="7" t="s">
        <v>517</v>
      </c>
    </row>
    <row r="7" customFormat="false" ht="15" hidden="false" customHeight="false" outlineLevel="0" collapsed="false">
      <c r="A7" s="8" t="s">
        <v>518</v>
      </c>
      <c r="B7" s="20" t="n">
        <v>0.15</v>
      </c>
      <c r="C7" s="13" t="n">
        <f aca="false">B7*Finance!$E$13</f>
        <v>2.15214769159234</v>
      </c>
      <c r="D7" s="13" t="n">
        <f aca="false">C7</f>
        <v>2.15214769159234</v>
      </c>
      <c r="E7" s="13" t="n">
        <f aca="false">Finance!$E$13-D7</f>
        <v>12.1955035856899</v>
      </c>
      <c r="F7" s="8" t="s">
        <v>519</v>
      </c>
      <c r="G7" s="8" t="s">
        <v>520</v>
      </c>
      <c r="H7" s="8" t="n">
        <v>0</v>
      </c>
      <c r="I7" s="8" t="n">
        <v>0</v>
      </c>
      <c r="J7" s="8" t="s">
        <v>521</v>
      </c>
    </row>
    <row r="8" customFormat="false" ht="15" hidden="false" customHeight="false" outlineLevel="0" collapsed="false">
      <c r="A8" s="8" t="s">
        <v>522</v>
      </c>
      <c r="B8" s="20" t="n">
        <v>0.35</v>
      </c>
      <c r="C8" s="13" t="n">
        <f aca="false">B8*Finance!$E$13</f>
        <v>5.02167794704879</v>
      </c>
      <c r="D8" s="13" t="n">
        <f aca="false">D7+C8</f>
        <v>7.17382563864113</v>
      </c>
      <c r="E8" s="13" t="n">
        <f aca="false">Finance!$E$13-D8</f>
        <v>7.17382563864113</v>
      </c>
      <c r="F8" s="8" t="s">
        <v>523</v>
      </c>
      <c r="G8" s="8" t="s">
        <v>520</v>
      </c>
      <c r="H8" s="8" t="n">
        <v>0</v>
      </c>
      <c r="I8" s="8" t="n">
        <v>0</v>
      </c>
      <c r="J8" s="8" t="s">
        <v>521</v>
      </c>
    </row>
    <row r="9" customFormat="false" ht="15" hidden="false" customHeight="false" outlineLevel="0" collapsed="false">
      <c r="A9" s="8" t="s">
        <v>524</v>
      </c>
      <c r="B9" s="20" t="n">
        <v>0.35</v>
      </c>
      <c r="C9" s="13" t="n">
        <f aca="false">B9*Finance!$E$13</f>
        <v>5.02167794704879</v>
      </c>
      <c r="D9" s="13" t="n">
        <f aca="false">D8+C9</f>
        <v>12.1955035856899</v>
      </c>
      <c r="E9" s="13" t="n">
        <f aca="false">Finance!$E$13-D9</f>
        <v>2.15214769159234</v>
      </c>
      <c r="F9" s="8" t="s">
        <v>525</v>
      </c>
      <c r="G9" s="8" t="s">
        <v>520</v>
      </c>
      <c r="H9" s="8" t="n">
        <v>0</v>
      </c>
      <c r="I9" s="8" t="n">
        <v>0</v>
      </c>
      <c r="J9" s="8" t="s">
        <v>521</v>
      </c>
    </row>
    <row r="10" customFormat="false" ht="15" hidden="false" customHeight="false" outlineLevel="0" collapsed="false">
      <c r="A10" s="8" t="s">
        <v>526</v>
      </c>
      <c r="B10" s="20" t="n">
        <v>0.15</v>
      </c>
      <c r="C10" s="13" t="n">
        <f aca="false">B10*Finance!$E$13</f>
        <v>2.15214769159234</v>
      </c>
      <c r="D10" s="13" t="n">
        <f aca="false">D9+C10</f>
        <v>14.3476512772823</v>
      </c>
      <c r="E10" s="13" t="n">
        <f aca="false">Finance!$E$13-D10</f>
        <v>0</v>
      </c>
      <c r="F10" s="8" t="s">
        <v>527</v>
      </c>
      <c r="G10" s="8" t="s">
        <v>520</v>
      </c>
      <c r="H10" s="8" t="n">
        <v>0</v>
      </c>
      <c r="I10" s="8" t="n">
        <v>0</v>
      </c>
      <c r="J10" s="8" t="s">
        <v>521</v>
      </c>
    </row>
    <row r="11" customFormat="false" ht="15" hidden="false" customHeight="false" outlineLevel="0" collapsed="false">
      <c r="A11" s="16" t="s">
        <v>506</v>
      </c>
      <c r="B11" s="21" t="n">
        <f aca="false">SUM(B7:B10)</f>
        <v>1</v>
      </c>
      <c r="C11" s="17" t="n">
        <f aca="false">SUM(C7:C10)</f>
        <v>14.3476512772823</v>
      </c>
      <c r="D11" s="17"/>
      <c r="E11" s="17"/>
      <c r="F11" s="16" t="s">
        <v>528</v>
      </c>
      <c r="G11" s="16" t="s">
        <v>520</v>
      </c>
      <c r="H11" s="16" t="n">
        <v>0</v>
      </c>
      <c r="I11" s="16" t="n">
        <v>0</v>
      </c>
      <c r="J11" s="16" t="s">
        <v>521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53"/>
    <col collapsed="false" customWidth="true" hidden="false" outlineLevel="0" max="4" min="4" style="0" width="36"/>
    <col collapsed="false" customWidth="true" hidden="false" outlineLevel="0" max="8" min="5" style="0" width="18"/>
  </cols>
  <sheetData>
    <row r="2" customFormat="false" ht="24" hidden="false" customHeight="true" outlineLevel="0" collapsed="false">
      <c r="A2" s="1" t="s">
        <v>529</v>
      </c>
    </row>
    <row r="3" customFormat="false" ht="18" hidden="false" customHeight="true" outlineLevel="0" collapsed="false">
      <c r="A3" s="2" t="s">
        <v>530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7" t="s">
        <v>279</v>
      </c>
      <c r="B6" s="7" t="s">
        <v>531</v>
      </c>
      <c r="C6" s="7" t="s">
        <v>532</v>
      </c>
      <c r="D6" s="7" t="s">
        <v>533</v>
      </c>
      <c r="E6" s="7" t="s">
        <v>534</v>
      </c>
      <c r="F6" s="7" t="s">
        <v>516</v>
      </c>
      <c r="G6" s="7" t="s">
        <v>39</v>
      </c>
      <c r="H6" s="7" t="s">
        <v>535</v>
      </c>
    </row>
    <row r="7" customFormat="false" ht="23.85" hidden="false" customHeight="false" outlineLevel="0" collapsed="false">
      <c r="A7" s="8" t="s">
        <v>536</v>
      </c>
      <c r="B7" s="8" t="s">
        <v>537</v>
      </c>
      <c r="C7" s="8" t="s">
        <v>538</v>
      </c>
      <c r="D7" s="8" t="s">
        <v>539</v>
      </c>
      <c r="E7" s="8" t="n">
        <v>0</v>
      </c>
      <c r="F7" s="8" t="n">
        <v>0</v>
      </c>
      <c r="G7" s="8" t="n">
        <v>0</v>
      </c>
      <c r="H7" s="8" t="n">
        <v>0</v>
      </c>
    </row>
    <row r="8" customFormat="false" ht="15" hidden="false" customHeight="false" outlineLevel="0" collapsed="false">
      <c r="A8" s="8" t="s">
        <v>540</v>
      </c>
      <c r="B8" s="8" t="s">
        <v>541</v>
      </c>
      <c r="C8" s="8" t="s">
        <v>542</v>
      </c>
      <c r="D8" s="8" t="s">
        <v>543</v>
      </c>
      <c r="E8" s="8" t="n">
        <v>0</v>
      </c>
      <c r="F8" s="8" t="n">
        <v>0</v>
      </c>
      <c r="G8" s="8" t="n">
        <v>0</v>
      </c>
      <c r="H8" s="8" t="n">
        <v>0</v>
      </c>
    </row>
    <row r="9" customFormat="false" ht="15" hidden="false" customHeight="false" outlineLevel="0" collapsed="false">
      <c r="A9" s="8" t="s">
        <v>544</v>
      </c>
      <c r="B9" s="8" t="s">
        <v>545</v>
      </c>
      <c r="C9" s="8" t="s">
        <v>546</v>
      </c>
      <c r="D9" s="8" t="s">
        <v>547</v>
      </c>
      <c r="E9" s="8" t="n">
        <v>0</v>
      </c>
      <c r="F9" s="8" t="n">
        <v>0</v>
      </c>
      <c r="G9" s="8" t="n">
        <v>0</v>
      </c>
      <c r="H9" s="8" t="n">
        <v>0</v>
      </c>
    </row>
    <row r="10" customFormat="false" ht="15" hidden="false" customHeight="false" outlineLevel="0" collapsed="false">
      <c r="A10" s="8" t="s">
        <v>548</v>
      </c>
      <c r="B10" s="8" t="s">
        <v>549</v>
      </c>
      <c r="C10" s="8" t="s">
        <v>550</v>
      </c>
      <c r="D10" s="8" t="s">
        <v>551</v>
      </c>
      <c r="E10" s="8" t="n">
        <v>1</v>
      </c>
      <c r="F10" s="8" t="n">
        <v>0</v>
      </c>
      <c r="G10" s="8" t="n">
        <v>0</v>
      </c>
      <c r="H10" s="8" t="n">
        <v>0</v>
      </c>
    </row>
    <row r="11" customFormat="false" ht="15" hidden="false" customHeight="false" outlineLevel="0" collapsed="false">
      <c r="A11" s="8" t="s">
        <v>552</v>
      </c>
      <c r="B11" s="8" t="s">
        <v>553</v>
      </c>
      <c r="C11" s="8" t="s">
        <v>554</v>
      </c>
      <c r="D11" s="8" t="s">
        <v>555</v>
      </c>
      <c r="E11" s="8" t="n">
        <v>1</v>
      </c>
      <c r="F11" s="8" t="n">
        <v>1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8" t="s">
        <v>556</v>
      </c>
      <c r="B12" s="8" t="s">
        <v>557</v>
      </c>
      <c r="C12" s="8" t="s">
        <v>558</v>
      </c>
      <c r="D12" s="8" t="s">
        <v>559</v>
      </c>
      <c r="E12" s="8" t="n">
        <v>1</v>
      </c>
      <c r="F12" s="8" t="n">
        <v>1</v>
      </c>
      <c r="G12" s="8" t="n">
        <v>0</v>
      </c>
      <c r="H12" s="8" t="n">
        <v>0</v>
      </c>
    </row>
    <row r="13" customFormat="false" ht="15" hidden="false" customHeight="false" outlineLevel="0" collapsed="false">
      <c r="A13" s="8" t="s">
        <v>560</v>
      </c>
      <c r="B13" s="8" t="s">
        <v>561</v>
      </c>
      <c r="C13" s="8" t="s">
        <v>562</v>
      </c>
      <c r="D13" s="8" t="s">
        <v>563</v>
      </c>
      <c r="E13" s="8" t="n">
        <v>1</v>
      </c>
      <c r="F13" s="8" t="n">
        <v>1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8" t="s">
        <v>564</v>
      </c>
      <c r="B14" s="8" t="s">
        <v>565</v>
      </c>
      <c r="C14" s="8" t="s">
        <v>566</v>
      </c>
      <c r="D14" s="8" t="s">
        <v>567</v>
      </c>
      <c r="E14" s="8" t="n">
        <v>1</v>
      </c>
      <c r="F14" s="8" t="n">
        <v>1</v>
      </c>
      <c r="G14" s="8" t="n">
        <v>1</v>
      </c>
      <c r="H14" s="8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9"/>
    <col collapsed="false" customWidth="true" hidden="false" outlineLevel="0" max="4" min="3" style="0" width="28"/>
    <col collapsed="false" customWidth="true" hidden="false" outlineLevel="0" max="6" min="5" style="0" width="45"/>
    <col collapsed="false" customWidth="true" hidden="false" outlineLevel="0" max="9" min="7" style="0" width="18"/>
  </cols>
  <sheetData>
    <row r="2" customFormat="false" ht="24" hidden="false" customHeight="true" outlineLevel="0" collapsed="false">
      <c r="A2" s="1" t="s">
        <v>568</v>
      </c>
    </row>
    <row r="3" customFormat="false" ht="18" hidden="false" customHeight="true" outlineLevel="0" collapsed="false">
      <c r="A3" s="2" t="s">
        <v>569</v>
      </c>
      <c r="B3" s="2"/>
      <c r="C3" s="2"/>
      <c r="D3" s="2"/>
      <c r="E3" s="2"/>
      <c r="F3" s="2"/>
      <c r="G3" s="2"/>
      <c r="H3" s="2"/>
      <c r="I3" s="2"/>
    </row>
    <row r="6" customFormat="false" ht="15" hidden="false" customHeight="false" outlineLevel="0" collapsed="false">
      <c r="A6" s="7" t="s">
        <v>570</v>
      </c>
      <c r="B6" s="7" t="s">
        <v>571</v>
      </c>
      <c r="C6" s="7" t="s">
        <v>572</v>
      </c>
      <c r="D6" s="7" t="s">
        <v>573</v>
      </c>
      <c r="E6" s="7" t="s">
        <v>574</v>
      </c>
      <c r="F6" s="7" t="s">
        <v>575</v>
      </c>
      <c r="G6" s="7" t="s">
        <v>576</v>
      </c>
      <c r="H6" s="7" t="s">
        <v>516</v>
      </c>
      <c r="I6" s="7" t="s">
        <v>39</v>
      </c>
    </row>
    <row r="7" customFormat="false" ht="15" hidden="false" customHeight="false" outlineLevel="0" collapsed="false">
      <c r="A7" s="8" t="s">
        <v>577</v>
      </c>
      <c r="B7" s="8" t="s">
        <v>578</v>
      </c>
      <c r="C7" s="8" t="s">
        <v>579</v>
      </c>
      <c r="D7" s="8" t="s">
        <v>580</v>
      </c>
      <c r="E7" s="8" t="s">
        <v>581</v>
      </c>
      <c r="F7" s="8" t="s">
        <v>582</v>
      </c>
      <c r="G7" s="8" t="s">
        <v>462</v>
      </c>
      <c r="H7" s="8" t="n">
        <v>0</v>
      </c>
      <c r="I7" s="8" t="n">
        <v>0</v>
      </c>
    </row>
    <row r="8" customFormat="false" ht="15" hidden="false" customHeight="false" outlineLevel="0" collapsed="false">
      <c r="A8" s="8" t="s">
        <v>583</v>
      </c>
      <c r="B8" s="8" t="s">
        <v>584</v>
      </c>
      <c r="C8" s="8" t="s">
        <v>585</v>
      </c>
      <c r="D8" s="8" t="s">
        <v>586</v>
      </c>
      <c r="E8" s="8" t="s">
        <v>587</v>
      </c>
      <c r="F8" s="8" t="s">
        <v>588</v>
      </c>
      <c r="G8" s="8" t="s">
        <v>462</v>
      </c>
      <c r="H8" s="8" t="n">
        <v>0</v>
      </c>
      <c r="I8" s="8" t="n">
        <v>0</v>
      </c>
    </row>
    <row r="9" customFormat="false" ht="15" hidden="false" customHeight="false" outlineLevel="0" collapsed="false">
      <c r="A9" s="8" t="s">
        <v>589</v>
      </c>
      <c r="B9" s="8" t="s">
        <v>590</v>
      </c>
      <c r="C9" s="8" t="s">
        <v>591</v>
      </c>
      <c r="D9" s="8" t="s">
        <v>592</v>
      </c>
      <c r="E9" s="8" t="s">
        <v>593</v>
      </c>
      <c r="F9" s="8" t="s">
        <v>594</v>
      </c>
      <c r="G9" s="8" t="s">
        <v>462</v>
      </c>
      <c r="H9" s="8" t="n">
        <v>0</v>
      </c>
      <c r="I9" s="8" t="n">
        <v>0</v>
      </c>
    </row>
    <row r="10" customFormat="false" ht="15" hidden="false" customHeight="false" outlineLevel="0" collapsed="false">
      <c r="A10" s="8" t="s">
        <v>595</v>
      </c>
      <c r="B10" s="8" t="s">
        <v>596</v>
      </c>
      <c r="C10" s="8" t="s">
        <v>597</v>
      </c>
      <c r="D10" s="8" t="s">
        <v>598</v>
      </c>
      <c r="E10" s="8" t="s">
        <v>597</v>
      </c>
      <c r="F10" s="8" t="s">
        <v>599</v>
      </c>
      <c r="G10" s="8" t="s">
        <v>462</v>
      </c>
      <c r="H10" s="8" t="n">
        <v>0</v>
      </c>
      <c r="I10" s="8" t="n">
        <v>0</v>
      </c>
    </row>
    <row r="11" customFormat="false" ht="15" hidden="false" customHeight="false" outlineLevel="0" collapsed="false">
      <c r="A11" s="8" t="s">
        <v>600</v>
      </c>
      <c r="B11" s="8" t="s">
        <v>601</v>
      </c>
      <c r="C11" s="8" t="s">
        <v>602</v>
      </c>
      <c r="D11" s="8" t="s">
        <v>603</v>
      </c>
      <c r="E11" s="8" t="s">
        <v>604</v>
      </c>
      <c r="F11" s="8" t="s">
        <v>605</v>
      </c>
      <c r="G11" s="8" t="s">
        <v>462</v>
      </c>
      <c r="H11" s="8" t="n">
        <v>0</v>
      </c>
      <c r="I11" s="8" t="n">
        <v>0</v>
      </c>
    </row>
    <row r="12" customFormat="false" ht="15" hidden="false" customHeight="false" outlineLevel="0" collapsed="false">
      <c r="A12" s="8" t="s">
        <v>606</v>
      </c>
      <c r="B12" s="8" t="s">
        <v>607</v>
      </c>
      <c r="C12" s="8" t="s">
        <v>608</v>
      </c>
      <c r="D12" s="8" t="s">
        <v>609</v>
      </c>
      <c r="E12" s="8" t="s">
        <v>610</v>
      </c>
      <c r="F12" s="8" t="s">
        <v>611</v>
      </c>
      <c r="G12" s="8" t="s">
        <v>462</v>
      </c>
      <c r="H12" s="8" t="n">
        <v>0</v>
      </c>
      <c r="I12" s="8" t="n">
        <v>0</v>
      </c>
    </row>
    <row r="13" customFormat="false" ht="15" hidden="false" customHeight="false" outlineLevel="0" collapsed="false">
      <c r="A13" s="8" t="s">
        <v>612</v>
      </c>
      <c r="B13" s="8" t="s">
        <v>613</v>
      </c>
      <c r="C13" s="8" t="s">
        <v>614</v>
      </c>
      <c r="D13" s="8" t="s">
        <v>615</v>
      </c>
      <c r="E13" s="8" t="s">
        <v>616</v>
      </c>
      <c r="F13" s="8" t="s">
        <v>617</v>
      </c>
      <c r="G13" s="8" t="s">
        <v>462</v>
      </c>
      <c r="H13" s="8" t="n">
        <v>0</v>
      </c>
      <c r="I13" s="8" t="n">
        <v>0</v>
      </c>
    </row>
    <row r="14" customFormat="false" ht="15" hidden="false" customHeight="false" outlineLevel="0" collapsed="false">
      <c r="A14" s="8" t="s">
        <v>618</v>
      </c>
      <c r="B14" s="8" t="s">
        <v>619</v>
      </c>
      <c r="C14" s="8" t="s">
        <v>620</v>
      </c>
      <c r="D14" s="8" t="s">
        <v>621</v>
      </c>
      <c r="E14" s="8" t="s">
        <v>622</v>
      </c>
      <c r="F14" s="8" t="s">
        <v>623</v>
      </c>
      <c r="G14" s="8" t="s">
        <v>462</v>
      </c>
      <c r="H14" s="8" t="n">
        <v>0</v>
      </c>
      <c r="I14" s="8" t="n">
        <v>0</v>
      </c>
    </row>
    <row r="15" customFormat="false" ht="23.85" hidden="false" customHeight="false" outlineLevel="0" collapsed="false">
      <c r="A15" s="8" t="s">
        <v>624</v>
      </c>
      <c r="B15" s="8" t="s">
        <v>625</v>
      </c>
      <c r="C15" s="8" t="s">
        <v>626</v>
      </c>
      <c r="D15" s="8" t="s">
        <v>627</v>
      </c>
      <c r="E15" s="8" t="s">
        <v>628</v>
      </c>
      <c r="F15" s="8" t="s">
        <v>629</v>
      </c>
      <c r="G15" s="8" t="s">
        <v>462</v>
      </c>
      <c r="H15" s="8" t="n">
        <v>0</v>
      </c>
      <c r="I15" s="8" t="n">
        <v>0</v>
      </c>
    </row>
    <row r="16" customFormat="false" ht="15" hidden="false" customHeight="false" outlineLevel="0" collapsed="false">
      <c r="A16" s="8" t="s">
        <v>630</v>
      </c>
      <c r="B16" s="8" t="s">
        <v>631</v>
      </c>
      <c r="C16" s="8" t="s">
        <v>632</v>
      </c>
      <c r="D16" s="8" t="s">
        <v>633</v>
      </c>
      <c r="E16" s="8" t="s">
        <v>549</v>
      </c>
      <c r="F16" s="8" t="s">
        <v>634</v>
      </c>
      <c r="G16" s="8" t="s">
        <v>462</v>
      </c>
      <c r="H16" s="8" t="n">
        <v>0</v>
      </c>
      <c r="I16" s="8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3"/>
    <col collapsed="false" customWidth="true" hidden="false" outlineLevel="0" max="5" min="4" style="0" width="45"/>
    <col collapsed="false" customWidth="true" hidden="false" outlineLevel="0" max="6" min="6" style="0" width="19"/>
    <col collapsed="false" customWidth="true" hidden="false" outlineLevel="0" max="7" min="7" style="0" width="12"/>
  </cols>
  <sheetData>
    <row r="2" customFormat="false" ht="24" hidden="false" customHeight="true" outlineLevel="0" collapsed="false">
      <c r="A2" s="1" t="s">
        <v>635</v>
      </c>
    </row>
    <row r="3" customFormat="false" ht="18" hidden="false" customHeight="true" outlineLevel="0" collapsed="false">
      <c r="A3" s="2" t="s">
        <v>636</v>
      </c>
      <c r="B3" s="2"/>
      <c r="C3" s="2"/>
      <c r="D3" s="2"/>
      <c r="E3" s="2"/>
      <c r="F3" s="2"/>
      <c r="G3" s="2"/>
    </row>
    <row r="6" customFormat="false" ht="15" hidden="false" customHeight="false" outlineLevel="0" collapsed="false">
      <c r="A6" s="7" t="s">
        <v>635</v>
      </c>
      <c r="B6" s="7" t="s">
        <v>637</v>
      </c>
      <c r="C6" s="7" t="s">
        <v>638</v>
      </c>
      <c r="D6" s="7" t="s">
        <v>639</v>
      </c>
      <c r="E6" s="7" t="s">
        <v>640</v>
      </c>
      <c r="F6" s="7" t="s">
        <v>641</v>
      </c>
      <c r="G6" s="7" t="s">
        <v>642</v>
      </c>
    </row>
    <row r="7" customFormat="false" ht="15" hidden="false" customHeight="false" outlineLevel="0" collapsed="false">
      <c r="A7" s="8" t="s">
        <v>643</v>
      </c>
      <c r="B7" s="8" t="s">
        <v>644</v>
      </c>
      <c r="C7" s="8" t="s">
        <v>645</v>
      </c>
      <c r="D7" s="8" t="s">
        <v>646</v>
      </c>
      <c r="E7" s="8" t="s">
        <v>647</v>
      </c>
      <c r="F7" s="8" t="s">
        <v>151</v>
      </c>
      <c r="G7" s="8" t="n">
        <v>0</v>
      </c>
    </row>
    <row r="8" customFormat="false" ht="15" hidden="false" customHeight="false" outlineLevel="0" collapsed="false">
      <c r="A8" s="8" t="s">
        <v>648</v>
      </c>
      <c r="B8" s="8" t="s">
        <v>649</v>
      </c>
      <c r="C8" s="8" t="s">
        <v>650</v>
      </c>
      <c r="D8" s="8" t="s">
        <v>651</v>
      </c>
      <c r="E8" s="8" t="s">
        <v>652</v>
      </c>
      <c r="F8" s="8" t="s">
        <v>151</v>
      </c>
      <c r="G8" s="8" t="n">
        <v>0</v>
      </c>
    </row>
    <row r="9" customFormat="false" ht="15" hidden="false" customHeight="false" outlineLevel="0" collapsed="false">
      <c r="A9" s="8" t="s">
        <v>653</v>
      </c>
      <c r="B9" s="8" t="s">
        <v>654</v>
      </c>
      <c r="C9" s="8" t="s">
        <v>655</v>
      </c>
      <c r="D9" s="8" t="s">
        <v>656</v>
      </c>
      <c r="E9" s="8" t="s">
        <v>657</v>
      </c>
      <c r="F9" s="8" t="s">
        <v>151</v>
      </c>
      <c r="G9" s="8" t="n">
        <v>0</v>
      </c>
    </row>
    <row r="10" customFormat="false" ht="15" hidden="false" customHeight="false" outlineLevel="0" collapsed="false">
      <c r="A10" s="8" t="s">
        <v>547</v>
      </c>
      <c r="B10" s="8" t="s">
        <v>658</v>
      </c>
      <c r="C10" s="8" t="s">
        <v>659</v>
      </c>
      <c r="D10" s="8" t="s">
        <v>660</v>
      </c>
      <c r="E10" s="8" t="s">
        <v>661</v>
      </c>
      <c r="F10" s="8" t="s">
        <v>151</v>
      </c>
      <c r="G10" s="8" t="n">
        <v>0</v>
      </c>
    </row>
    <row r="11" customFormat="false" ht="15" hidden="false" customHeight="false" outlineLevel="0" collapsed="false">
      <c r="A11" s="8" t="s">
        <v>662</v>
      </c>
      <c r="B11" s="8" t="s">
        <v>663</v>
      </c>
      <c r="C11" s="8" t="s">
        <v>664</v>
      </c>
      <c r="D11" s="8" t="s">
        <v>665</v>
      </c>
      <c r="E11" s="8" t="s">
        <v>666</v>
      </c>
      <c r="F11" s="8" t="s">
        <v>151</v>
      </c>
      <c r="G11" s="8" t="n">
        <v>0</v>
      </c>
    </row>
    <row r="12" customFormat="false" ht="15" hidden="false" customHeight="false" outlineLevel="0" collapsed="false">
      <c r="A12" s="8" t="s">
        <v>551</v>
      </c>
      <c r="B12" s="8" t="s">
        <v>667</v>
      </c>
      <c r="C12" s="8" t="s">
        <v>668</v>
      </c>
      <c r="D12" s="8" t="s">
        <v>669</v>
      </c>
      <c r="E12" s="8" t="s">
        <v>670</v>
      </c>
      <c r="F12" s="8" t="s">
        <v>151</v>
      </c>
      <c r="G12" s="8" t="n">
        <v>0</v>
      </c>
    </row>
    <row r="13" customFormat="false" ht="15" hidden="false" customHeight="false" outlineLevel="0" collapsed="false">
      <c r="A13" s="8" t="s">
        <v>671</v>
      </c>
      <c r="B13" s="8" t="s">
        <v>672</v>
      </c>
      <c r="C13" s="8" t="s">
        <v>673</v>
      </c>
      <c r="D13" s="8" t="s">
        <v>674</v>
      </c>
      <c r="E13" s="8" t="s">
        <v>675</v>
      </c>
      <c r="F13" s="8" t="s">
        <v>151</v>
      </c>
      <c r="G13" s="8" t="n">
        <v>0</v>
      </c>
    </row>
    <row r="14" customFormat="false" ht="15" hidden="false" customHeight="false" outlineLevel="0" collapsed="false">
      <c r="A14" s="8" t="s">
        <v>676</v>
      </c>
      <c r="B14" s="8" t="s">
        <v>677</v>
      </c>
      <c r="C14" s="8" t="s">
        <v>678</v>
      </c>
      <c r="D14" s="8" t="s">
        <v>679</v>
      </c>
      <c r="E14" s="8" t="s">
        <v>680</v>
      </c>
      <c r="F14" s="8" t="s">
        <v>151</v>
      </c>
      <c r="G14" s="8" t="n">
        <v>0</v>
      </c>
    </row>
    <row r="15" customFormat="false" ht="15" hidden="false" customHeight="false" outlineLevel="0" collapsed="false">
      <c r="A15" s="8" t="s">
        <v>681</v>
      </c>
      <c r="B15" s="8" t="s">
        <v>682</v>
      </c>
      <c r="C15" s="8" t="s">
        <v>683</v>
      </c>
      <c r="D15" s="8" t="s">
        <v>684</v>
      </c>
      <c r="E15" s="8" t="s">
        <v>685</v>
      </c>
      <c r="F15" s="8" t="s">
        <v>151</v>
      </c>
      <c r="G15" s="8" t="n">
        <v>0</v>
      </c>
    </row>
    <row r="16" customFormat="false" ht="15" hidden="false" customHeight="false" outlineLevel="0" collapsed="false">
      <c r="A16" s="8" t="s">
        <v>559</v>
      </c>
      <c r="B16" s="8" t="s">
        <v>686</v>
      </c>
      <c r="C16" s="8" t="s">
        <v>687</v>
      </c>
      <c r="D16" s="8" t="s">
        <v>688</v>
      </c>
      <c r="E16" s="8" t="s">
        <v>689</v>
      </c>
      <c r="F16" s="8" t="s">
        <v>151</v>
      </c>
      <c r="G16" s="8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34"/>
    <col collapsed="false" customWidth="true" hidden="false" outlineLevel="0" max="5" min="3" style="0" width="64"/>
    <col collapsed="false" customWidth="true" hidden="false" outlineLevel="0" max="6" min="6" style="0" width="18"/>
  </cols>
  <sheetData>
    <row r="2" customFormat="false" ht="24" hidden="false" customHeight="true" outlineLevel="0" collapsed="false">
      <c r="A2" s="1" t="s">
        <v>690</v>
      </c>
    </row>
    <row r="3" customFormat="false" ht="18" hidden="false" customHeight="true" outlineLevel="0" collapsed="false">
      <c r="A3" s="2" t="s">
        <v>691</v>
      </c>
      <c r="B3" s="2"/>
      <c r="C3" s="2"/>
      <c r="D3" s="2"/>
      <c r="E3" s="2"/>
      <c r="F3" s="2"/>
    </row>
    <row r="6" customFormat="false" ht="15" hidden="false" customHeight="false" outlineLevel="0" collapsed="false">
      <c r="A6" s="7" t="s">
        <v>692</v>
      </c>
      <c r="B6" s="7" t="s">
        <v>693</v>
      </c>
      <c r="C6" s="7" t="s">
        <v>694</v>
      </c>
      <c r="D6" s="7" t="s">
        <v>695</v>
      </c>
      <c r="E6" s="7" t="s">
        <v>696</v>
      </c>
      <c r="F6" s="7" t="s">
        <v>697</v>
      </c>
    </row>
    <row r="7" customFormat="false" ht="23.85" hidden="false" customHeight="false" outlineLevel="0" collapsed="false">
      <c r="A7" s="8" t="s">
        <v>87</v>
      </c>
      <c r="B7" s="8" t="s">
        <v>698</v>
      </c>
      <c r="C7" s="8" t="s">
        <v>699</v>
      </c>
      <c r="D7" s="8" t="s">
        <v>700</v>
      </c>
      <c r="E7" s="8" t="s">
        <v>701</v>
      </c>
      <c r="F7" s="8" t="s">
        <v>702</v>
      </c>
    </row>
    <row r="8" customFormat="false" ht="23.85" hidden="false" customHeight="false" outlineLevel="0" collapsed="false">
      <c r="A8" s="8" t="s">
        <v>87</v>
      </c>
      <c r="B8" s="8" t="s">
        <v>703</v>
      </c>
      <c r="C8" s="8" t="s">
        <v>704</v>
      </c>
      <c r="D8" s="8" t="s">
        <v>705</v>
      </c>
      <c r="E8" s="8" t="s">
        <v>706</v>
      </c>
      <c r="F8" s="8" t="s">
        <v>702</v>
      </c>
    </row>
    <row r="9" customFormat="false" ht="23.85" hidden="false" customHeight="false" outlineLevel="0" collapsed="false">
      <c r="A9" s="8" t="s">
        <v>97</v>
      </c>
      <c r="B9" s="8" t="s">
        <v>707</v>
      </c>
      <c r="C9" s="8" t="s">
        <v>708</v>
      </c>
      <c r="D9" s="8" t="s">
        <v>709</v>
      </c>
      <c r="E9" s="8" t="s">
        <v>710</v>
      </c>
      <c r="F9" s="8" t="s">
        <v>702</v>
      </c>
    </row>
    <row r="10" customFormat="false" ht="23.85" hidden="false" customHeight="false" outlineLevel="0" collapsed="false">
      <c r="A10" s="8" t="s">
        <v>97</v>
      </c>
      <c r="B10" s="8" t="s">
        <v>711</v>
      </c>
      <c r="C10" s="8" t="s">
        <v>712</v>
      </c>
      <c r="D10" s="8" t="s">
        <v>713</v>
      </c>
      <c r="E10" s="8" t="s">
        <v>714</v>
      </c>
      <c r="F10" s="8" t="s">
        <v>702</v>
      </c>
    </row>
    <row r="11" customFormat="false" ht="23.85" hidden="false" customHeight="false" outlineLevel="0" collapsed="false">
      <c r="A11" s="8" t="s">
        <v>106</v>
      </c>
      <c r="B11" s="8" t="s">
        <v>715</v>
      </c>
      <c r="C11" s="8" t="s">
        <v>716</v>
      </c>
      <c r="D11" s="8" t="s">
        <v>717</v>
      </c>
      <c r="E11" s="8" t="s">
        <v>718</v>
      </c>
      <c r="F11" s="8" t="s">
        <v>702</v>
      </c>
    </row>
    <row r="12" customFormat="false" ht="23.85" hidden="false" customHeight="false" outlineLevel="0" collapsed="false">
      <c r="A12" s="8" t="s">
        <v>106</v>
      </c>
      <c r="B12" s="8" t="s">
        <v>719</v>
      </c>
      <c r="C12" s="8" t="s">
        <v>720</v>
      </c>
      <c r="D12" s="8" t="s">
        <v>721</v>
      </c>
      <c r="E12" s="8" t="s">
        <v>722</v>
      </c>
      <c r="F12" s="8" t="s">
        <v>702</v>
      </c>
    </row>
    <row r="13" customFormat="false" ht="23.85" hidden="false" customHeight="false" outlineLevel="0" collapsed="false">
      <c r="A13" s="8" t="s">
        <v>116</v>
      </c>
      <c r="B13" s="8" t="s">
        <v>723</v>
      </c>
      <c r="C13" s="8" t="s">
        <v>724</v>
      </c>
      <c r="D13" s="8" t="s">
        <v>725</v>
      </c>
      <c r="E13" s="8" t="s">
        <v>726</v>
      </c>
      <c r="F13" s="8" t="s">
        <v>702</v>
      </c>
    </row>
    <row r="14" customFormat="false" ht="23.85" hidden="false" customHeight="false" outlineLevel="0" collapsed="false">
      <c r="A14" s="8" t="s">
        <v>116</v>
      </c>
      <c r="B14" s="8" t="s">
        <v>727</v>
      </c>
      <c r="C14" s="8" t="s">
        <v>728</v>
      </c>
      <c r="D14" s="8" t="s">
        <v>729</v>
      </c>
      <c r="E14" s="8" t="s">
        <v>730</v>
      </c>
      <c r="F14" s="8" t="s">
        <v>702</v>
      </c>
    </row>
    <row r="15" customFormat="false" ht="23.85" hidden="false" customHeight="false" outlineLevel="0" collapsed="false">
      <c r="A15" s="8" t="s">
        <v>124</v>
      </c>
      <c r="B15" s="8" t="s">
        <v>731</v>
      </c>
      <c r="C15" s="8" t="s">
        <v>732</v>
      </c>
      <c r="D15" s="8" t="s">
        <v>733</v>
      </c>
      <c r="E15" s="8" t="s">
        <v>734</v>
      </c>
      <c r="F15" s="8" t="s">
        <v>702</v>
      </c>
    </row>
    <row r="16" customFormat="false" ht="23.85" hidden="false" customHeight="false" outlineLevel="0" collapsed="false">
      <c r="A16" s="8" t="s">
        <v>124</v>
      </c>
      <c r="B16" s="8" t="s">
        <v>735</v>
      </c>
      <c r="C16" s="8" t="s">
        <v>736</v>
      </c>
      <c r="D16" s="8" t="s">
        <v>737</v>
      </c>
      <c r="E16" s="8" t="s">
        <v>738</v>
      </c>
      <c r="F16" s="8" t="s">
        <v>702</v>
      </c>
    </row>
    <row r="17" customFormat="false" ht="23.85" hidden="false" customHeight="false" outlineLevel="0" collapsed="false">
      <c r="A17" s="8" t="s">
        <v>132</v>
      </c>
      <c r="B17" s="8" t="s">
        <v>739</v>
      </c>
      <c r="C17" s="8" t="s">
        <v>740</v>
      </c>
      <c r="D17" s="8" t="s">
        <v>741</v>
      </c>
      <c r="E17" s="8" t="s">
        <v>742</v>
      </c>
      <c r="F17" s="8" t="s">
        <v>702</v>
      </c>
    </row>
    <row r="18" customFormat="false" ht="23.85" hidden="false" customHeight="false" outlineLevel="0" collapsed="false">
      <c r="A18" s="8" t="s">
        <v>132</v>
      </c>
      <c r="B18" s="8" t="s">
        <v>743</v>
      </c>
      <c r="C18" s="8" t="s">
        <v>744</v>
      </c>
      <c r="D18" s="8" t="s">
        <v>745</v>
      </c>
      <c r="E18" s="8" t="s">
        <v>746</v>
      </c>
      <c r="F18" s="8" t="s">
        <v>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4" min="3" style="0" width="49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46"/>
  </cols>
  <sheetData>
    <row r="2" customFormat="false" ht="24" hidden="false" customHeight="true" outlineLevel="0" collapsed="false">
      <c r="A2" s="1" t="s">
        <v>747</v>
      </c>
    </row>
    <row r="3" customFormat="false" ht="18" hidden="false" customHeight="true" outlineLevel="0" collapsed="false">
      <c r="A3" s="2" t="s">
        <v>748</v>
      </c>
      <c r="B3" s="2"/>
      <c r="C3" s="2"/>
      <c r="D3" s="2"/>
      <c r="E3" s="2"/>
      <c r="F3" s="2"/>
      <c r="G3" s="2"/>
    </row>
    <row r="6" customFormat="false" ht="15" hidden="false" customHeight="false" outlineLevel="0" collapsed="false">
      <c r="A6" s="7" t="s">
        <v>453</v>
      </c>
      <c r="B6" s="7" t="s">
        <v>749</v>
      </c>
      <c r="C6" s="7" t="s">
        <v>750</v>
      </c>
      <c r="D6" s="7" t="s">
        <v>751</v>
      </c>
      <c r="E6" s="7" t="s">
        <v>752</v>
      </c>
      <c r="F6" s="7" t="s">
        <v>45</v>
      </c>
      <c r="G6" s="7" t="s">
        <v>54</v>
      </c>
    </row>
    <row r="7" customFormat="false" ht="23.85" hidden="false" customHeight="false" outlineLevel="0" collapsed="false">
      <c r="A7" s="8" t="n">
        <v>1</v>
      </c>
      <c r="B7" s="8" t="s">
        <v>753</v>
      </c>
      <c r="C7" s="8" t="s">
        <v>754</v>
      </c>
      <c r="D7" s="8" t="s">
        <v>755</v>
      </c>
      <c r="E7" s="8" t="n">
        <v>13.152349</v>
      </c>
      <c r="F7" s="8" t="s">
        <v>756</v>
      </c>
      <c r="G7" s="8" t="s">
        <v>757</v>
      </c>
    </row>
    <row r="8" customFormat="false" ht="15" hidden="false" customHeight="false" outlineLevel="0" collapsed="false">
      <c r="A8" s="8" t="n">
        <v>2</v>
      </c>
      <c r="B8" s="8" t="s">
        <v>758</v>
      </c>
      <c r="C8" s="8" t="s">
        <v>759</v>
      </c>
      <c r="D8" s="8" t="s">
        <v>760</v>
      </c>
      <c r="E8" s="8" t="n">
        <v>13.152349</v>
      </c>
      <c r="F8" s="8" t="s">
        <v>756</v>
      </c>
      <c r="G8" s="8" t="s">
        <v>761</v>
      </c>
    </row>
    <row r="9" customFormat="false" ht="15" hidden="false" customHeight="false" outlineLevel="0" collapsed="false">
      <c r="A9" s="8" t="n">
        <v>3</v>
      </c>
      <c r="B9" s="8" t="s">
        <v>762</v>
      </c>
      <c r="C9" s="8" t="s">
        <v>763</v>
      </c>
      <c r="D9" s="8" t="s">
        <v>764</v>
      </c>
      <c r="E9" s="8" t="n">
        <v>13.152349</v>
      </c>
      <c r="F9" s="8" t="s">
        <v>756</v>
      </c>
      <c r="G9" s="8" t="s">
        <v>765</v>
      </c>
    </row>
    <row r="10" customFormat="false" ht="15" hidden="false" customHeight="false" outlineLevel="0" collapsed="false">
      <c r="A10" s="8" t="n">
        <v>4</v>
      </c>
      <c r="B10" s="8" t="s">
        <v>766</v>
      </c>
      <c r="C10" s="8" t="s">
        <v>767</v>
      </c>
      <c r="D10" s="8" t="s">
        <v>768</v>
      </c>
      <c r="E10" s="8" t="n">
        <v>13.152349</v>
      </c>
      <c r="F10" s="8" t="s">
        <v>756</v>
      </c>
      <c r="G10" s="8" t="s">
        <v>769</v>
      </c>
    </row>
    <row r="11" customFormat="false" ht="15" hidden="false" customHeight="false" outlineLevel="0" collapsed="false">
      <c r="A11" s="8" t="n">
        <v>5</v>
      </c>
      <c r="B11" s="8" t="s">
        <v>770</v>
      </c>
      <c r="C11" s="8" t="s">
        <v>771</v>
      </c>
      <c r="D11" s="8" t="s">
        <v>772</v>
      </c>
      <c r="E11" s="8" t="n">
        <v>13.152349</v>
      </c>
      <c r="F11" s="8" t="s">
        <v>756</v>
      </c>
      <c r="G11" s="8" t="s">
        <v>773</v>
      </c>
    </row>
    <row r="12" customFormat="false" ht="15" hidden="false" customHeight="false" outlineLevel="0" collapsed="false">
      <c r="A12" s="8" t="n">
        <v>6</v>
      </c>
      <c r="B12" s="8" t="s">
        <v>774</v>
      </c>
      <c r="C12" s="8" t="s">
        <v>775</v>
      </c>
      <c r="D12" s="8" t="s">
        <v>776</v>
      </c>
      <c r="E12" s="8" t="n">
        <v>13.152349</v>
      </c>
      <c r="F12" s="8" t="s">
        <v>756</v>
      </c>
      <c r="G12" s="8" t="s">
        <v>777</v>
      </c>
    </row>
    <row r="13" customFormat="false" ht="15" hidden="false" customHeight="false" outlineLevel="0" collapsed="false">
      <c r="A13" s="8" t="n">
        <v>7</v>
      </c>
      <c r="B13" s="8" t="s">
        <v>778</v>
      </c>
      <c r="C13" s="8" t="s">
        <v>779</v>
      </c>
      <c r="D13" s="8" t="s">
        <v>780</v>
      </c>
      <c r="E13" s="8" t="n">
        <v>13.152349</v>
      </c>
      <c r="F13" s="8" t="s">
        <v>756</v>
      </c>
      <c r="G13" s="8" t="s">
        <v>781</v>
      </c>
    </row>
    <row r="14" customFormat="false" ht="15" hidden="false" customHeight="false" outlineLevel="0" collapsed="false">
      <c r="A14" s="8" t="n">
        <v>8</v>
      </c>
      <c r="B14" s="8" t="s">
        <v>782</v>
      </c>
      <c r="C14" s="8" t="s">
        <v>783</v>
      </c>
      <c r="D14" s="8" t="s">
        <v>784</v>
      </c>
      <c r="E14" s="8" t="n">
        <v>150</v>
      </c>
      <c r="F14" s="8" t="s">
        <v>756</v>
      </c>
      <c r="G14" s="8" t="s">
        <v>785</v>
      </c>
    </row>
    <row r="15" customFormat="false" ht="15" hidden="false" customHeight="false" outlineLevel="0" collapsed="false">
      <c r="A15" s="8" t="n">
        <v>9</v>
      </c>
      <c r="B15" s="8" t="s">
        <v>786</v>
      </c>
      <c r="C15" s="8" t="s">
        <v>787</v>
      </c>
      <c r="D15" s="8" t="s">
        <v>788</v>
      </c>
      <c r="E15" s="8" t="n">
        <v>13.152349</v>
      </c>
      <c r="F15" s="8" t="s">
        <v>756</v>
      </c>
      <c r="G15" s="8" t="s">
        <v>789</v>
      </c>
    </row>
    <row r="16" customFormat="false" ht="15" hidden="false" customHeight="false" outlineLevel="0" collapsed="false">
      <c r="A16" s="8" t="n">
        <v>10</v>
      </c>
      <c r="B16" s="8" t="s">
        <v>790</v>
      </c>
      <c r="C16" s="8" t="s">
        <v>791</v>
      </c>
      <c r="D16" s="8" t="s">
        <v>792</v>
      </c>
      <c r="E16" s="8" t="n">
        <v>150</v>
      </c>
      <c r="F16" s="8" t="s">
        <v>756</v>
      </c>
      <c r="G16" s="8" t="s">
        <v>793</v>
      </c>
    </row>
    <row r="17" customFormat="false" ht="15" hidden="false" customHeight="false" outlineLevel="0" collapsed="false">
      <c r="A17" s="8" t="n">
        <v>11</v>
      </c>
      <c r="B17" s="8" t="s">
        <v>794</v>
      </c>
      <c r="C17" s="8" t="s">
        <v>795</v>
      </c>
      <c r="D17" s="8" t="s">
        <v>796</v>
      </c>
      <c r="E17" s="8" t="n">
        <v>10</v>
      </c>
      <c r="F17" s="8" t="s">
        <v>756</v>
      </c>
      <c r="G17" s="8" t="s">
        <v>797</v>
      </c>
    </row>
    <row r="18" customFormat="false" ht="15" hidden="false" customHeight="false" outlineLevel="0" collapsed="false">
      <c r="A18" s="8" t="n">
        <v>12</v>
      </c>
      <c r="B18" s="8" t="s">
        <v>798</v>
      </c>
      <c r="C18" s="8" t="s">
        <v>799</v>
      </c>
      <c r="D18" s="8" t="s">
        <v>800</v>
      </c>
      <c r="E18" s="8" t="n">
        <v>10</v>
      </c>
      <c r="F18" s="8" t="s">
        <v>756</v>
      </c>
      <c r="G18" s="8" t="s">
        <v>801</v>
      </c>
    </row>
    <row r="19" customFormat="false" ht="15" hidden="false" customHeight="false" outlineLevel="0" collapsed="false">
      <c r="A19" s="8" t="n">
        <v>13</v>
      </c>
      <c r="B19" s="8" t="s">
        <v>802</v>
      </c>
      <c r="C19" s="8" t="s">
        <v>803</v>
      </c>
      <c r="D19" s="8" t="s">
        <v>804</v>
      </c>
      <c r="E19" s="8" t="n">
        <v>2.152147</v>
      </c>
      <c r="F19" s="8" t="s">
        <v>756</v>
      </c>
      <c r="G19" s="8" t="s">
        <v>805</v>
      </c>
    </row>
    <row r="20" customFormat="false" ht="15" hidden="false" customHeight="false" outlineLevel="0" collapsed="false">
      <c r="A20" s="8" t="n">
        <v>14</v>
      </c>
      <c r="B20" s="8" t="s">
        <v>806</v>
      </c>
      <c r="C20" s="8" t="s">
        <v>807</v>
      </c>
      <c r="D20" s="8" t="s">
        <v>808</v>
      </c>
      <c r="E20" s="8" t="n">
        <v>0</v>
      </c>
      <c r="F20" s="8" t="s">
        <v>756</v>
      </c>
      <c r="G20" s="8" t="s">
        <v>809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9"/>
    <col collapsed="false" customWidth="true" hidden="false" outlineLevel="0" max="3" min="3" style="0" width="29"/>
    <col collapsed="false" customWidth="true" hidden="false" outlineLevel="0" max="5" min="4" style="0" width="13"/>
    <col collapsed="false" customWidth="true" hidden="false" outlineLevel="0" max="6" min="6" style="0" width="42"/>
    <col collapsed="false" customWidth="true" hidden="false" outlineLevel="0" max="8" min="7" style="0" width="18"/>
  </cols>
  <sheetData>
    <row r="2" customFormat="false" ht="24" hidden="false" customHeight="true" outlineLevel="0" collapsed="false">
      <c r="A2" s="1" t="s">
        <v>810</v>
      </c>
    </row>
    <row r="3" customFormat="false" ht="18" hidden="false" customHeight="true" outlineLevel="0" collapsed="false">
      <c r="A3" s="2" t="s">
        <v>811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7" t="s">
        <v>453</v>
      </c>
      <c r="B6" s="7" t="s">
        <v>812</v>
      </c>
      <c r="C6" s="7" t="s">
        <v>813</v>
      </c>
      <c r="D6" s="7" t="s">
        <v>814</v>
      </c>
      <c r="E6" s="7" t="s">
        <v>145</v>
      </c>
      <c r="F6" s="7" t="s">
        <v>815</v>
      </c>
      <c r="G6" s="7" t="s">
        <v>816</v>
      </c>
      <c r="H6" s="7" t="s">
        <v>39</v>
      </c>
    </row>
    <row r="7" customFormat="false" ht="15" hidden="false" customHeight="false" outlineLevel="0" collapsed="false">
      <c r="A7" s="8" t="n">
        <v>1</v>
      </c>
      <c r="B7" s="8" t="s">
        <v>817</v>
      </c>
      <c r="C7" s="8" t="s">
        <v>818</v>
      </c>
      <c r="D7" s="8" t="s">
        <v>819</v>
      </c>
      <c r="E7" s="8" t="s">
        <v>819</v>
      </c>
      <c r="F7" s="8" t="s">
        <v>820</v>
      </c>
      <c r="G7" s="8" t="s">
        <v>821</v>
      </c>
      <c r="H7" s="8" t="n">
        <v>0</v>
      </c>
    </row>
    <row r="8" customFormat="false" ht="15" hidden="false" customHeight="false" outlineLevel="0" collapsed="false">
      <c r="A8" s="8" t="n">
        <v>2</v>
      </c>
      <c r="B8" s="8" t="s">
        <v>822</v>
      </c>
      <c r="C8" s="8" t="s">
        <v>823</v>
      </c>
      <c r="D8" s="8" t="s">
        <v>819</v>
      </c>
      <c r="E8" s="8" t="s">
        <v>819</v>
      </c>
      <c r="F8" s="8" t="s">
        <v>824</v>
      </c>
      <c r="G8" s="8" t="s">
        <v>821</v>
      </c>
      <c r="H8" s="8" t="n">
        <v>0</v>
      </c>
    </row>
    <row r="9" customFormat="false" ht="15" hidden="false" customHeight="false" outlineLevel="0" collapsed="false">
      <c r="A9" s="8" t="n">
        <v>3</v>
      </c>
      <c r="B9" s="8" t="s">
        <v>825</v>
      </c>
      <c r="C9" s="8" t="s">
        <v>826</v>
      </c>
      <c r="D9" s="8" t="s">
        <v>819</v>
      </c>
      <c r="E9" s="8" t="s">
        <v>819</v>
      </c>
      <c r="F9" s="8" t="s">
        <v>827</v>
      </c>
      <c r="G9" s="8" t="s">
        <v>821</v>
      </c>
      <c r="H9" s="8" t="n">
        <v>0</v>
      </c>
    </row>
    <row r="10" customFormat="false" ht="15" hidden="false" customHeight="false" outlineLevel="0" collapsed="false">
      <c r="A10" s="8" t="n">
        <v>4</v>
      </c>
      <c r="B10" s="8" t="s">
        <v>828</v>
      </c>
      <c r="C10" s="8" t="s">
        <v>829</v>
      </c>
      <c r="D10" s="8" t="s">
        <v>819</v>
      </c>
      <c r="E10" s="8" t="s">
        <v>819</v>
      </c>
      <c r="F10" s="8" t="s">
        <v>830</v>
      </c>
      <c r="G10" s="8" t="s">
        <v>821</v>
      </c>
      <c r="H10" s="8" t="n">
        <v>0</v>
      </c>
    </row>
    <row r="11" customFormat="false" ht="15" hidden="false" customHeight="false" outlineLevel="0" collapsed="false">
      <c r="A11" s="8" t="n">
        <v>5</v>
      </c>
      <c r="B11" s="8" t="s">
        <v>831</v>
      </c>
      <c r="C11" s="8" t="s">
        <v>832</v>
      </c>
      <c r="D11" s="8" t="s">
        <v>819</v>
      </c>
      <c r="E11" s="8" t="s">
        <v>819</v>
      </c>
      <c r="F11" s="8" t="s">
        <v>833</v>
      </c>
      <c r="G11" s="8" t="s">
        <v>821</v>
      </c>
      <c r="H11" s="8" t="n">
        <v>0</v>
      </c>
    </row>
    <row r="12" customFormat="false" ht="15" hidden="false" customHeight="false" outlineLevel="0" collapsed="false">
      <c r="A12" s="8" t="n">
        <v>6</v>
      </c>
      <c r="B12" s="8" t="s">
        <v>834</v>
      </c>
      <c r="C12" s="8" t="s">
        <v>835</v>
      </c>
      <c r="D12" s="8" t="s">
        <v>819</v>
      </c>
      <c r="E12" s="8" t="s">
        <v>819</v>
      </c>
      <c r="F12" s="8" t="s">
        <v>836</v>
      </c>
      <c r="G12" s="8" t="s">
        <v>821</v>
      </c>
      <c r="H12" s="8" t="n">
        <v>0</v>
      </c>
    </row>
    <row r="13" customFormat="false" ht="15" hidden="false" customHeight="false" outlineLevel="0" collapsed="false">
      <c r="A13" s="8" t="n">
        <v>7</v>
      </c>
      <c r="B13" s="8" t="s">
        <v>837</v>
      </c>
      <c r="C13" s="8" t="s">
        <v>838</v>
      </c>
      <c r="D13" s="8" t="s">
        <v>819</v>
      </c>
      <c r="E13" s="8" t="s">
        <v>819</v>
      </c>
      <c r="F13" s="8" t="s">
        <v>839</v>
      </c>
      <c r="G13" s="8" t="s">
        <v>821</v>
      </c>
      <c r="H13" s="8" t="n">
        <v>0</v>
      </c>
    </row>
    <row r="14" customFormat="false" ht="15" hidden="false" customHeight="false" outlineLevel="0" collapsed="false">
      <c r="A14" s="8" t="n">
        <v>8</v>
      </c>
      <c r="B14" s="8" t="s">
        <v>840</v>
      </c>
      <c r="C14" s="8" t="s">
        <v>841</v>
      </c>
      <c r="D14" s="8" t="s">
        <v>819</v>
      </c>
      <c r="E14" s="8" t="s">
        <v>819</v>
      </c>
      <c r="F14" s="8" t="s">
        <v>842</v>
      </c>
      <c r="G14" s="8" t="s">
        <v>821</v>
      </c>
      <c r="H14" s="8" t="n">
        <v>0</v>
      </c>
    </row>
    <row r="15" customFormat="false" ht="15" hidden="false" customHeight="false" outlineLevel="0" collapsed="false">
      <c r="A15" s="8" t="n">
        <v>9</v>
      </c>
      <c r="B15" s="8" t="s">
        <v>843</v>
      </c>
      <c r="C15" s="8" t="s">
        <v>844</v>
      </c>
      <c r="D15" s="8" t="s">
        <v>819</v>
      </c>
      <c r="E15" s="8" t="s">
        <v>819</v>
      </c>
      <c r="F15" s="8" t="s">
        <v>845</v>
      </c>
      <c r="G15" s="8" t="s">
        <v>821</v>
      </c>
      <c r="H15" s="8" t="n">
        <v>0</v>
      </c>
    </row>
    <row r="16" customFormat="false" ht="15" hidden="false" customHeight="false" outlineLevel="0" collapsed="false">
      <c r="A16" s="8" t="n">
        <v>10</v>
      </c>
      <c r="B16" s="8" t="s">
        <v>846</v>
      </c>
      <c r="C16" s="8" t="s">
        <v>847</v>
      </c>
      <c r="D16" s="8" t="s">
        <v>819</v>
      </c>
      <c r="E16" s="8" t="s">
        <v>819</v>
      </c>
      <c r="F16" s="8" t="s">
        <v>848</v>
      </c>
      <c r="G16" s="8" t="s">
        <v>821</v>
      </c>
      <c r="H16" s="8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2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13"/>
    <col collapsed="false" customWidth="true" hidden="false" outlineLevel="0" max="6" min="6" style="0" width="43"/>
  </cols>
  <sheetData>
    <row r="2" customFormat="false" ht="24" hidden="false" customHeight="true" outlineLevel="0" collapsed="false">
      <c r="A2" s="1" t="s">
        <v>849</v>
      </c>
    </row>
    <row r="3" customFormat="false" ht="18" hidden="false" customHeight="true" outlineLevel="0" collapsed="false">
      <c r="A3" s="2" t="s">
        <v>850</v>
      </c>
      <c r="B3" s="2"/>
      <c r="C3" s="2"/>
      <c r="D3" s="2"/>
      <c r="E3" s="2"/>
      <c r="F3" s="2"/>
    </row>
    <row r="6" customFormat="false" ht="15" hidden="false" customHeight="false" outlineLevel="0" collapsed="false">
      <c r="A6" s="7" t="s">
        <v>453</v>
      </c>
      <c r="B6" s="7" t="s">
        <v>851</v>
      </c>
      <c r="C6" s="7" t="s">
        <v>852</v>
      </c>
      <c r="D6" s="7" t="s">
        <v>853</v>
      </c>
      <c r="E6" s="7" t="s">
        <v>854</v>
      </c>
      <c r="F6" s="7" t="s">
        <v>855</v>
      </c>
    </row>
    <row r="7" customFormat="false" ht="15" hidden="false" customHeight="false" outlineLevel="0" collapsed="false">
      <c r="A7" s="8" t="n">
        <v>1</v>
      </c>
      <c r="B7" s="8" t="s">
        <v>856</v>
      </c>
      <c r="C7" s="22" t="n">
        <f aca="false">'Cohort Test'!L7</f>
        <v>10</v>
      </c>
      <c r="D7" s="22" t="n">
        <v>10</v>
      </c>
      <c r="E7" s="8" t="str">
        <f aca="false">IF(ABS(C7-D7)&lt;0.001,"PASS","FAIL")</f>
        <v>PASS</v>
      </c>
      <c r="F7" s="8" t="s">
        <v>857</v>
      </c>
    </row>
    <row r="8" customFormat="false" ht="15" hidden="false" customHeight="false" outlineLevel="0" collapsed="false">
      <c r="A8" s="8" t="n">
        <v>2</v>
      </c>
      <c r="B8" s="8" t="s">
        <v>858</v>
      </c>
      <c r="C8" s="22" t="n">
        <f aca="false">COUNTIFS('Cohort Test'!M7:M11,"SELECT")</f>
        <v>1</v>
      </c>
      <c r="D8" s="22" t="n">
        <v>1</v>
      </c>
      <c r="E8" s="8" t="str">
        <f aca="false">IF(ABS(C8-D8)&lt;0.001,"PASS","FAIL")</f>
        <v>PASS</v>
      </c>
      <c r="F8" s="8" t="s">
        <v>859</v>
      </c>
    </row>
    <row r="9" customFormat="false" ht="15" hidden="false" customHeight="false" outlineLevel="0" collapsed="false">
      <c r="A9" s="8" t="n">
        <v>3</v>
      </c>
      <c r="B9" s="8" t="s">
        <v>860</v>
      </c>
      <c r="C9" s="22" t="n">
        <f aca="false">COUNTA('Service Vectors'!B7:B12)</f>
        <v>6</v>
      </c>
      <c r="D9" s="22" t="n">
        <v>6</v>
      </c>
      <c r="E9" s="8" t="str">
        <f aca="false">IF(ABS(C9-D9)&lt;0.001,"PASS","FAIL")</f>
        <v>PASS</v>
      </c>
      <c r="F9" s="8" t="s">
        <v>861</v>
      </c>
    </row>
    <row r="10" customFormat="false" ht="15" hidden="false" customHeight="false" outlineLevel="0" collapsed="false">
      <c r="A10" s="8" t="n">
        <v>4</v>
      </c>
      <c r="B10" s="8" t="s">
        <v>12</v>
      </c>
      <c r="C10" s="22" t="n">
        <f aca="false">COUNTA('Service Vectors'!A7:A12)</f>
        <v>6</v>
      </c>
      <c r="D10" s="22" t="n">
        <v>6</v>
      </c>
      <c r="E10" s="8" t="str">
        <f aca="false">IF(ABS(C10-D10)&lt;0.001,"PASS","FAIL")</f>
        <v>PASS</v>
      </c>
      <c r="F10" s="8" t="s">
        <v>862</v>
      </c>
    </row>
    <row r="11" customFormat="false" ht="15" hidden="false" customHeight="false" outlineLevel="0" collapsed="false">
      <c r="A11" s="8" t="n">
        <v>5</v>
      </c>
      <c r="B11" s="8" t="s">
        <v>863</v>
      </c>
      <c r="C11" s="22" t="n">
        <f aca="false">SUM('Service Vectors'!L7:L12)</f>
        <v>0</v>
      </c>
      <c r="D11" s="22" t="n">
        <v>0</v>
      </c>
      <c r="E11" s="8" t="str">
        <f aca="false">IF(ABS(C11-D11)&lt;0.001,"PASS","FAIL")</f>
        <v>PASS</v>
      </c>
      <c r="F11" s="8" t="s">
        <v>864</v>
      </c>
    </row>
    <row r="12" customFormat="false" ht="15" hidden="false" customHeight="false" outlineLevel="0" collapsed="false">
      <c r="A12" s="8" t="n">
        <v>6</v>
      </c>
      <c r="B12" s="8" t="s">
        <v>16</v>
      </c>
      <c r="C12" s="22" t="n">
        <f aca="false">COUNTA('Vector Ledger'!A7:A54)</f>
        <v>48</v>
      </c>
      <c r="D12" s="22" t="n">
        <v>48</v>
      </c>
      <c r="E12" s="8" t="str">
        <f aca="false">IF(ABS(C12-D12)&lt;0.001,"PASS","FAIL")</f>
        <v>PASS</v>
      </c>
      <c r="F12" s="8" t="s">
        <v>865</v>
      </c>
    </row>
    <row r="13" customFormat="false" ht="15" hidden="false" customHeight="false" outlineLevel="0" collapsed="false">
      <c r="A13" s="8" t="n">
        <v>7</v>
      </c>
      <c r="B13" s="8" t="s">
        <v>866</v>
      </c>
      <c r="C13" s="22" t="n">
        <f aca="false">COUNTIFS('Vector Ledger'!I7:I54,"&lt;&gt;SOURCE EMPTY")</f>
        <v>0</v>
      </c>
      <c r="D13" s="22" t="n">
        <v>0</v>
      </c>
      <c r="E13" s="8" t="str">
        <f aca="false">IF(ABS(C13-D13)&lt;0.001,"PASS","FAIL")</f>
        <v>PASS</v>
      </c>
      <c r="F13" s="8" t="s">
        <v>867</v>
      </c>
    </row>
    <row r="14" customFormat="false" ht="15" hidden="false" customHeight="false" outlineLevel="0" collapsed="false">
      <c r="A14" s="8" t="n">
        <v>8</v>
      </c>
      <c r="B14" s="8" t="s">
        <v>868</v>
      </c>
      <c r="C14" s="22" t="n">
        <f aca="false">SUM('Vector Ledger'!J7:J54)</f>
        <v>0</v>
      </c>
      <c r="D14" s="22" t="n">
        <v>0</v>
      </c>
      <c r="E14" s="8" t="str">
        <f aca="false">IF(ABS(C14-D14)&lt;0.001,"PASS","FAIL")</f>
        <v>PASS</v>
      </c>
      <c r="F14" s="8" t="s">
        <v>869</v>
      </c>
    </row>
    <row r="15" customFormat="false" ht="15" hidden="false" customHeight="false" outlineLevel="0" collapsed="false">
      <c r="A15" s="8" t="n">
        <v>9</v>
      </c>
      <c r="B15" s="8" t="s">
        <v>20</v>
      </c>
      <c r="C15" s="22" t="n">
        <f aca="false">COUNTA('Root Experiments'!A7:A30)</f>
        <v>24</v>
      </c>
      <c r="D15" s="22" t="n">
        <v>24</v>
      </c>
      <c r="E15" s="8" t="str">
        <f aca="false">IF(ABS(C15-D15)&lt;0.001,"PASS","FAIL")</f>
        <v>PASS</v>
      </c>
      <c r="F15" s="8" t="s">
        <v>870</v>
      </c>
    </row>
    <row r="16" customFormat="false" ht="15" hidden="false" customHeight="false" outlineLevel="0" collapsed="false">
      <c r="A16" s="8" t="n">
        <v>10</v>
      </c>
      <c r="B16" s="8" t="s">
        <v>871</v>
      </c>
      <c r="C16" s="22" t="n">
        <f aca="false">COUNTA('Root Experiments'!B7:B30)</f>
        <v>24</v>
      </c>
      <c r="D16" s="22" t="n">
        <v>24</v>
      </c>
      <c r="E16" s="8" t="str">
        <f aca="false">IF(ABS(C16-D16)&lt;0.001,"PASS","FAIL")</f>
        <v>PASS</v>
      </c>
      <c r="F16" s="8" t="s">
        <v>872</v>
      </c>
    </row>
    <row r="17" customFormat="false" ht="15" hidden="false" customHeight="false" outlineLevel="0" collapsed="false">
      <c r="A17" s="8" t="n">
        <v>11</v>
      </c>
      <c r="B17" s="8" t="s">
        <v>35</v>
      </c>
      <c r="C17" s="22" t="n">
        <f aca="false">COUNTIFS('Root Experiments'!K7:K30,"&lt;&gt;UNAWARDED")</f>
        <v>0</v>
      </c>
      <c r="D17" s="22" t="n">
        <v>0</v>
      </c>
      <c r="E17" s="8" t="str">
        <f aca="false">IF(ABS(C17-D17)&lt;0.001,"PASS","FAIL")</f>
        <v>PASS</v>
      </c>
      <c r="F17" s="8" t="s">
        <v>873</v>
      </c>
    </row>
    <row r="18" customFormat="false" ht="15" hidden="false" customHeight="false" outlineLevel="0" collapsed="false">
      <c r="A18" s="8" t="n">
        <v>12</v>
      </c>
      <c r="B18" s="8" t="s">
        <v>874</v>
      </c>
      <c r="C18" s="22" t="n">
        <f aca="false">COUNTIFS('Root Experiments'!L7:L30,"&lt;&gt;SOURCE EMPTY")</f>
        <v>0</v>
      </c>
      <c r="D18" s="22" t="n">
        <v>0</v>
      </c>
      <c r="E18" s="8" t="str">
        <f aca="false">IF(ABS(C18-D18)&lt;0.001,"PASS","FAIL")</f>
        <v>PASS</v>
      </c>
      <c r="F18" s="8" t="s">
        <v>875</v>
      </c>
    </row>
    <row r="19" customFormat="false" ht="15" hidden="false" customHeight="false" outlineLevel="0" collapsed="false">
      <c r="A19" s="8" t="n">
        <v>13</v>
      </c>
      <c r="B19" s="8" t="s">
        <v>876</v>
      </c>
      <c r="C19" s="22" t="n">
        <f aca="false">SUM('Root Experiments'!M7:M30)</f>
        <v>0</v>
      </c>
      <c r="D19" s="22" t="n">
        <v>0</v>
      </c>
      <c r="E19" s="8" t="str">
        <f aca="false">IF(ABS(C19-D19)&lt;0.001,"PASS","FAIL")</f>
        <v>PASS</v>
      </c>
      <c r="F19" s="8" t="s">
        <v>877</v>
      </c>
    </row>
    <row r="20" customFormat="false" ht="15" hidden="false" customHeight="false" outlineLevel="0" collapsed="false">
      <c r="A20" s="8" t="n">
        <v>14</v>
      </c>
      <c r="B20" s="8" t="s">
        <v>878</v>
      </c>
      <c r="C20" s="22" t="n">
        <f aca="false">COUNTA(Interfaces!A7:A36)</f>
        <v>30</v>
      </c>
      <c r="D20" s="22" t="n">
        <v>30</v>
      </c>
      <c r="E20" s="8" t="str">
        <f aca="false">IF(ABS(C20-D20)&lt;0.001,"PASS","FAIL")</f>
        <v>PASS</v>
      </c>
      <c r="F20" s="8" t="s">
        <v>879</v>
      </c>
    </row>
    <row r="21" customFormat="false" ht="15" hidden="false" customHeight="false" outlineLevel="0" collapsed="false">
      <c r="A21" s="8" t="n">
        <v>15</v>
      </c>
      <c r="B21" s="8" t="s">
        <v>880</v>
      </c>
      <c r="C21" s="22" t="n">
        <f aca="false">COUNTIFS(Interfaces!G7:G36,"&lt;&gt;SOURCE EMPTY")</f>
        <v>0</v>
      </c>
      <c r="D21" s="22" t="n">
        <v>0</v>
      </c>
      <c r="E21" s="8" t="str">
        <f aca="false">IF(ABS(C21-D21)&lt;0.001,"PASS","FAIL")</f>
        <v>PASS</v>
      </c>
      <c r="F21" s="8" t="s">
        <v>881</v>
      </c>
    </row>
    <row r="22" customFormat="false" ht="15" hidden="false" customHeight="false" outlineLevel="0" collapsed="false">
      <c r="A22" s="8" t="n">
        <v>16</v>
      </c>
      <c r="B22" s="8" t="s">
        <v>882</v>
      </c>
      <c r="C22" s="22" t="n">
        <f aca="false">COUNTIFS(Interfaces!F7:F36,"Yes")</f>
        <v>0</v>
      </c>
      <c r="D22" s="22" t="n">
        <v>0</v>
      </c>
      <c r="E22" s="8" t="str">
        <f aca="false">IF(ABS(C22-D22)&lt;0.001,"PASS","FAIL")</f>
        <v>PASS</v>
      </c>
      <c r="F22" s="8" t="s">
        <v>883</v>
      </c>
    </row>
    <row r="23" customFormat="false" ht="15" hidden="false" customHeight="false" outlineLevel="0" collapsed="false">
      <c r="A23" s="8" t="n">
        <v>17</v>
      </c>
      <c r="B23" s="8" t="s">
        <v>884</v>
      </c>
      <c r="C23" s="22" t="n">
        <f aca="false">Finance!C13</f>
        <v>137.5</v>
      </c>
      <c r="D23" s="22" t="n">
        <v>137.5</v>
      </c>
      <c r="E23" s="8" t="str">
        <f aca="false">IF(ABS(C23-D23)&lt;0.001,"PASS","FAIL")</f>
        <v>PASS</v>
      </c>
      <c r="F23" s="8" t="s">
        <v>885</v>
      </c>
    </row>
    <row r="24" customFormat="false" ht="15" hidden="false" customHeight="false" outlineLevel="0" collapsed="false">
      <c r="A24" s="8" t="n">
        <v>18</v>
      </c>
      <c r="B24" s="8" t="s">
        <v>886</v>
      </c>
      <c r="C24" s="22" t="n">
        <f aca="false">Finance!D13</f>
        <v>27.5</v>
      </c>
      <c r="D24" s="22" t="n">
        <v>27.5</v>
      </c>
      <c r="E24" s="8" t="str">
        <f aca="false">IF(ABS(C24-D24)&lt;0.001,"PASS","FAIL")</f>
        <v>PASS</v>
      </c>
      <c r="F24" s="8" t="s">
        <v>887</v>
      </c>
    </row>
    <row r="25" customFormat="false" ht="15" hidden="false" customHeight="false" outlineLevel="0" collapsed="false">
      <c r="A25" s="8" t="n">
        <v>19</v>
      </c>
      <c r="B25" s="8" t="s">
        <v>888</v>
      </c>
      <c r="C25" s="22" t="n">
        <f aca="false">Finance!E13</f>
        <v>14.3476512772823</v>
      </c>
      <c r="D25" s="22" t="n">
        <v>14.3476512772823</v>
      </c>
      <c r="E25" s="8" t="str">
        <f aca="false">IF(ABS(C25-D25)&lt;0.001,"PASS","FAIL")</f>
        <v>PASS</v>
      </c>
      <c r="F25" s="8" t="s">
        <v>889</v>
      </c>
    </row>
    <row r="26" customFormat="false" ht="15" hidden="false" customHeight="false" outlineLevel="0" collapsed="false">
      <c r="A26" s="8" t="n">
        <v>20</v>
      </c>
      <c r="B26" s="8" t="s">
        <v>890</v>
      </c>
      <c r="C26" s="22" t="n">
        <f aca="false">Finance!F13</f>
        <v>13.1523487227177</v>
      </c>
      <c r="D26" s="22" t="n">
        <v>13.1523487227177</v>
      </c>
      <c r="E26" s="8" t="str">
        <f aca="false">IF(ABS(C26-D26)&lt;0.001,"PASS","FAIL")</f>
        <v>PASS</v>
      </c>
      <c r="F26" s="8" t="s">
        <v>891</v>
      </c>
    </row>
    <row r="27" customFormat="false" ht="15" hidden="false" customHeight="false" outlineLevel="0" collapsed="false">
      <c r="A27" s="8" t="n">
        <v>21</v>
      </c>
      <c r="B27" s="8" t="s">
        <v>892</v>
      </c>
      <c r="C27" s="22" t="n">
        <f aca="false">Finance!G13</f>
        <v>1</v>
      </c>
      <c r="D27" s="22" t="n">
        <v>1</v>
      </c>
      <c r="E27" s="8" t="str">
        <f aca="false">IF(ABS(C27-D27)&lt;0.001,"PASS","FAIL")</f>
        <v>PASS</v>
      </c>
      <c r="F27" s="8" t="s">
        <v>893</v>
      </c>
    </row>
    <row r="28" customFormat="false" ht="15" hidden="false" customHeight="false" outlineLevel="0" collapsed="false">
      <c r="A28" s="8" t="n">
        <v>22</v>
      </c>
      <c r="B28" s="8" t="s">
        <v>894</v>
      </c>
      <c r="C28" s="22" t="n">
        <f aca="false">Finance!H13</f>
        <v>24</v>
      </c>
      <c r="D28" s="22" t="n">
        <v>24</v>
      </c>
      <c r="E28" s="8" t="str">
        <f aca="false">IF(ABS(C28-D28)&lt;0.001,"PASS","FAIL")</f>
        <v>PASS</v>
      </c>
      <c r="F28" s="8" t="s">
        <v>895</v>
      </c>
    </row>
    <row r="29" customFormat="false" ht="15" hidden="false" customHeight="false" outlineLevel="0" collapsed="false">
      <c r="A29" s="8" t="n">
        <v>23</v>
      </c>
      <c r="B29" s="8" t="s">
        <v>896</v>
      </c>
      <c r="C29" s="22" t="n">
        <f aca="false">Finance!I13</f>
        <v>0</v>
      </c>
      <c r="D29" s="22" t="n">
        <v>0</v>
      </c>
      <c r="E29" s="8" t="str">
        <f aca="false">IF(ABS(C29-D29)&lt;0.001,"PASS","FAIL")</f>
        <v>PASS</v>
      </c>
      <c r="F29" s="8" t="s">
        <v>873</v>
      </c>
    </row>
    <row r="30" customFormat="false" ht="15" hidden="false" customHeight="false" outlineLevel="0" collapsed="false">
      <c r="A30" s="8" t="n">
        <v>24</v>
      </c>
      <c r="B30" s="8" t="s">
        <v>897</v>
      </c>
      <c r="C30" s="22" t="n">
        <f aca="false">Finance!J13</f>
        <v>0</v>
      </c>
      <c r="D30" s="22" t="n">
        <v>0</v>
      </c>
      <c r="E30" s="8" t="str">
        <f aca="false">IF(ABS(C30-D30)&lt;0.001,"PASS","FAIL")</f>
        <v>PASS</v>
      </c>
      <c r="F30" s="8" t="s">
        <v>877</v>
      </c>
    </row>
    <row r="31" customFormat="false" ht="15" hidden="false" customHeight="false" outlineLevel="0" collapsed="false">
      <c r="A31" s="8" t="n">
        <v>25</v>
      </c>
      <c r="B31" s="8" t="s">
        <v>898</v>
      </c>
      <c r="C31" s="22" t="n">
        <f aca="false">Decision!B18</f>
        <v>27.5</v>
      </c>
      <c r="D31" s="22" t="n">
        <v>27.5</v>
      </c>
      <c r="E31" s="8" t="str">
        <f aca="false">IF(ABS(C31-D31)&lt;0.001,"PASS","FAIL")</f>
        <v>PASS</v>
      </c>
      <c r="F31" s="8" t="s">
        <v>899</v>
      </c>
    </row>
    <row r="32" customFormat="false" ht="15" hidden="false" customHeight="false" outlineLevel="0" collapsed="false">
      <c r="A32" s="8" t="n">
        <v>26</v>
      </c>
      <c r="B32" s="8" t="s">
        <v>900</v>
      </c>
      <c r="C32" s="22" t="n">
        <f aca="false">Decision!B19</f>
        <v>14.3476512772823</v>
      </c>
      <c r="D32" s="22" t="n">
        <v>14.3476512772823</v>
      </c>
      <c r="E32" s="8" t="str">
        <f aca="false">IF(ABS(C32-D32)&lt;0.001,"PASS","FAIL")</f>
        <v>PASS</v>
      </c>
      <c r="F32" s="8" t="s">
        <v>901</v>
      </c>
    </row>
    <row r="33" customFormat="false" ht="15" hidden="false" customHeight="false" outlineLevel="0" collapsed="false">
      <c r="A33" s="8" t="n">
        <v>27</v>
      </c>
      <c r="B33" s="8" t="s">
        <v>902</v>
      </c>
      <c r="C33" s="22" t="n">
        <f aca="false">Decision!B20</f>
        <v>13.1523487227177</v>
      </c>
      <c r="D33" s="22" t="n">
        <v>13.1523487227177</v>
      </c>
      <c r="E33" s="8" t="str">
        <f aca="false">IF(ABS(C33-D33)&lt;0.001,"PASS","FAIL")</f>
        <v>PASS</v>
      </c>
      <c r="F33" s="8" t="s">
        <v>903</v>
      </c>
    </row>
    <row r="34" customFormat="false" ht="15" hidden="false" customHeight="false" outlineLevel="0" collapsed="false">
      <c r="A34" s="8" t="n">
        <v>28</v>
      </c>
      <c r="B34" s="8" t="s">
        <v>904</v>
      </c>
      <c r="C34" s="22" t="n">
        <f aca="false">Decision!B21</f>
        <v>0</v>
      </c>
      <c r="D34" s="22" t="n">
        <v>0</v>
      </c>
      <c r="E34" s="8" t="str">
        <f aca="false">IF(ABS(C34-D34)&lt;0.001,"PASS","FAIL")</f>
        <v>PASS</v>
      </c>
      <c r="F34" s="8" t="s">
        <v>905</v>
      </c>
    </row>
    <row r="35" customFormat="false" ht="15" hidden="false" customHeight="false" outlineLevel="0" collapsed="false">
      <c r="A35" s="8" t="n">
        <v>29</v>
      </c>
      <c r="B35" s="8" t="s">
        <v>906</v>
      </c>
      <c r="C35" s="22" t="n">
        <f aca="false">SUM('Root Experiments'!I7:I30)</f>
        <v>14.3476512772823</v>
      </c>
      <c r="D35" s="22" t="n">
        <v>14.3476512772823</v>
      </c>
      <c r="E35" s="8" t="str">
        <f aca="false">IF(ABS(C35-D35)&lt;0.001,"PASS","FAIL")</f>
        <v>PASS</v>
      </c>
      <c r="F35" s="8" t="s">
        <v>907</v>
      </c>
    </row>
    <row r="36" customFormat="false" ht="15" hidden="false" customHeight="false" outlineLevel="0" collapsed="false">
      <c r="A36" s="8" t="n">
        <v>30</v>
      </c>
      <c r="B36" s="8" t="s">
        <v>908</v>
      </c>
      <c r="C36" s="22" t="n">
        <f aca="false">SUM('Root Experiments'!J7:J30)</f>
        <v>13.1523487227177</v>
      </c>
      <c r="D36" s="22" t="n">
        <v>13.1523487227177</v>
      </c>
      <c r="E36" s="8" t="str">
        <f aca="false">IF(ABS(C36-D36)&lt;0.001,"PASS","FAIL")</f>
        <v>PASS</v>
      </c>
      <c r="F36" s="8" t="s">
        <v>907</v>
      </c>
    </row>
    <row r="37" customFormat="false" ht="15" hidden="false" customHeight="false" outlineLevel="0" collapsed="false">
      <c r="A37" s="8" t="n">
        <v>31</v>
      </c>
      <c r="B37" s="8" t="s">
        <v>31</v>
      </c>
      <c r="C37" s="22" t="n">
        <f aca="false">COUNTA(Payment!A7:A10)</f>
        <v>4</v>
      </c>
      <c r="D37" s="22" t="n">
        <v>4</v>
      </c>
      <c r="E37" s="8" t="str">
        <f aca="false">IF(ABS(C37-D37)&lt;0.001,"PASS","FAIL")</f>
        <v>PASS</v>
      </c>
      <c r="F37" s="8" t="s">
        <v>909</v>
      </c>
    </row>
    <row r="38" customFormat="false" ht="15" hidden="false" customHeight="false" outlineLevel="0" collapsed="false">
      <c r="A38" s="8" t="n">
        <v>32</v>
      </c>
      <c r="B38" s="8" t="s">
        <v>910</v>
      </c>
      <c r="C38" s="22" t="n">
        <f aca="false">Payment!B11</f>
        <v>1</v>
      </c>
      <c r="D38" s="22" t="n">
        <v>1</v>
      </c>
      <c r="E38" s="8" t="str">
        <f aca="false">IF(ABS(C38-D38)&lt;0.001,"PASS","FAIL")</f>
        <v>PASS</v>
      </c>
      <c r="F38" s="8" t="s">
        <v>911</v>
      </c>
    </row>
    <row r="39" customFormat="false" ht="15" hidden="false" customHeight="false" outlineLevel="0" collapsed="false">
      <c r="A39" s="8" t="n">
        <v>33</v>
      </c>
      <c r="B39" s="8" t="s">
        <v>912</v>
      </c>
      <c r="C39" s="22" t="n">
        <f aca="false">Payment!C11</f>
        <v>14.3476512772823</v>
      </c>
      <c r="D39" s="22" t="n">
        <v>14.3476512772823</v>
      </c>
      <c r="E39" s="8" t="str">
        <f aca="false">IF(ABS(C39-D39)&lt;0.001,"PASS","FAIL")</f>
        <v>PASS</v>
      </c>
      <c r="F39" s="8" t="s">
        <v>913</v>
      </c>
    </row>
    <row r="40" customFormat="false" ht="15" hidden="false" customHeight="false" outlineLevel="0" collapsed="false">
      <c r="A40" s="8" t="n">
        <v>34</v>
      </c>
      <c r="B40" s="8" t="s">
        <v>914</v>
      </c>
      <c r="C40" s="22" t="n">
        <f aca="false">Payment!D9</f>
        <v>12.1955035856899</v>
      </c>
      <c r="D40" s="22" t="n">
        <v>12.1955035856899</v>
      </c>
      <c r="E40" s="8" t="str">
        <f aca="false">IF(ABS(C40-D40)&lt;0.001,"PASS","FAIL")</f>
        <v>PASS</v>
      </c>
      <c r="F40" s="8" t="s">
        <v>915</v>
      </c>
    </row>
    <row r="41" customFormat="false" ht="15" hidden="false" customHeight="false" outlineLevel="0" collapsed="false">
      <c r="A41" s="8" t="n">
        <v>35</v>
      </c>
      <c r="B41" s="8" t="s">
        <v>916</v>
      </c>
      <c r="C41" s="22" t="n">
        <f aca="false">Payment!E9</f>
        <v>2.15214769159234</v>
      </c>
      <c r="D41" s="22" t="n">
        <v>2.15214769159235</v>
      </c>
      <c r="E41" s="8" t="str">
        <f aca="false">IF(ABS(C41-D41)&lt;0.001,"PASS","FAIL")</f>
        <v>PASS</v>
      </c>
      <c r="F41" s="8" t="s">
        <v>917</v>
      </c>
    </row>
    <row r="42" customFormat="false" ht="15" hidden="false" customHeight="false" outlineLevel="0" collapsed="false">
      <c r="A42" s="8" t="n">
        <v>36</v>
      </c>
      <c r="B42" s="8" t="s">
        <v>918</v>
      </c>
      <c r="C42" s="22" t="n">
        <f aca="false">SUM(Payment!H7:H10)</f>
        <v>0</v>
      </c>
      <c r="D42" s="22" t="n">
        <v>0</v>
      </c>
      <c r="E42" s="8" t="str">
        <f aca="false">IF(ABS(C42-D42)&lt;0.001,"PASS","FAIL")</f>
        <v>PASS</v>
      </c>
      <c r="F42" s="8" t="s">
        <v>919</v>
      </c>
    </row>
    <row r="43" customFormat="false" ht="15" hidden="false" customHeight="false" outlineLevel="0" collapsed="false">
      <c r="A43" s="8" t="n">
        <v>37</v>
      </c>
      <c r="B43" s="8" t="s">
        <v>920</v>
      </c>
      <c r="C43" s="22" t="n">
        <f aca="false">SUM(Payment!I7:I10)</f>
        <v>0</v>
      </c>
      <c r="D43" s="22" t="n">
        <v>0</v>
      </c>
      <c r="E43" s="8" t="str">
        <f aca="false">IF(ABS(C43-D43)&lt;0.001,"PASS","FAIL")</f>
        <v>PASS</v>
      </c>
      <c r="F43" s="8" t="s">
        <v>921</v>
      </c>
    </row>
    <row r="44" customFormat="false" ht="15" hidden="false" customHeight="false" outlineLevel="0" collapsed="false">
      <c r="A44" s="8" t="n">
        <v>38</v>
      </c>
      <c r="B44" s="8" t="s">
        <v>34</v>
      </c>
      <c r="C44" s="22" t="n">
        <f aca="false">COUNTA('Evidence Sequence'!A7:A14)</f>
        <v>8</v>
      </c>
      <c r="D44" s="22" t="n">
        <v>8</v>
      </c>
      <c r="E44" s="8" t="str">
        <f aca="false">IF(ABS(C44-D44)&lt;0.001,"PASS","FAIL")</f>
        <v>PASS</v>
      </c>
      <c r="F44" s="8" t="s">
        <v>922</v>
      </c>
    </row>
    <row r="45" customFormat="false" ht="15" hidden="false" customHeight="false" outlineLevel="0" collapsed="false">
      <c r="A45" s="8" t="n">
        <v>39</v>
      </c>
      <c r="B45" s="8" t="s">
        <v>923</v>
      </c>
      <c r="C45" s="22" t="n">
        <f aca="false">SUM('Evidence Sequence'!H7:H14)</f>
        <v>0</v>
      </c>
      <c r="D45" s="22" t="n">
        <v>0</v>
      </c>
      <c r="E45" s="8" t="str">
        <f aca="false">IF(ABS(C45-D45)&lt;0.001,"PASS","FAIL")</f>
        <v>PASS</v>
      </c>
      <c r="F45" s="8" t="s">
        <v>924</v>
      </c>
    </row>
    <row r="46" customFormat="false" ht="15" hidden="false" customHeight="false" outlineLevel="0" collapsed="false">
      <c r="A46" s="8" t="n">
        <v>40</v>
      </c>
      <c r="B46" s="8" t="s">
        <v>925</v>
      </c>
      <c r="C46" s="22" t="n">
        <f aca="false">COUNTA('Failure Logic'!A7:A16)</f>
        <v>10</v>
      </c>
      <c r="D46" s="22" t="n">
        <v>10</v>
      </c>
      <c r="E46" s="8" t="str">
        <f aca="false">IF(ABS(C46-D46)&lt;0.001,"PASS","FAIL")</f>
        <v>PASS</v>
      </c>
      <c r="F46" s="8" t="s">
        <v>926</v>
      </c>
    </row>
    <row r="47" customFormat="false" ht="15" hidden="false" customHeight="false" outlineLevel="0" collapsed="false">
      <c r="A47" s="8" t="n">
        <v>41</v>
      </c>
      <c r="B47" s="8" t="s">
        <v>927</v>
      </c>
      <c r="C47" s="22" t="n">
        <f aca="false">COUNTA(Authority!A7:A16)</f>
        <v>10</v>
      </c>
      <c r="D47" s="22" t="n">
        <v>10</v>
      </c>
      <c r="E47" s="8" t="str">
        <f aca="false">IF(ABS(C47-D47)&lt;0.001,"PASS","FAIL")</f>
        <v>PASS</v>
      </c>
      <c r="F47" s="8" t="s">
        <v>928</v>
      </c>
    </row>
    <row r="48" customFormat="false" ht="15" hidden="false" customHeight="false" outlineLevel="0" collapsed="false">
      <c r="A48" s="8" t="n">
        <v>42</v>
      </c>
      <c r="B48" s="8" t="s">
        <v>929</v>
      </c>
      <c r="C48" s="22" t="n">
        <f aca="false">COUNTA('Technology Agenda'!A7:A18)</f>
        <v>12</v>
      </c>
      <c r="D48" s="22" t="n">
        <v>12</v>
      </c>
      <c r="E48" s="8" t="str">
        <f aca="false">IF(ABS(C48-D48)&lt;0.001,"PASS","FAIL")</f>
        <v>PASS</v>
      </c>
      <c r="F48" s="8" t="s">
        <v>930</v>
      </c>
    </row>
    <row r="49" customFormat="false" ht="15" hidden="false" customHeight="false" outlineLevel="0" collapsed="false">
      <c r="A49" s="8" t="n">
        <v>43</v>
      </c>
      <c r="B49" s="8" t="s">
        <v>931</v>
      </c>
      <c r="C49" s="22" t="n">
        <f aca="false">COUNTIFS('Stress Tests'!F7:F20,"PASS")</f>
        <v>14</v>
      </c>
      <c r="D49" s="22" t="n">
        <v>14</v>
      </c>
      <c r="E49" s="8" t="str">
        <f aca="false">IF(ABS(C49-D49)&lt;0.001,"PASS","FAIL")</f>
        <v>PASS</v>
      </c>
      <c r="F49" s="8" t="s">
        <v>932</v>
      </c>
    </row>
    <row r="50" customFormat="false" ht="15" hidden="false" customHeight="false" outlineLevel="0" collapsed="false">
      <c r="A50" s="8" t="n">
        <v>44</v>
      </c>
      <c r="B50" s="8" t="s">
        <v>933</v>
      </c>
      <c r="C50" s="22" t="n">
        <f aca="false">COUNTIFS(Mutations!E7:E16,"FAIL")</f>
        <v>10</v>
      </c>
      <c r="D50" s="22" t="n">
        <v>10</v>
      </c>
      <c r="E50" s="8" t="str">
        <f aca="false">IF(ABS(C50-D50)&lt;0.001,"PASS","FAIL")</f>
        <v>PASS</v>
      </c>
      <c r="F50" s="8" t="s">
        <v>934</v>
      </c>
    </row>
    <row r="51" customFormat="false" ht="15" hidden="false" customHeight="false" outlineLevel="0" collapsed="false">
      <c r="A51" s="8" t="n">
        <v>45</v>
      </c>
      <c r="B51" s="8" t="s">
        <v>935</v>
      </c>
      <c r="C51" s="22" t="n">
        <f aca="false">COUNTIFS(Mutations!G7:G16,"YES")</f>
        <v>10</v>
      </c>
      <c r="D51" s="22" t="n">
        <v>10</v>
      </c>
      <c r="E51" s="8" t="str">
        <f aca="false">IF(ABS(C51-D51)&lt;0.001,"PASS","FAIL")</f>
        <v>PASS</v>
      </c>
      <c r="F51" s="8" t="s">
        <v>936</v>
      </c>
    </row>
    <row r="52" customFormat="false" ht="15" hidden="false" customHeight="false" outlineLevel="0" collapsed="false">
      <c r="A52" s="8" t="n">
        <v>46</v>
      </c>
      <c r="B52" s="8" t="s">
        <v>937</v>
      </c>
      <c r="C52" s="22" t="n">
        <f aca="false">SUM(Mutations!H7:H16)</f>
        <v>0</v>
      </c>
      <c r="D52" s="22" t="n">
        <v>0</v>
      </c>
      <c r="E52" s="8" t="str">
        <f aca="false">IF(ABS(C52-D52)&lt;0.001,"PASS","FAIL")</f>
        <v>PASS</v>
      </c>
      <c r="F52" s="8" t="s">
        <v>938</v>
      </c>
    </row>
  </sheetData>
  <conditionalFormatting sqref="E7:E52">
    <cfRule type="containsText" priority="2" operator="containsText" aboveAverage="0" equalAverage="0" bottom="0" percent="0" rank="0" text="FAIL" dxfId="6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8"/>
    <col collapsed="false" customWidth="true" hidden="false" outlineLevel="0" max="3" min="3" style="0" width="76"/>
    <col collapsed="false" customWidth="true" hidden="false" outlineLevel="0" max="4" min="4" style="0" width="19"/>
  </cols>
  <sheetData>
    <row r="2" customFormat="false" ht="24" hidden="false" customHeight="true" outlineLevel="0" collapsed="false">
      <c r="A2" s="1" t="s">
        <v>939</v>
      </c>
    </row>
    <row r="3" customFormat="false" ht="18" hidden="false" customHeight="true" outlineLevel="0" collapsed="false">
      <c r="A3" s="2" t="s">
        <v>940</v>
      </c>
      <c r="B3" s="2"/>
      <c r="C3" s="2"/>
      <c r="D3" s="2"/>
    </row>
    <row r="6" customFormat="false" ht="15" hidden="false" customHeight="false" outlineLevel="0" collapsed="false">
      <c r="A6" s="7" t="s">
        <v>941</v>
      </c>
      <c r="B6" s="7" t="s">
        <v>942</v>
      </c>
      <c r="C6" s="7" t="s">
        <v>943</v>
      </c>
      <c r="D6" s="7" t="s">
        <v>854</v>
      </c>
    </row>
    <row r="7" customFormat="false" ht="15" hidden="false" customHeight="false" outlineLevel="0" collapsed="false">
      <c r="A7" s="8" t="s">
        <v>944</v>
      </c>
      <c r="B7" s="8" t="s">
        <v>945</v>
      </c>
      <c r="C7" s="8" t="s">
        <v>946</v>
      </c>
      <c r="D7" s="8" t="s">
        <v>947</v>
      </c>
    </row>
    <row r="8" customFormat="false" ht="15" hidden="false" customHeight="false" outlineLevel="0" collapsed="false">
      <c r="A8" s="8" t="s">
        <v>948</v>
      </c>
      <c r="B8" s="8" t="s">
        <v>949</v>
      </c>
      <c r="C8" s="8" t="s">
        <v>950</v>
      </c>
      <c r="D8" s="8" t="s">
        <v>947</v>
      </c>
    </row>
    <row r="9" customFormat="false" ht="15" hidden="false" customHeight="false" outlineLevel="0" collapsed="false">
      <c r="A9" s="8" t="s">
        <v>951</v>
      </c>
      <c r="B9" s="8" t="s">
        <v>952</v>
      </c>
      <c r="C9" s="8" t="s">
        <v>953</v>
      </c>
      <c r="D9" s="8" t="s">
        <v>947</v>
      </c>
    </row>
    <row r="10" customFormat="false" ht="15" hidden="false" customHeight="false" outlineLevel="0" collapsed="false">
      <c r="A10" s="8" t="s">
        <v>954</v>
      </c>
      <c r="B10" s="8" t="s">
        <v>955</v>
      </c>
      <c r="C10" s="8" t="s">
        <v>956</v>
      </c>
      <c r="D10" s="8" t="s">
        <v>947</v>
      </c>
    </row>
    <row r="11" customFormat="false" ht="15" hidden="false" customHeight="false" outlineLevel="0" collapsed="false">
      <c r="A11" s="8" t="s">
        <v>957</v>
      </c>
      <c r="B11" s="8" t="s">
        <v>958</v>
      </c>
      <c r="C11" s="8" t="s">
        <v>959</v>
      </c>
      <c r="D11" s="8" t="s">
        <v>947</v>
      </c>
    </row>
    <row r="12" customFormat="false" ht="15" hidden="false" customHeight="false" outlineLevel="0" collapsed="false">
      <c r="A12" s="8" t="s">
        <v>960</v>
      </c>
      <c r="B12" s="8" t="s">
        <v>961</v>
      </c>
      <c r="C12" s="8" t="s">
        <v>962</v>
      </c>
      <c r="D12" s="8" t="s">
        <v>963</v>
      </c>
    </row>
    <row r="13" customFormat="false" ht="15" hidden="false" customHeight="false" outlineLevel="0" collapsed="false">
      <c r="A13" s="8" t="s">
        <v>964</v>
      </c>
      <c r="B13" s="8" t="s">
        <v>965</v>
      </c>
      <c r="C13" s="8" t="s">
        <v>966</v>
      </c>
      <c r="D13" s="8" t="s">
        <v>963</v>
      </c>
    </row>
    <row r="14" customFormat="false" ht="15" hidden="false" customHeight="false" outlineLevel="0" collapsed="false">
      <c r="A14" s="8" t="s">
        <v>967</v>
      </c>
      <c r="B14" s="8" t="s">
        <v>968</v>
      </c>
      <c r="C14" s="8" t="s">
        <v>969</v>
      </c>
      <c r="D14" s="8" t="s">
        <v>963</v>
      </c>
    </row>
    <row r="15" customFormat="false" ht="15" hidden="false" customHeight="false" outlineLevel="0" collapsed="false">
      <c r="A15" s="8" t="s">
        <v>970</v>
      </c>
      <c r="B15" s="8" t="s">
        <v>971</v>
      </c>
      <c r="C15" s="8" t="s">
        <v>972</v>
      </c>
      <c r="D15" s="8" t="s">
        <v>947</v>
      </c>
    </row>
    <row r="16" customFormat="false" ht="15" hidden="false" customHeight="false" outlineLevel="0" collapsed="false">
      <c r="A16" s="8" t="s">
        <v>973</v>
      </c>
      <c r="B16" s="8" t="s">
        <v>974</v>
      </c>
      <c r="C16" s="8" t="s">
        <v>975</v>
      </c>
      <c r="D16" s="8" t="s">
        <v>947</v>
      </c>
    </row>
    <row r="17" customFormat="false" ht="23.85" hidden="false" customHeight="false" outlineLevel="0" collapsed="false">
      <c r="A17" s="8" t="s">
        <v>976</v>
      </c>
      <c r="B17" s="8" t="s">
        <v>977</v>
      </c>
      <c r="C17" s="8" t="s">
        <v>978</v>
      </c>
      <c r="D17" s="8" t="s">
        <v>875</v>
      </c>
    </row>
    <row r="18" customFormat="false" ht="15" hidden="false" customHeight="false" outlineLevel="0" collapsed="false">
      <c r="A18" s="8" t="s">
        <v>979</v>
      </c>
      <c r="B18" s="8" t="s">
        <v>980</v>
      </c>
      <c r="C18" s="8" t="s">
        <v>981</v>
      </c>
      <c r="D18" s="8" t="s">
        <v>982</v>
      </c>
    </row>
    <row r="19" customFormat="false" ht="15" hidden="false" customHeight="false" outlineLevel="0" collapsed="false">
      <c r="A19" s="8" t="s">
        <v>983</v>
      </c>
      <c r="B19" s="8" t="s">
        <v>984</v>
      </c>
      <c r="C19" s="8" t="s">
        <v>985</v>
      </c>
      <c r="D19" s="8" t="s">
        <v>986</v>
      </c>
    </row>
    <row r="20" customFormat="false" ht="15" hidden="false" customHeight="false" outlineLevel="0" collapsed="false">
      <c r="A20" s="8" t="s">
        <v>987</v>
      </c>
      <c r="B20" s="8" t="s">
        <v>988</v>
      </c>
      <c r="C20" s="8" t="s">
        <v>989</v>
      </c>
      <c r="D20" s="8" t="s">
        <v>990</v>
      </c>
    </row>
    <row r="21" customFormat="false" ht="15" hidden="false" customHeight="false" outlineLevel="0" collapsed="false">
      <c r="A21" s="8" t="s">
        <v>991</v>
      </c>
      <c r="B21" s="8" t="s">
        <v>992</v>
      </c>
      <c r="C21" s="8" t="s">
        <v>993</v>
      </c>
      <c r="D21" s="8" t="s">
        <v>994</v>
      </c>
    </row>
    <row r="22" customFormat="false" ht="15" hidden="false" customHeight="false" outlineLevel="0" collapsed="false">
      <c r="A22" s="8" t="s">
        <v>995</v>
      </c>
      <c r="B22" s="8" t="s">
        <v>996</v>
      </c>
      <c r="C22" s="8" t="s">
        <v>997</v>
      </c>
      <c r="D22" s="8" t="s">
        <v>998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