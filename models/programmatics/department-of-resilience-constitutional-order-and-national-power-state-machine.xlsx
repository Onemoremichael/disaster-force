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21ad9703c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b01cc3d6f8924edd"/>
    <x:sheet xmlns:r="http://schemas.openxmlformats.org/officeDocument/2006/relationships" name="Controls" sheetId="2" r:id="R53bca94ea13542fc"/>
    <x:sheet xmlns:r="http://schemas.openxmlformats.org/officeDocument/2006/relationships" name="Architecture" sheetId="3" r:id="R3b29b29fef524dd2"/>
    <x:sheet xmlns:r="http://schemas.openxmlformats.org/officeDocument/2006/relationships" name="Five Houses" sheetId="4" r:id="R0517d4d49c134c3f"/>
    <x:sheet xmlns:r="http://schemas.openxmlformats.org/officeDocument/2006/relationships" name="Institution Classes" sheetId="5" r:id="R8efbd3ca25344505"/>
    <x:sheet xmlns:r="http://schemas.openxmlformats.org/officeDocument/2006/relationships" name="Warrant State Machine" sheetId="6" r:id="Rcef964b3dd1341f8"/>
    <x:sheet xmlns:r="http://schemas.openxmlformats.org/officeDocument/2006/relationships" name="Nondelegation Laws" sheetId="7" r:id="R4a8d05ecd68248e3"/>
    <x:sheet xmlns:r="http://schemas.openxmlformats.org/officeDocument/2006/relationships" name="Secretary Powers" sheetId="8" r:id="Re9a53610b5d948ca"/>
    <x:sheet xmlns:r="http://schemas.openxmlformats.org/officeDocument/2006/relationships" name="Deadlock Law" sheetId="9" r:id="Rff72353adbfe475a"/>
    <x:sheet xmlns:r="http://schemas.openxmlformats.org/officeDocument/2006/relationships" name="Mission Systems" sheetId="10" r:id="Ra5595914e2d748aa"/>
    <x:sheet xmlns:r="http://schemas.openxmlformats.org/officeDocument/2006/relationships" name="Service Matrix" sheetId="11" r:id="Rac6ef637ba474bd5"/>
    <x:sheet xmlns:r="http://schemas.openxmlformats.org/officeDocument/2006/relationships" name="Effect Matrix" sheetId="12" r:id="R0e28b917e0434fa4"/>
    <x:sheet xmlns:r="http://schemas.openxmlformats.org/officeDocument/2006/relationships" name="Strategic Modes" sheetId="13" r:id="R5b069dd3eaef4603"/>
    <x:sheet xmlns:r="http://schemas.openxmlformats.org/officeDocument/2006/relationships" name="Force Portfolio" sheetId="14" r:id="Rc48dbce4a564446b"/>
    <x:sheet xmlns:r="http://schemas.openxmlformats.org/officeDocument/2006/relationships" name="Fiscal Constitution" sheetId="15" r:id="Rb131cb33504a4d96"/>
    <x:sheet xmlns:r="http://schemas.openxmlformats.org/officeDocument/2006/relationships" name="25-Year Economy" sheetId="16" r:id="R9f7104af26fe4c52"/>
    <x:sheet xmlns:r="http://schemas.openxmlformats.org/officeDocument/2006/relationships" name="Stress Cases" sheetId="17" r:id="R3605804bdd104f1b"/>
    <x:sheet xmlns:r="http://schemas.openxmlformats.org/officeDocument/2006/relationships" name="Audit" sheetId="18" r:id="Re9716b9faf4c4e89"/>
    <x:sheet xmlns:r="http://schemas.openxmlformats.org/officeDocument/2006/relationships" name="Mutation Tests" sheetId="19" r:id="R40b1b92cd3fc4652"/>
    <x:sheet xmlns:r="http://schemas.openxmlformats.org/officeDocument/2006/relationships" name="Sources" sheetId="20" r:id="R772dec3b59fc44ed"/>
    <x:sheet xmlns:r="http://schemas.openxmlformats.org/officeDocument/2006/relationships" name="Read Me" sheetId="21" r:id="Rd15c7cd31f5f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##"/>
    <x:numFmt numFmtId="201" formatCode="0.0"/>
    <x:numFmt numFmtId="202" formatCode="0"/>
    <x:numFmt numFmtId="203" formatCode="0%"/>
    <x:numFmt numFmtId="204" formatCode="&quot;$&quot;0.##;[Red]-&quot;$&quot;0.##;&quot;-&quot;"/>
    <x:numFmt numFmtId="205" formatCode="0.00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4" fontId="3" fillId="2" borderId="0" xfId="0" applyNumberFormat="1" applyFont="1" applyFill="1" applyBorder="1" applyAlignment="1">
      <x:alignment horizontal="center" wrapText="1"/>
    </x:xf>
    <x:xf numFmtId="204" fontId="3" fillId="4" borderId="0" xfId="0" applyNumberFormat="1" applyFont="1" applyFill="1" applyBorder="1" applyAlignment="1">
      <x:alignment horizontal="center" wrapText="1"/>
    </x:xf>
    <x:xf numFmtId="204" fontId="4" fillId="4" borderId="0" xfId="0" applyNumberFormat="1" applyFont="1" applyFill="1" applyBorder="1"/>
    <x:xf numFmtId="205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2" fontId="4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3" fillId="4" borderId="0" xfId="0" applyNumberFormat="1" applyFont="1" applyFill="1" applyBorder="1" applyAlignment="1">
      <x:alignment horizontal="center" vertical="center" wrapText="1"/>
    </x:xf>
    <x:xf numFmtId="204" fontId="4" fillId="4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61003114143ec" /><Relationship Type="http://schemas.openxmlformats.org/officeDocument/2006/relationships/theme" Target="/xl/theme/theme1.xml" Id="R285861d6c1cc422a" /><Relationship Type="http://schemas.openxmlformats.org/officeDocument/2006/relationships/sharedStrings" Target="/xl/sharedStrings.xml" Id="Rd0e12444fcc9430d" /><Relationship Type="http://schemas.openxmlformats.org/officeDocument/2006/relationships/worksheet" Target="/xl/worksheets/sheet1.xml" Id="Rb01cc3d6f8924edd" /><Relationship Type="http://schemas.openxmlformats.org/officeDocument/2006/relationships/worksheet" Target="/xl/worksheets/sheet2.xml" Id="R53bca94ea13542fc" /><Relationship Type="http://schemas.openxmlformats.org/officeDocument/2006/relationships/worksheet" Target="/xl/worksheets/sheet3.xml" Id="R3b29b29fef524dd2" /><Relationship Type="http://schemas.openxmlformats.org/officeDocument/2006/relationships/worksheet" Target="/xl/worksheets/sheet4.xml" Id="R0517d4d49c134c3f" /><Relationship Type="http://schemas.openxmlformats.org/officeDocument/2006/relationships/worksheet" Target="/xl/worksheets/sheet5.xml" Id="R8efbd3ca25344505" /><Relationship Type="http://schemas.openxmlformats.org/officeDocument/2006/relationships/worksheet" Target="/xl/worksheets/sheet6.xml" Id="Rcef964b3dd1341f8" /><Relationship Type="http://schemas.openxmlformats.org/officeDocument/2006/relationships/worksheet" Target="/xl/worksheets/sheet7.xml" Id="R4a8d05ecd68248e3" /><Relationship Type="http://schemas.openxmlformats.org/officeDocument/2006/relationships/worksheet" Target="/xl/worksheets/sheet8.xml" Id="Re9a53610b5d948ca" /><Relationship Type="http://schemas.openxmlformats.org/officeDocument/2006/relationships/worksheet" Target="/xl/worksheets/sheet9.xml" Id="Rff72353adbfe475a" /><Relationship Type="http://schemas.openxmlformats.org/officeDocument/2006/relationships/worksheet" Target="/xl/worksheets/sheet10.xml" Id="Ra5595914e2d748aa" /><Relationship Type="http://schemas.openxmlformats.org/officeDocument/2006/relationships/worksheet" Target="/xl/worksheets/sheet11.xml" Id="Rac6ef637ba474bd5" /><Relationship Type="http://schemas.openxmlformats.org/officeDocument/2006/relationships/worksheet" Target="/xl/worksheets/sheet12.xml" Id="R0e28b917e0434fa4" /><Relationship Type="http://schemas.openxmlformats.org/officeDocument/2006/relationships/worksheet" Target="/xl/worksheets/sheet13.xml" Id="R5b069dd3eaef4603" /><Relationship Type="http://schemas.openxmlformats.org/officeDocument/2006/relationships/worksheet" Target="/xl/worksheets/sheet14.xml" Id="Rc48dbce4a564446b" /><Relationship Type="http://schemas.openxmlformats.org/officeDocument/2006/relationships/worksheet" Target="/xl/worksheets/sheet15.xml" Id="Rb131cb33504a4d96" /><Relationship Type="http://schemas.openxmlformats.org/officeDocument/2006/relationships/worksheet" Target="/xl/worksheets/sheet16.xml" Id="R9f7104af26fe4c52" /><Relationship Type="http://schemas.openxmlformats.org/officeDocument/2006/relationships/worksheet" Target="/xl/worksheets/sheet17.xml" Id="R3605804bdd104f1b" /><Relationship Type="http://schemas.openxmlformats.org/officeDocument/2006/relationships/worksheet" Target="/xl/worksheets/sheet18.xml" Id="Re9716b9faf4c4e89" /><Relationship Type="http://schemas.openxmlformats.org/officeDocument/2006/relationships/worksheet" Target="/xl/worksheets/sheet19.xml" Id="R40b1b92cd3fc4652" /><Relationship Type="http://schemas.openxmlformats.org/officeDocument/2006/relationships/worksheet" Target="/xl/worksheets/sheet20.xml" Id="R772dec3b59fc44ed" /><Relationship Type="http://schemas.openxmlformats.org/officeDocument/2006/relationships/worksheet" Target="/xl/worksheets/sheet21.xml" Id="Rd15c7cd31f5f45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8004aedcc44b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Institution classes by constitutional house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Institution classes</c:v>
          </c:tx>
          <c:cat>
            <c:strRef>
              <c:f>'Decision'!$M$6:$M$10</c:f>
              <c:strCache>
                <c:ptCount val="0"/>
              </c:strCache>
            </c:strRef>
          </c:cat>
          <c:val>
            <c:numRef>
              <c:f>'Decision'!$N$6:$N$10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8004aedcc44b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78d0a72b6f42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5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33" hidden="0" customWidth="1"/>
    <x:col min="14" max="14" width="23" hidden="0" customWidth="1"/>
  </x:cols>
  <x:sheetData>
    <x:row r="2">
      <x:c r="A2" s="27" t="str">
        <x:v>Department constitutional order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Pass 201 | DCA-1 | whole-department separation of powers and national-power state machine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 t="str">
        <x:v>Constitutional house</x:v>
      </x:c>
      <x:c r="N5" s="28" t="str">
        <x:v>Institution classes</x:v>
      </x:c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Decision metric</x:v>
      </x:c>
      <x:c r="B6" s="31" t="str">
        <x:v>Value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 t="str">
        <x:v>Civic Covenant</x:v>
      </x:c>
      <x:c r="N6" s="28" t="n">
        <x:v>4</x:v>
      </x:c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Verdict</x:v>
      </x:c>
      <x:c r="B7" s="32" t="str">
        <x:v>CLOSE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 t="str">
        <x:v>Capability Commonwealth</x:v>
      </x:c>
      <x:c r="N7" s="28" t="n">
        <x:v>4</x:v>
      </x:c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Selected architecture</x:v>
      </x:c>
      <x:c r="B8" s="32" t="str">
        <x:v>Constitutional national-power matrix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 t="str">
        <x:v>Evidence Court</x:v>
      </x:c>
      <x:c r="N8" s="28" t="n">
        <x:v>3</x:v>
      </x:c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Constitutional houses</x:v>
      </x:c>
      <x:c r="B9" s="32" t="n">
        <x:v>5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 t="str">
        <x:v>Force Estate</x:v>
      </x:c>
      <x:c r="N9" s="28" t="n">
        <x:v>4</x:v>
      </x:c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Institution classes</x:v>
      </x:c>
      <x:c r="B10" s="32" t="n">
        <x:v>17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 t="str">
        <x:v>Employment Federation</x:v>
      </x:c>
      <x:c r="N10" s="28" t="n">
        <x:v>2</x:v>
      </x:c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Warrants</x:v>
      </x:c>
      <x:c r="B11" s="32" t="n">
        <x:v>17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Nondelegation laws</x:v>
      </x:c>
      <x:c r="B12" s="32" t="n">
        <x:v>18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Mission systems</x:v>
      </x:c>
      <x:c r="B13" s="32" t="n">
        <x:v>6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Generating services</x:v>
      </x:c>
      <x:c r="B14" s="32" t="n">
        <x:v>7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str">
        <x:v>Civilian effects</x:v>
      </x:c>
      <x:c r="B15" s="32" t="n">
        <x:v>9</x:v>
      </x:c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str">
        <x:v>Strategic modes</x:v>
      </x:c>
      <x:c r="B16" s="32" t="n">
        <x:v>4</x:v>
      </x:c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32" t="str">
        <x:v>Owned formations</x:v>
      </x:c>
      <x:c r="B17" s="32" t="n">
        <x:v>5251</x:v>
      </x:c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32" t="str">
        <x:v>Committed formations</x:v>
      </x:c>
      <x:c r="B18" s="32" t="n">
        <x:v>2420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32" t="str">
        <x:v>Technology program USD T</x:v>
      </x:c>
      <x:c r="B19" s="32" t="n">
        <x:v>1</x:v>
      </x:c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32" t="str">
        <x:v>Mature capital USD T</x:v>
      </x:c>
      <x:c r="B20" s="33" t="n">
        <x:v>17.4</x:v>
      </x:c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32" t="str">
        <x:v>25-year operations USD T</x:v>
      </x:c>
      <x:c r="B21" s="33" t="n">
        <x:v>40.1955</x:v>
      </x:c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32" t="str">
        <x:v>25-year public outlay USD T</x:v>
      </x:c>
      <x:c r="B22" s="33" t="n">
        <x:f>'25-Year Economy'!K33</x:f>
        <x:v>58.59550000000002</x:v>
      </x:c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32" t="str">
        <x:v>Released implementation authority</x:v>
      </x:c>
      <x:c r="B23" s="32" t="n">
        <x:v>0</x:v>
      </x:c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32" t="str">
        <x:v>Released strategic effect</x:v>
      </x:c>
      <x:c r="B24" s="32" t="n">
        <x:v>0</x:v>
      </x:c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32" t="str">
        <x:v>Next resolution</x:v>
      </x:c>
      <x:c r="B25" s="32" t="str">
        <x:v>Domestic public-service sovereignty and activation compact</x:v>
      </x:c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</x:sheetData>
  <x:pageMargins left="0.7" right="0.7" top="0.75" bottom="0.75" header="0.3" footer="0.3"/>
  <x:drawing xmlns:r="http://schemas.openxmlformats.org/officeDocument/2006/relationships" r:id="Rf278d0a72b6f424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42" hidden="0" customWidth="1"/>
  </x:cols>
  <x:sheetData>
    <x:row r="2">
      <x:c r="A2" s="27" t="str">
        <x:v>Constitutional controls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Blue cells are inherited quantitative controls. They do not create implementation authority.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Control</x:v>
      </x:c>
      <x:c r="B6" s="31" t="str">
        <x:v>Value</x:v>
      </x:c>
      <x:c r="C6" s="31" t="str">
        <x:v>Unit / boundary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Houses</x:v>
      </x:c>
      <x:c r="B7" s="34" t="n">
        <x:v>5</x:v>
      </x:c>
      <x:c r="C7" s="32" t="str">
        <x:v>constitutional houses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Institution classes</x:v>
      </x:c>
      <x:c r="B8" s="34" t="n">
        <x:v>17</x:v>
      </x:c>
      <x:c r="C8" s="32" t="str">
        <x:v>classes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Warrants</x:v>
      </x:c>
      <x:c r="B9" s="34" t="n">
        <x:v>17</x:v>
      </x:c>
      <x:c r="C9" s="32" t="str">
        <x:v>typed transitions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Nondelegation laws</x:v>
      </x:c>
      <x:c r="B10" s="34" t="n">
        <x:v>18</x:v>
      </x:c>
      <x:c r="C10" s="32" t="str">
        <x:v>laws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Mission systems</x:v>
      </x:c>
      <x:c r="B11" s="34" t="n">
        <x:v>6</x:v>
      </x:c>
      <x:c r="C11" s="32" t="str">
        <x:v>integration chains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Generating services</x:v>
      </x:c>
      <x:c r="B12" s="34" t="n">
        <x:v>7</x:v>
      </x:c>
      <x:c r="C12" s="32" t="str">
        <x:v>professional homes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Civilian effects</x:v>
      </x:c>
      <x:c r="B13" s="34" t="n">
        <x:v>9</x:v>
      </x:c>
      <x:c r="C13" s="32" t="str">
        <x:v>acceptance ledgers</x:v>
      </x:c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Strategic modes</x:v>
      </x:c>
      <x:c r="B14" s="34" t="n">
        <x:v>4</x:v>
      </x:c>
      <x:c r="C14" s="32" t="str">
        <x:v>modes</x:v>
      </x:c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str">
        <x:v>Root Houses</x:v>
      </x:c>
      <x:c r="B15" s="34" t="n">
        <x:v>24</x:v>
      </x:c>
      <x:c r="C15" s="32" t="str">
        <x:v>independent roots</x:v>
      </x:c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str">
        <x:v>Owned formations</x:v>
      </x:c>
      <x:c r="B16" s="34" t="n">
        <x:v>5251</x:v>
      </x:c>
      <x:c r="C16" s="32" t="str">
        <x:v>formations</x:v>
      </x:c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32" t="str">
        <x:v>Ready formations</x:v>
      </x:c>
      <x:c r="B17" s="34" t="n">
        <x:v>3667</x:v>
      </x:c>
      <x:c r="C17" s="32" t="str">
        <x:v>formations</x:v>
      </x:c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32" t="str">
        <x:v>Committed formations</x:v>
      </x:c>
      <x:c r="B18" s="34" t="n">
        <x:v>2420</x:v>
      </x:c>
      <x:c r="C18" s="32" t="str">
        <x:v>formations</x:v>
      </x:c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32" t="str">
        <x:v>Technology program</x:v>
      </x:c>
      <x:c r="B19" s="34" t="n">
        <x:v>1000</x:v>
      </x:c>
      <x:c r="C19" s="32" t="str">
        <x:v>USD B / 25 years</x:v>
      </x:c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32" t="str">
        <x:v>Formation capital</x:v>
      </x:c>
      <x:c r="B20" s="34" t="n">
        <x:v>9.41056</x:v>
      </x:c>
      <x:c r="C20" s="32" t="str">
        <x:v>USD T</x:v>
      </x:c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32" t="str">
        <x:v>Common / reserve capital</x:v>
      </x:c>
      <x:c r="B21" s="35" t="n">
        <x:v>7.98944</x:v>
      </x:c>
      <x:c r="C21" s="32" t="str">
        <x:v>USD T</x:v>
      </x:c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32" t="str">
        <x:v>Mature annual operations</x:v>
      </x:c>
      <x:c r="B22" s="35" t="n">
        <x:v>2.11</x:v>
      </x:c>
      <x:c r="C22" s="32" t="str">
        <x:v>USD T/year</x:v>
      </x:c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32" t="str">
        <x:v>Implementation identities</x:v>
      </x:c>
      <x:c r="B23" s="35" t="n">
        <x:v>0</x:v>
      </x:c>
      <x:c r="C23" s="32" t="str">
        <x:v>released</x:v>
      </x:c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32" t="str">
        <x:v>Strategic effect credit</x:v>
      </x:c>
      <x:c r="B24" s="34" t="n">
        <x:v>0</x:v>
      </x:c>
      <x:c r="C24" s="32" t="str">
        <x:v>released effects</x:v>
      </x:c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16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7" hidden="0" customWidth="1"/>
    <x:col min="8" max="8" width="18" hidden="0" customWidth="1"/>
    <x:col min="9" max="9" width="15" hidden="0" customWidth="1"/>
    <x:col min="10" max="10" width="18" hidden="0" customWidth="1"/>
    <x:col min="11" max="11" width="17" hidden="0" customWidth="1"/>
    <x:col min="12" max="12" width="15" hidden="0" customWidth="1"/>
    <x:col min="13" max="13" width="15" hidden="0" customWidth="1"/>
    <x:col min="14" max="14" width="14" hidden="0" customWidth="1"/>
    <x:col min="15" max="15" width="72" hidden="0" customWidth="1"/>
  </x:cols>
  <x:sheetData>
    <x:row r="2">
      <x:c r="A2" s="27" t="str">
        <x:v>Whole-department architecture competition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All twelve gates are conjunctive. A pass count cannot compensate for a failed constitutional boundary.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Architecture</x:v>
      </x:c>
      <x:c r="B6" s="31" t="str">
        <x:v>Public guarantee</x:v>
      </x:c>
      <x:c r="C6" s="31" t="str">
        <x:v>Effect independence</x:v>
      </x:c>
      <x:c r="D6" s="31" t="str">
        <x:v>Mission integration</x:v>
      </x:c>
      <x:c r="E6" s="31" t="str">
        <x:v>Service depth</x:v>
      </x:c>
      <x:c r="F6" s="31" t="str">
        <x:v>Root rivalry</x:v>
      </x:c>
      <x:c r="G6" s="31" t="str">
        <x:v>Independent proof</x:v>
      </x:c>
      <x:c r="H6" s="31" t="str">
        <x:v>Fiscal conservation</x:v>
      </x:c>
      <x:c r="I6" s="31" t="str">
        <x:v>Readiness truth</x:v>
      </x:c>
      <x:c r="J6" s="31" t="str">
        <x:v>Lawful employment</x:v>
      </x:c>
      <x:c r="K6" s="31" t="str">
        <x:v>Receiver consent</x:v>
      </x:c>
      <x:c r="L6" s="31" t="str">
        <x:v>Termination</x:v>
      </x:c>
      <x:c r="M6" s="31" t="str">
        <x:v>Loss survival</x:v>
      </x:c>
      <x:c r="N6" s="31" t="str">
        <x:v>Decision</x:v>
      </x:c>
      <x:c r="O6" s="31" t="str">
        <x:v>Reason</x:v>
      </x:c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Unified executive department</x:v>
      </x:c>
      <x:c r="B7" s="32" t="str">
        <x:v>PASS</x:v>
      </x:c>
      <x:c r="C7" s="32" t="str">
        <x:v>FAIL</x:v>
      </x:c>
      <x:c r="D7" s="32" t="str">
        <x:v>PASS</x:v>
      </x:c>
      <x:c r="E7" s="32" t="str">
        <x:v>PASS</x:v>
      </x:c>
      <x:c r="F7" s="32" t="str">
        <x:v>FAIL</x:v>
      </x:c>
      <x:c r="G7" s="32" t="str">
        <x:v>FAIL</x:v>
      </x:c>
      <x:c r="H7" s="32" t="str">
        <x:v>FAIL</x:v>
      </x:c>
      <x:c r="I7" s="32" t="str">
        <x:v>FAIL</x:v>
      </x:c>
      <x:c r="J7" s="32" t="str">
        <x:v>PASS</x:v>
      </x:c>
      <x:c r="K7" s="32" t="str">
        <x:v>FAIL</x:v>
      </x:c>
      <x:c r="L7" s="32" t="str">
        <x:v>FAIL</x:v>
      </x:c>
      <x:c r="M7" s="32" t="str">
        <x:v>PASS</x:v>
      </x:c>
      <x:c r="N7" s="36" t="str">
        <x:v>REJECT</x:v>
      </x:c>
      <x:c r="O7" s="37" t="str">
        <x:v>One chain can turn direction into proof, readiness and retained success</x:v>
      </x:c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Seven sovereign services</x:v>
      </x:c>
      <x:c r="B8" s="32" t="str">
        <x:v>PASS</x:v>
      </x:c>
      <x:c r="C8" s="32" t="str">
        <x:v>PASS</x:v>
      </x:c>
      <x:c r="D8" s="32" t="str">
        <x:v>FAIL</x:v>
      </x:c>
      <x:c r="E8" s="32" t="str">
        <x:v>PASS</x:v>
      </x:c>
      <x:c r="F8" s="32" t="str">
        <x:v>PASS</x:v>
      </x:c>
      <x:c r="G8" s="32" t="str">
        <x:v>FAIL</x:v>
      </x:c>
      <x:c r="H8" s="32" t="str">
        <x:v>FAIL</x:v>
      </x:c>
      <x:c r="I8" s="32" t="str">
        <x:v>FAIL</x:v>
      </x:c>
      <x:c r="J8" s="32" t="str">
        <x:v>FAIL</x:v>
      </x:c>
      <x:c r="K8" s="32" t="str">
        <x:v>FAIL</x:v>
      </x:c>
      <x:c r="L8" s="32" t="str">
        <x:v>FAIL</x:v>
      </x:c>
      <x:c r="M8" s="32" t="str">
        <x:v>PASS</x:v>
      </x:c>
      <x:c r="N8" s="36" t="str">
        <x:v>REJECT</x:v>
      </x:c>
      <x:c r="O8" s="37" t="str">
        <x:v>Professional depth fragments complete public chains and campaign ownership</x:v>
      </x:c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Six mission-system agencies</x:v>
      </x:c>
      <x:c r="B9" s="32" t="str">
        <x:v>PASS</x:v>
      </x:c>
      <x:c r="C9" s="32" t="str">
        <x:v>PASS</x:v>
      </x:c>
      <x:c r="D9" s="32" t="str">
        <x:v>PASS</x:v>
      </x:c>
      <x:c r="E9" s="32" t="str">
        <x:v>FAIL</x:v>
      </x:c>
      <x:c r="F9" s="32" t="str">
        <x:v>FAIL</x:v>
      </x:c>
      <x:c r="G9" s="32" t="str">
        <x:v>FAIL</x:v>
      </x:c>
      <x:c r="H9" s="32" t="str">
        <x:v>FAIL</x:v>
      </x:c>
      <x:c r="I9" s="32" t="str">
        <x:v>FAIL</x:v>
      </x:c>
      <x:c r="J9" s="32" t="str">
        <x:v>PASS</x:v>
      </x:c>
      <x:c r="K9" s="32" t="str">
        <x:v>FAIL</x:v>
      </x:c>
      <x:c r="L9" s="32" t="str">
        <x:v>FAIL</x:v>
      </x:c>
      <x:c r="M9" s="32" t="str">
        <x:v>PASS</x:v>
      </x:c>
      <x:c r="N9" s="36" t="str">
        <x:v>REJECT</x:v>
      </x:c>
      <x:c r="O9" s="37" t="str">
        <x:v>Outcome integrators absorb professions, roots and their own evidence</x:v>
      </x:c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Hazard and regional federation</x:v>
      </x:c>
      <x:c r="B10" s="32" t="str">
        <x:v>PASS</x:v>
      </x:c>
      <x:c r="C10" s="32" t="str">
        <x:v>PASS</x:v>
      </x:c>
      <x:c r="D10" s="32" t="str">
        <x:v>FAIL</x:v>
      </x:c>
      <x:c r="E10" s="32" t="str">
        <x:v>FAIL</x:v>
      </x:c>
      <x:c r="F10" s="32" t="str">
        <x:v>PASS</x:v>
      </x:c>
      <x:c r="G10" s="32" t="str">
        <x:v>PASS</x:v>
      </x:c>
      <x:c r="H10" s="32" t="str">
        <x:v>FAIL</x:v>
      </x:c>
      <x:c r="I10" s="32" t="str">
        <x:v>FAIL</x:v>
      </x:c>
      <x:c r="J10" s="32" t="str">
        <x:v>PASS</x:v>
      </x:c>
      <x:c r="K10" s="32" t="str">
        <x:v>PASS</x:v>
      </x:c>
      <x:c r="L10" s="32" t="str">
        <x:v>FAIL</x:v>
      </x:c>
      <x:c r="M10" s="32" t="str">
        <x:v>FAIL</x:v>
      </x:c>
      <x:c r="N10" s="36" t="str">
        <x:v>REJECT</x:v>
      </x:c>
      <x:c r="O10" s="37" t="str">
        <x:v>Event geography duplicates permanent force and cannot conserve national readiness</x:v>
      </x:c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Constitutional national-power matrix</x:v>
      </x:c>
      <x:c r="B11" s="32" t="str">
        <x:v>PASS</x:v>
      </x:c>
      <x:c r="C11" s="32" t="str">
        <x:v>PASS</x:v>
      </x:c>
      <x:c r="D11" s="32" t="str">
        <x:v>PASS</x:v>
      </x:c>
      <x:c r="E11" s="32" t="str">
        <x:v>PASS</x:v>
      </x:c>
      <x:c r="F11" s="32" t="str">
        <x:v>PASS</x:v>
      </x:c>
      <x:c r="G11" s="32" t="str">
        <x:v>PASS</x:v>
      </x:c>
      <x:c r="H11" s="32" t="str">
        <x:v>PASS</x:v>
      </x:c>
      <x:c r="I11" s="32" t="str">
        <x:v>PASS</x:v>
      </x:c>
      <x:c r="J11" s="32" t="str">
        <x:v>PASS</x:v>
      </x:c>
      <x:c r="K11" s="32" t="str">
        <x:v>PASS</x:v>
      </x:c>
      <x:c r="L11" s="32" t="str">
        <x:v>PASS</x:v>
      </x:c>
      <x:c r="M11" s="32" t="str">
        <x:v>PASS</x:v>
      </x:c>
      <x:c r="N11" s="38" t="str">
        <x:v>SELECT</x:v>
      </x:c>
      <x:c r="O11" s="37" t="str">
        <x:v>Five houses exchange typed warrants; no actor owns its successor state</x:v>
      </x:c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23" hidden="0" customWidth="1"/>
    <x:col min="4" max="4" width="86" hidden="0" customWidth="1"/>
    <x:col min="5" max="5" width="79" hidden="0" customWidth="1"/>
  </x:cols>
  <x:sheetData>
    <x:row r="2">
      <x:c r="A2" s="27" t="str">
        <x:v>Five constitutional houses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Scale comes from specialized powers joined by typed warrants, not from one office controlling the whole causal chain.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House</x:v>
      </x:c>
      <x:c r="B6" s="31" t="str">
        <x:v>Name</x:v>
      </x:c>
      <x:c r="C6" s="31" t="str">
        <x:v>Institution classes</x:v>
      </x:c>
      <x:c r="D6" s="31" t="str">
        <x:v>Positive power</x:v>
      </x:c>
      <x:c r="E6" s="31" t="str">
        <x:v>Prohibition</x:v>
      </x:c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H1</x:v>
      </x:c>
      <x:c r="B7" s="32" t="str">
        <x:v>Civic Covenant</x:v>
      </x:c>
      <x:c r="C7" s="32" t="n">
        <x:v>4</x:v>
      </x:c>
      <x:c r="D7" s="37" t="str">
        <x:v>National guarantee, effect obligations, rights, priorities and capital options</x:v>
      </x:c>
      <x:c r="E7" s="37" t="str">
        <x:v>Cannot select mechanisms, certify facts or command a receiver</x:v>
      </x:c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H2</x:v>
      </x:c>
      <x:c r="B8" s="32" t="str">
        <x:v>Capability Commonwealth</x:v>
      </x:c>
      <x:c r="C8" s="32" t="n">
        <x:v>4</x:v>
      </x:c>
      <x:c r="D8" s="37" t="str">
        <x:v>Complete mission baselines, professions, roots and reproducible production</x:v>
      </x:c>
      <x:c r="E8" s="37" t="str">
        <x:v>Cannot prove itself, issue readiness or employ formations</x:v>
      </x:c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H3</x:v>
      </x:c>
      <x:c r="B9" s="32" t="str">
        <x:v>Evidence Court</x:v>
      </x:c>
      <x:c r="C9" s="32" t="n">
        <x:v>3</x:v>
      </x:c>
      <x:c r="D9" s="37" t="str">
        <x:v>Hostile worlds, rights review, public ledgers and adverse disposition</x:v>
      </x:c>
      <x:c r="E9" s="37" t="str">
        <x:v>Cannot design candidates, award capital or command campaigns</x:v>
      </x:c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H4</x:v>
      </x:c>
      <x:c r="B10" s="32" t="str">
        <x:v>Force Estate</x:v>
      </x:c>
      <x:c r="C10" s="32" t="n">
        <x:v>4</x:v>
      </x:c>
      <x:c r="D10" s="37" t="str">
        <x:v>Stocks, formations, readiness truth, family floors and collision-free allocation</x:v>
      </x:c>
      <x:c r="E10" s="37" t="str">
        <x:v>Cannot create priority, consent, technical truth or strategic effect</x:v>
      </x:c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H5</x:v>
      </x:c>
      <x:c r="B11" s="32" t="str">
        <x:v>Employment Federation</x:v>
      </x:c>
      <x:c r="C11" s="32" t="n">
        <x:v>2</x:v>
      </x:c>
      <x:c r="D11" s="37" t="str">
        <x:v>Domestic and invited employment, sovereign custody, public service and transfer</x:v>
      </x:c>
      <x:c r="E11" s="37" t="str">
        <x:v>Cannot recall accepted invited capacity or rewrite evidence</x:v>
      </x:c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7" hidden="0" customWidth="1"/>
    <x:col min="3" max="3" width="13" hidden="0" customWidth="1"/>
    <x:col min="4" max="4" width="83" hidden="0" customWidth="1"/>
    <x:col min="5" max="5" width="83" hidden="0" customWidth="1"/>
  </x:cols>
  <x:sheetData>
    <x:row r="2">
      <x:c r="A2" s="27" t="str">
        <x:v>Seventeen institution classes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Multiplicity identifies constitutional seats, not additional appropriations.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Institution class</x:v>
      </x:c>
      <x:c r="B6" s="31" t="str">
        <x:v>Multiplicity</x:v>
      </x:c>
      <x:c r="C6" s="31" t="str">
        <x:v>House</x:v>
      </x:c>
      <x:c r="D6" s="31" t="str">
        <x:v>Exclusive positive power</x:v>
      </x:c>
      <x:c r="E6" s="31" t="str">
        <x:v>Explicit prohibition</x:v>
      </x:c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 ht="36" customHeight="1">
      <x:c r="A7" s="32" t="str">
        <x:v>Secretary and Resilience Staff</x:v>
      </x:c>
      <x:c r="B7" s="32" t="n">
        <x:v>1</x:v>
      </x:c>
      <x:c r="C7" s="32" t="str">
        <x:v>H1</x:v>
      </x:c>
      <x:c r="D7" s="37" t="str">
        <x:v>Set portfolio direction, submit budgets, convene the houses and publish national risk</x:v>
      </x:c>
      <x:c r="E7" s="37" t="str">
        <x:v>Cannot waive a negative technical, evidence, rights, readiness or consent state</x:v>
      </x:c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 ht="36" customHeight="1">
      <x:c r="A8" s="32" t="str">
        <x:v>Civil Resilience Authority</x:v>
      </x:c>
      <x:c r="B8" s="32" t="n">
        <x:v>1</x:v>
      </x:c>
      <x:c r="C8" s="32" t="str">
        <x:v>H1</x:v>
      </x:c>
      <x:c r="D8" s="37" t="str">
        <x:v>Translate lawful public priorities into service-deficit orders and activation predicates</x:v>
      </x:c>
      <x:c r="E8" s="37" t="str">
        <x:v>Cannot select roots, certify formations or accept its own effect claim</x:v>
      </x:c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 ht="36" customHeight="1">
      <x:c r="A9" s="32" t="str">
        <x:v>Civilian Effect Trustees</x:v>
      </x:c>
      <x:c r="B9" s="32" t="n">
        <x:v>9</x:v>
      </x:c>
      <x:c r="C9" s="32" t="str">
        <x:v>H1</x:v>
      </x:c>
      <x:c r="D9" s="37" t="str">
        <x:v>Own nine stable public-effect contracts, denominators and claim admission</x:v>
      </x:c>
      <x:c r="E9" s="37" t="str">
        <x:v>Cannot become acquisition offices or average fatal failures</x:v>
      </x:c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 ht="36" customHeight="1">
      <x:c r="A10" s="32" t="str">
        <x:v>Department Capital Board</x:v>
      </x:c>
      <x:c r="B10" s="32" t="n">
        <x:v>1</x:v>
      </x:c>
      <x:c r="C10" s="32" t="str">
        <x:v>H1</x:v>
      </x:c>
      <x:c r="D10" s="37" t="str">
        <x:v>Open, stage, resize, cancel and demobilize one-account fiscal options</x:v>
      </x:c>
      <x:c r="E10" s="37" t="str">
        <x:v>Cannot certify evidence, production, formation or campaign success</x:v>
      </x:c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 ht="36" customHeight="1">
      <x:c r="A11" s="32" t="str">
        <x:v>Mission System Commands</x:v>
      </x:c>
      <x:c r="B11" s="32" t="n">
        <x:v>6</x:v>
      </x:c>
      <x:c r="C11" s="32" t="str">
        <x:v>H2</x:v>
      </x:c>
      <x:c r="D11" s="37" t="str">
        <x:v>Own six complete end-to-end service baselines and representative campaigns</x:v>
      </x:c>
      <x:c r="E11" s="37" t="str">
        <x:v>Cannot own service professions, evidence disposition or employment</x:v>
      </x:c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 ht="36" customHeight="1">
      <x:c r="A12" s="32" t="str">
        <x:v>Generating Services</x:v>
      </x:c>
      <x:c r="B12" s="32" t="n">
        <x:v>7</x:v>
      </x:c>
      <x:c r="C12" s="32" t="str">
        <x:v>H2</x:v>
      </x:c>
      <x:c r="D12" s="37" t="str">
        <x:v>Own professions, article families, technical release and formation generation</x:v>
      </x:c>
      <x:c r="E12" s="37" t="str">
        <x:v>Cannot define public effect, self-admit evidence or command joint campaigns</x:v>
      </x:c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 ht="36" customHeight="1">
      <x:c r="A13" s="32" t="str">
        <x:v>Root Houses</x:v>
      </x:c>
      <x:c r="B13" s="32" t="n">
        <x:v>24</x:v>
      </x:c>
      <x:c r="C13" s="32" t="str">
        <x:v>H2</x:v>
      </x:c>
      <x:c r="D13" s="37" t="str">
        <x:v>Design, build and reproduce independent controlled configurations</x:v>
      </x:c>
      <x:c r="E13" s="37" t="str">
        <x:v>Own no public warrant and may not share decisive control across roots</x:v>
      </x:c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 ht="36" customHeight="1">
      <x:c r="A14" s="32" t="str">
        <x:v>Industrial Mobilization Administration</x:v>
      </x:c>
      <x:c r="B14" s="32" t="n">
        <x:v>1</x:v>
      </x:c>
      <x:c r="C14" s="32" t="str">
        <x:v>H2</x:v>
      </x:c>
      <x:c r="D14" s="37" t="str">
        <x:v>Hold public rights, productive estate, alternate lines, material and cold production</x:v>
      </x:c>
      <x:c r="E14" s="37" t="str">
        <x:v>Cannot turn plant output or revenue into force credit</x:v>
      </x:c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 ht="36" customHeight="1">
      <x:c r="A15" s="32" t="str">
        <x:v>Resilience Proving Service</x:v>
      </x:c>
      <x:c r="B15" s="32" t="n">
        <x:v>1</x:v>
      </x:c>
      <x:c r="C15" s="32" t="str">
        <x:v>H3</x:v>
      </x:c>
      <x:c r="D15" s="37" t="str">
        <x:v>Own hostile worlds, matched controls, reconstruction, custody and root disposition</x:v>
      </x:c>
      <x:c r="E15" s="37" t="str">
        <x:v>Cannot design the candidate, award its funds or employ the force</x:v>
      </x:c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 ht="36" customHeight="1">
      <x:c r="A16" s="32" t="str">
        <x:v>Rights and Scarcity Tribunal</x:v>
      </x:c>
      <x:c r="B16" s="32" t="n">
        <x:v>1</x:v>
      </x:c>
      <x:c r="C16" s="32" t="str">
        <x:v>H3</x:v>
      </x:c>
      <x:c r="D16" s="37" t="str">
        <x:v>Review rights, priority collision, burden distribution, appeal and remedy</x:v>
      </x:c>
      <x:c r="E16" s="37" t="str">
        <x:v>Cannot invent capacity or substitute a weighted benefit score</x:v>
      </x:c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 ht="36" customHeight="1">
      <x:c r="A17" s="32" t="str">
        <x:v>Public Allocation Ledger</x:v>
      </x:c>
      <x:c r="B17" s="32" t="n">
        <x:v>1</x:v>
      </x:c>
      <x:c r="C17" s="32" t="str">
        <x:v>H3</x:v>
      </x:c>
      <x:c r="D17" s="37" t="str">
        <x:v>Publish money, serial, claim, custody, evidence, expiry and rollback state</x:v>
      </x:c>
      <x:c r="E17" s="37" t="str">
        <x:v>Records authority but does not issue it</x:v>
      </x:c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 ht="36" customHeight="1">
      <x:c r="A18" s="32" t="str">
        <x:v>Strategic Sustainment Command</x:v>
      </x:c>
      <x:c r="B18" s="32" t="n">
        <x:v>1</x:v>
      </x:c>
      <x:c r="C18" s="32" t="str">
        <x:v>H4</x:v>
      </x:c>
      <x:c r="D18" s="37" t="str">
        <x:v>Own national stocks, repair, replacement, reverse flow and regeneration</x:v>
      </x:c>
      <x:c r="E18" s="37" t="str">
        <x:v>Cannot declare a formation ready or retain a failed configuration</x:v>
      </x:c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 ht="36" customHeight="1">
      <x:c r="A19" s="32" t="str">
        <x:v>Joint Capacity Authority</x:v>
      </x:c>
      <x:c r="B19" s="32" t="n">
        <x:v>1</x:v>
      </x:c>
      <x:c r="C19" s="32" t="str">
        <x:v>H4</x:v>
      </x:c>
      <x:c r="D19" s="37" t="str">
        <x:v>Own serial readiness, family floors, exclusive reservations and current expiry</x:v>
      </x:c>
      <x:c r="E19" s="37" t="str">
        <x:v>Cannot establish priority, invitation or mission evidence</x:v>
      </x:c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 ht="36" customHeight="1">
      <x:c r="A20" s="32" t="str">
        <x:v>National Mobilization and Allocation Command</x:v>
      </x:c>
      <x:c r="B20" s="32" t="n">
        <x:v>1</x:v>
      </x:c>
      <x:c r="C20" s="32" t="str">
        <x:v>H4</x:v>
      </x:c>
      <x:c r="D20" s="37" t="str">
        <x:v>Compile admitted claims and ready serials into a collision-free schedule</x:v>
      </x:c>
      <x:c r="E20" s="37" t="str">
        <x:v>Cannot alter the guarantee, evidence or sovereign custody</x:v>
      </x:c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 ht="36" customHeight="1">
      <x:c r="A21" s="32" t="str">
        <x:v>Readiness District Commands</x:v>
      </x:c>
      <x:c r="B21" s="32" t="n">
        <x:v>7</x:v>
      </x:c>
      <x:c r="C21" s="32" t="str">
        <x:v>H4</x:v>
      </x:c>
      <x:c r="D21" s="37" t="str">
        <x:v>Maintain local access, crews, stocks, receivers and district-loss survivability</x:v>
      </x:c>
      <x:c r="E21" s="37" t="str">
        <x:v>Cannot borrow another district's credit without an explicit risk warrant</x:v>
      </x:c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 ht="36" customHeight="1">
      <x:c r="A22" s="32" t="str">
        <x:v>Operational Campaign Commands</x:v>
      </x:c>
      <x:c r="B22" s="32" t="str">
        <x:v>as formed</x:v>
      </x:c>
      <x:c r="C22" s="32" t="str">
        <x:v>H5</x:v>
      </x:c>
      <x:c r="D22" s="37" t="str">
        <x:v>Integrate certified formations within accepted service objectives</x:v>
      </x:c>
      <x:c r="E22" s="37" t="str">
        <x:v>Cannot own generating services, production roots or effect adjudication</x:v>
      </x:c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 ht="36" customHeight="1">
      <x:c r="A23" s="32" t="str">
        <x:v>Sovereign Compact and Custody Chamber</x:v>
      </x:c>
      <x:c r="B23" s="32" t="n">
        <x:v>1</x:v>
      </x:c>
      <x:c r="C23" s="32" t="str">
        <x:v>H5</x:v>
      </x:c>
      <x:c r="D23" s="37" t="str">
        <x:v>Bind invited request, nonrecall, host stop, data, transfer, release and exit</x:v>
      </x:c>
      <x:c r="E23" s="37" t="str">
        <x:v>Cannot treat treaty, access or security support as automatic command</x:v>
      </x:c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45" hidden="0" customWidth="1"/>
    <x:col min="4" max="4" width="48" hidden="0" customWidth="1"/>
    <x:col min="5" max="5" width="44" hidden="0" customWidth="1"/>
    <x:col min="6" max="6" width="62" hidden="0" customWidth="1"/>
    <x:col min="7" max="7" width="46" hidden="0" customWidth="1"/>
    <x:col min="8" max="8" width="20" hidden="0" customWidth="1"/>
  </x:cols>
  <x:sheetData>
    <x:row r="2">
      <x:c r="A2" s="27" t="str">
        <x:v>Seventeen-warrant national-power state machine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Every positive state has one issuer, one receiving institution, a separate negative authority, a rollback and an expiry.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Warrant</x:v>
      </x:c>
      <x:c r="B6" s="31" t="str">
        <x:v>State</x:v>
      </x:c>
      <x:c r="C6" s="31" t="str">
        <x:v>Issuer</x:v>
      </x:c>
      <x:c r="D6" s="31" t="str">
        <x:v>Mandatory receiver / cosigner</x:v>
      </x:c>
      <x:c r="E6" s="31" t="str">
        <x:v>Negative authority</x:v>
      </x:c>
      <x:c r="F6" s="31" t="str">
        <x:v>Positive artifact</x:v>
      </x:c>
      <x:c r="G6" s="31" t="str">
        <x:v>Rollback</x:v>
      </x:c>
      <x:c r="H6" s="31" t="str">
        <x:v>Maximum age</x:v>
      </x:c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 ht="43" customHeight="1">
      <x:c r="A7" s="32" t="str">
        <x:v>W01</x:v>
      </x:c>
      <x:c r="B7" s="37" t="str">
        <x:v>Enacted national guarantee</x:v>
      </x:c>
      <x:c r="C7" s="37" t="str">
        <x:v>Congress and President</x:v>
      </x:c>
      <x:c r="D7" s="37" t="str">
        <x:v>Secretary and Resilience Staff</x:v>
      </x:c>
      <x:c r="E7" s="37" t="str">
        <x:v>Rights and Scarcity Tribunal</x:v>
      </x:c>
      <x:c r="F7" s="37" t="str">
        <x:v>Public service guarantee</x:v>
      </x:c>
      <x:c r="G7" s="37" t="str">
        <x:v>Amend or sunset by law</x:v>
      </x:c>
      <x:c r="H7" s="37" t="str">
        <x:v>Statutory</x:v>
      </x:c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 ht="43" customHeight="1">
      <x:c r="A8" s="32" t="str">
        <x:v>W02</x:v>
      </x:c>
      <x:c r="B8" s="37" t="str">
        <x:v>Service-deficit order</x:v>
      </x:c>
      <x:c r="C8" s="37" t="str">
        <x:v>Civil Resilience Authority</x:v>
      </x:c>
      <x:c r="D8" s="37" t="str">
        <x:v>Civilian Effect Trustee</x:v>
      </x:c>
      <x:c r="E8" s="37" t="str">
        <x:v>Affected civil or sovereign receiver</x:v>
      </x:c>
      <x:c r="F8" s="37" t="str">
        <x:v>Population × effect × place × time deficit</x:v>
      </x:c>
      <x:c r="G8" s="37" t="str">
        <x:v>Withdraw or revise deficit</x:v>
      </x:c>
      <x:c r="H8" s="37" t="str">
        <x:v>Event / annual</x:v>
      </x:c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 ht="43" customHeight="1">
      <x:c r="A9" s="32" t="str">
        <x:v>W03</x:v>
      </x:c>
      <x:c r="B9" s="37" t="str">
        <x:v>Effect contract</x:v>
      </x:c>
      <x:c r="C9" s="37" t="str">
        <x:v>Civilian Effect Trustee</x:v>
      </x:c>
      <x:c r="D9" s="37" t="str">
        <x:v>Mission System Command</x:v>
      </x:c>
      <x:c r="E9" s="37" t="str">
        <x:v>Rights and Scarcity Tribunal</x:v>
      </x:c>
      <x:c r="F9" s="37" t="str">
        <x:v>Nonfungible denominator and acceptance rule</x:v>
      </x:c>
      <x:c r="G9" s="37" t="str">
        <x:v>Return to deficit definition</x:v>
      </x:c>
      <x:c r="H9" s="37" t="str">
        <x:v>Five years</x:v>
      </x:c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 ht="43" customHeight="1">
      <x:c r="A10" s="32" t="str">
        <x:v>W04</x:v>
      </x:c>
      <x:c r="B10" s="37" t="str">
        <x:v>Fiscal option</x:v>
      </x:c>
      <x:c r="C10" s="37" t="str">
        <x:v>Department Capital Board</x:v>
      </x:c>
      <x:c r="D10" s="37" t="str">
        <x:v>Public Allocation Ledger</x:v>
      </x:c>
      <x:c r="E10" s="37" t="str">
        <x:v>Congressional account boundary</x:v>
      </x:c>
      <x:c r="F10" s="37" t="str">
        <x:v>Capped and staged option authority</x:v>
      </x:c>
      <x:c r="G10" s="37" t="str">
        <x:v>Cancel and return balance</x:v>
      </x:c>
      <x:c r="H10" s="37" t="str">
        <x:v>Stage</x:v>
      </x:c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 ht="43" customHeight="1">
      <x:c r="A11" s="32" t="str">
        <x:v>W05</x:v>
      </x:c>
      <x:c r="B11" s="37" t="str">
        <x:v>Mission baseline</x:v>
      </x:c>
      <x:c r="C11" s="37" t="str">
        <x:v>Mission System Command</x:v>
      </x:c>
      <x:c r="D11" s="37" t="str">
        <x:v>Generating Services</x:v>
      </x:c>
      <x:c r="E11" s="37" t="str">
        <x:v>Civilian Effect Trustee</x:v>
      </x:c>
      <x:c r="F11" s="37" t="str">
        <x:v>Complete chain and failure model</x:v>
      </x:c>
      <x:c r="G11" s="37" t="str">
        <x:v>Return to effect contract</x:v>
      </x:c>
      <x:c r="H11" s="37" t="str">
        <x:v>Configuration</x:v>
      </x:c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 ht="43" customHeight="1">
      <x:c r="A12" s="32" t="str">
        <x:v>W06</x:v>
      </x:c>
      <x:c r="B12" s="37" t="str">
        <x:v>Controlled root</x:v>
      </x:c>
      <x:c r="C12" s="37" t="str">
        <x:v>Root House</x:v>
      </x:c>
      <x:c r="D12" s="37" t="str">
        <x:v>Mission System Command</x:v>
      </x:c>
      <x:c r="E12" s="37" t="str">
        <x:v>Industrial ancestry review</x:v>
      </x:c>
      <x:c r="F12" s="37" t="str">
        <x:v>Mechanism, interfaces and custody frozen</x:v>
      </x:c>
      <x:c r="G12" s="37" t="str">
        <x:v>Disqualify root</x:v>
      </x:c>
      <x:c r="H12" s="37" t="str">
        <x:v>Version</x:v>
      </x:c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 ht="43" customHeight="1">
      <x:c r="A13" s="32" t="str">
        <x:v>W07</x:v>
      </x:c>
      <x:c r="B13" s="37" t="str">
        <x:v>Technical release</x:v>
      </x:c>
      <x:c r="C13" s="37" t="str">
        <x:v>Generating Service</x:v>
      </x:c>
      <x:c r="D13" s="37" t="str">
        <x:v>Resilience Proving Service</x:v>
      </x:c>
      <x:c r="E13" s="37" t="str">
        <x:v>Service safety authority</x:v>
      </x:c>
      <x:c r="F13" s="37" t="str">
        <x:v>Article family and workforce safe for test</x:v>
      </x:c>
      <x:c r="G13" s="37" t="str">
        <x:v>Return to configuration</x:v>
      </x:c>
      <x:c r="H13" s="37" t="str">
        <x:v>Version / incident</x:v>
      </x:c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 ht="43" customHeight="1">
      <x:c r="A14" s="32" t="str">
        <x:v>W08</x:v>
      </x:c>
      <x:c r="B14" s="37" t="str">
        <x:v>Evidence disposition</x:v>
      </x:c>
      <x:c r="C14" s="37" t="str">
        <x:v>Resilience Proving Service</x:v>
      </x:c>
      <x:c r="D14" s="37" t="str">
        <x:v>Civilian Effect Trustee</x:v>
      </x:c>
      <x:c r="E14" s="37" t="str">
        <x:v>Outside replay authority</x:v>
      </x:c>
      <x:c r="F14" s="37" t="str">
        <x:v>Valid adverse or supporting evidence state</x:v>
      </x:c>
      <x:c r="G14" s="37" t="str">
        <x:v>Repeat only invalid attempt</x:v>
      </x:c>
      <x:c r="H14" s="37" t="str">
        <x:v>Evidence clock</x:v>
      </x:c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 ht="43" customHeight="1">
      <x:c r="A15" s="32" t="str">
        <x:v>W09</x:v>
      </x:c>
      <x:c r="B15" s="37" t="str">
        <x:v>Production availability</x:v>
      </x:c>
      <x:c r="C15" s="37" t="str">
        <x:v>Industrial Mobilization Administration</x:v>
      </x:c>
      <x:c r="D15" s="37" t="str">
        <x:v>Generating Service</x:v>
      </x:c>
      <x:c r="E15" s="37" t="str">
        <x:v>Cold-production auditor</x:v>
      </x:c>
      <x:c r="F15" s="37" t="str">
        <x:v>Complete accepted configuration from governed roots</x:v>
      </x:c>
      <x:c r="G15" s="37" t="str">
        <x:v>Remove production credit</x:v>
      </x:c>
      <x:c r="H15" s="37" t="str">
        <x:v>Annual</x:v>
      </x:c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 ht="43" customHeight="1">
      <x:c r="A16" s="32" t="str">
        <x:v>W10</x:v>
      </x:c>
      <x:c r="B16" s="37" t="str">
        <x:v>Formation warrant</x:v>
      </x:c>
      <x:c r="C16" s="37" t="str">
        <x:v>Generating Service</x:v>
      </x:c>
      <x:c r="D16" s="37" t="str">
        <x:v>Strategic Sustainment Command</x:v>
      </x:c>
      <x:c r="E16" s="37" t="str">
        <x:v>Resilience Proving Service</x:v>
      </x:c>
      <x:c r="F16" s="37" t="str">
        <x:v>Articles, crew, stocks, receiver and regeneration bound</x:v>
      </x:c>
      <x:c r="G16" s="37" t="str">
        <x:v>Return exact serial to HOLD</x:v>
      </x:c>
      <x:c r="H16" s="37" t="str">
        <x:v>Serial / 90 days</x:v>
      </x:c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 ht="43" customHeight="1">
      <x:c r="A17" s="32" t="str">
        <x:v>W11</x:v>
      </x:c>
      <x:c r="B17" s="37" t="str">
        <x:v>Readiness state</x:v>
      </x:c>
      <x:c r="C17" s="37" t="str">
        <x:v>Joint Capacity Authority</x:v>
      </x:c>
      <x:c r="D17" s="37" t="str">
        <x:v>Public Allocation Ledger</x:v>
      </x:c>
      <x:c r="E17" s="37" t="str">
        <x:v>Rights and Scarcity Tribunal</x:v>
      </x:c>
      <x:c r="F17" s="37" t="str">
        <x:v>Current family-complete ready serial</x:v>
      </x:c>
      <x:c r="G17" s="37" t="str">
        <x:v>Expire readiness</x:v>
      </x:c>
      <x:c r="H17" s="37" t="str">
        <x:v>90 days</x:v>
      </x:c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 ht="43" customHeight="1">
      <x:c r="A18" s="32" t="str">
        <x:v>W12</x:v>
      </x:c>
      <x:c r="B18" s="37" t="str">
        <x:v>Allocation order</x:v>
      </x:c>
      <x:c r="C18" s="37" t="str">
        <x:v>National Mobil and Allocation Command</x:v>
      </x:c>
      <x:c r="D18" s="37" t="str">
        <x:v>Operational Campaign Command</x:v>
      </x:c>
      <x:c r="E18" s="37" t="str">
        <x:v>Custody and rights authorities</x:v>
      </x:c>
      <x:c r="F18" s="37" t="str">
        <x:v>Collision-free serial, lift, receiver and reserve schedule</x:v>
      </x:c>
      <x:c r="G18" s="37" t="str">
        <x:v>Recompile exact claim</x:v>
      </x:c>
      <x:c r="H18" s="37" t="str">
        <x:v>Event</x:v>
      </x:c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 ht="43" customHeight="1">
      <x:c r="A19" s="32" t="str">
        <x:v>W13</x:v>
      </x:c>
      <x:c r="B19" s="37" t="str">
        <x:v>Lawful activation</x:v>
      </x:c>
      <x:c r="C19" s="37" t="str">
        <x:v>Civil Resilience Authority or bilateral sovereign warrant</x:v>
      </x:c>
      <x:c r="D19" s="37" t="str">
        <x:v>Operational Campaign Command</x:v>
      </x:c>
      <x:c r="E19" s="37" t="str">
        <x:v>Civil or host receiver</x:v>
      </x:c>
      <x:c r="F19" s="37" t="str">
        <x:v>Domestic predicate or accepted invited event warrant</x:v>
      </x:c>
      <x:c r="G19" s="37" t="str">
        <x:v>Stop or bilateral release</x:v>
      </x:c>
      <x:c r="H19" s="37" t="str">
        <x:v>Event</x:v>
      </x:c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 ht="43" customHeight="1">
      <x:c r="A20" s="32" t="str">
        <x:v>W14</x:v>
      </x:c>
      <x:c r="B20" s="37" t="str">
        <x:v>Campaign service</x:v>
      </x:c>
      <x:c r="C20" s="37" t="str">
        <x:v>Operational Campaign Command</x:v>
      </x:c>
      <x:c r="D20" s="37" t="str">
        <x:v>Civil or host receiver</x:v>
      </x:c>
      <x:c r="E20" s="37" t="str">
        <x:v>Technical, rights and safety authorities</x:v>
      </x:c>
      <x:c r="F20" s="37" t="str">
        <x:v>Complete service delivered at point of safe use</x:v>
      </x:c>
      <x:c r="G20" s="37" t="str">
        <x:v>Safe, remedy and replan</x:v>
      </x:c>
      <x:c r="H20" s="37" t="str">
        <x:v>Shift / phase</x:v>
      </x:c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 ht="43" customHeight="1">
      <x:c r="A21" s="32" t="str">
        <x:v>W15</x:v>
      </x:c>
      <x:c r="B21" s="37" t="str">
        <x:v>Civil acceptance and transfer</x:v>
      </x:c>
      <x:c r="C21" s="37" t="str">
        <x:v>Civil or host receiver</x:v>
      </x:c>
      <x:c r="D21" s="37" t="str">
        <x:v>Civilian Effect Trustee</x:v>
      </x:c>
      <x:c r="E21" s="37" t="str">
        <x:v>Receiver stop and appeal authority</x:v>
      </x:c>
      <x:c r="F21" s="37" t="str">
        <x:v>Accepted service, residual, custody and transfer state</x:v>
      </x:c>
      <x:c r="G21" s="37" t="str">
        <x:v>Revoke, remedy or reopen service</x:v>
      </x:c>
      <x:c r="H21" s="37" t="str">
        <x:v>Event / 365 days</x:v>
      </x:c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 ht="43" customHeight="1">
      <x:c r="A22" s="32" t="str">
        <x:v>W16</x:v>
      </x:c>
      <x:c r="B22" s="37" t="str">
        <x:v>Effect disposition</x:v>
      </x:c>
      <x:c r="C22" s="37" t="str">
        <x:v>Civilian Effect Trustee</x:v>
      </x:c>
      <x:c r="D22" s="37" t="str">
        <x:v>Department Capital Board</x:v>
      </x:c>
      <x:c r="E22" s="37" t="str">
        <x:v>Resilience Proving Service</x:v>
      </x:c>
      <x:c r="F22" s="37" t="str">
        <x:v>Observed, unobserved, adverse or admitted strategic effect</x:v>
      </x:c>
      <x:c r="G22" s="37" t="str">
        <x:v>Hold, resize, redesign or kill</x:v>
      </x:c>
      <x:c r="H22" s="37" t="str">
        <x:v>Evidence clock</x:v>
      </x:c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 ht="43" customHeight="1">
      <x:c r="A23" s="32" t="str">
        <x:v>W17</x:v>
      </x:c>
      <x:c r="B23" s="37" t="str">
        <x:v>Regenerated serial</x:v>
      </x:c>
      <x:c r="C23" s="37" t="str">
        <x:v>Strategic Sustainment Command</x:v>
      </x:c>
      <x:c r="D23" s="37" t="str">
        <x:v>Joint Capacity Authority</x:v>
      </x:c>
      <x:c r="E23" s="37" t="str">
        <x:v>Generating Service</x:v>
      </x:c>
      <x:c r="F23" s="37" t="str">
        <x:v>Restored configuration, crew, stock and evidence state</x:v>
      </x:c>
      <x:c r="G23" s="37" t="str">
        <x:v>Remain outside ready pool</x:v>
      </x:c>
      <x:c r="H23" s="37" t="str">
        <x:v>Serial</x:v>
      </x:c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5" hidden="0" customWidth="1"/>
    <x:col min="4" max="4" width="87" hidden="0" customWidth="1"/>
  </x:cols>
  <x:sheetData>
    <x:row r="2">
      <x:c r="A2" s="27" t="str">
        <x:v>Eighteen nondelegation laws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A preceding state never implies its successor, even under emergency, scale or prestige pressure.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Law</x:v>
      </x:c>
      <x:c r="B6" s="31" t="str">
        <x:v>From</x:v>
      </x:c>
      <x:c r="C6" s="31" t="str">
        <x:v>Must not become</x:v>
      </x:c>
      <x:c r="D6" s="31" t="str">
        <x:v>Binding interpretation</x:v>
      </x:c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n">
        <x:v>1</x:v>
      </x:c>
      <x:c r="B7" s="37" t="str">
        <x:v>Executive direction</x:v>
      </x:c>
      <x:c r="C7" s="37" t="str">
        <x:v>Technical or evidentiary fact</x:v>
      </x:c>
      <x:c r="D7" s="37" t="str">
        <x:v>Priority can select a question, not its answer</x:v>
      </x:c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n">
        <x:v>2</x:v>
      </x:c>
      <x:c r="B8" s="37" t="str">
        <x:v>Emergency urgency</x:v>
      </x:c>
      <x:c r="C8" s="37" t="str">
        <x:v>Waiver of a missing warrant</x:v>
      </x:c>
      <x:c r="D8" s="37" t="str">
        <x:v>Only already-certified fallback capacity may accelerate</x:v>
      </x:c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n">
        <x:v>3</x:v>
      </x:c>
      <x:c r="B9" s="37" t="str">
        <x:v>Appropriation</x:v>
      </x:c>
      <x:c r="C9" s="37" t="str">
        <x:v>Capability</x:v>
      </x:c>
      <x:c r="D9" s="37" t="str">
        <x:v>Money opens an option and creates no physical credit</x:v>
      </x:c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n">
        <x:v>4</x:v>
      </x:c>
      <x:c r="B10" s="37" t="str">
        <x:v>Mission ownership</x:v>
      </x:c>
      <x:c r="C10" s="37" t="str">
        <x:v>Service technical release</x:v>
      </x:c>
      <x:c r="D10" s="37" t="str">
        <x:v>Integration cannot license a profession or article family</x:v>
      </x:c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n">
        <x:v>5</x:v>
      </x:c>
      <x:c r="B11" s="37" t="str">
        <x:v>Service release</x:v>
      </x:c>
      <x:c r="C11" s="37" t="str">
        <x:v>Independent evidence</x:v>
      </x:c>
      <x:c r="D11" s="37" t="str">
        <x:v>Safety release cannot adjudicate causal success</x:v>
      </x:c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n">
        <x:v>6</x:v>
      </x:c>
      <x:c r="B12" s="37" t="str">
        <x:v>Evidence</x:v>
      </x:c>
      <x:c r="C12" s="37" t="str">
        <x:v>Capital renewal</x:v>
      </x:c>
      <x:c r="D12" s="37" t="str">
        <x:v>Valid evidence informs but does not appropriate</x:v>
      </x:c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n">
        <x:v>7</x:v>
      </x:c>
      <x:c r="B13" s="37" t="str">
        <x:v>Industry</x:v>
      </x:c>
      <x:c r="C13" s="37" t="str">
        <x:v>Formation</x:v>
      </x:c>
      <x:c r="D13" s="37" t="str">
        <x:v>Factories, jobs and output do not bind a complete serial</x:v>
      </x:c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n">
        <x:v>8</x:v>
      </x:c>
      <x:c r="B14" s="37" t="str">
        <x:v>Formation</x:v>
      </x:c>
      <x:c r="C14" s="37" t="str">
        <x:v>Readiness</x:v>
      </x:c>
      <x:c r="D14" s="37" t="str">
        <x:v>A formation without current warrants remains HOLD</x:v>
      </x:c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n">
        <x:v>9</x:v>
      </x:c>
      <x:c r="B15" s="37" t="str">
        <x:v>Readiness</x:v>
      </x:c>
      <x:c r="C15" s="37" t="str">
        <x:v>Allocation</x:v>
      </x:c>
      <x:c r="D15" s="37" t="str">
        <x:v>A ready serial can still be unavailable because another claim owns it</x:v>
      </x:c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n">
        <x:v>10</x:v>
      </x:c>
      <x:c r="B16" s="37" t="str">
        <x:v>Claim</x:v>
      </x:c>
      <x:c r="C16" s="37" t="str">
        <x:v>Activation</x:v>
      </x:c>
      <x:c r="D16" s="37" t="str">
        <x:v>An admitted need does not create civil or host consent</x:v>
      </x:c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32" t="n">
        <x:v>11</x:v>
      </x:c>
      <x:c r="B17" s="37" t="str">
        <x:v>Invitation or treaty</x:v>
      </x:c>
      <x:c r="C17" s="37" t="str">
        <x:v>Automatic entry</x:v>
      </x:c>
      <x:c r="D17" s="37" t="str">
        <x:v>Event-specific request and acceptance remain mandatory</x:v>
      </x:c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32" t="n">
        <x:v>12</x:v>
      </x:c>
      <x:c r="B18" s="37" t="str">
        <x:v>Access</x:v>
      </x:c>
      <x:c r="C18" s="37" t="str">
        <x:v>Command</x:v>
      </x:c>
      <x:c r="D18" s="37" t="str">
        <x:v>Ports, corridors, data and facilities retain receiver custody</x:v>
      </x:c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32" t="n">
        <x:v>13</x:v>
      </x:c>
      <x:c r="B19" s="37" t="str">
        <x:v>Security support</x:v>
      </x:c>
      <x:c r="C19" s="37" t="str">
        <x:v>Mission ownership</x:v>
      </x:c>
      <x:c r="D19" s="37" t="str">
        <x:v>Protection cannot inherit the public-service command</x:v>
      </x:c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32" t="n">
        <x:v>14</x:v>
      </x:c>
      <x:c r="B20" s="37" t="str">
        <x:v>Domestic urgency</x:v>
      </x:c>
      <x:c r="C20" s="37" t="str">
        <x:v>Unilateral international recall</x:v>
      </x:c>
      <x:c r="D20" s="37" t="str">
        <x:v>Accepted invited serials require bilateral release</x:v>
      </x:c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32" t="n">
        <x:v>15</x:v>
      </x:c>
      <x:c r="B21" s="37" t="str">
        <x:v>Bridge or delivered output</x:v>
      </x:c>
      <x:c r="C21" s="37" t="str">
        <x:v>Campaign effect</x:v>
      </x:c>
      <x:c r="D21" s="37" t="str">
        <x:v>Complete rights, transfer, causality and persistence remain required</x:v>
      </x:c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32" t="n">
        <x:v>16</x:v>
      </x:c>
      <x:c r="B22" s="37" t="str">
        <x:v>Partner capacity</x:v>
      </x:c>
      <x:c r="C22" s="37" t="str">
        <x:v>U.S. readiness</x:v>
      </x:c>
      <x:c r="D22" s="37" t="str">
        <x:v>Partner-owned capability never becomes a U.S. formation</x:v>
      </x:c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32" t="n">
        <x:v>17</x:v>
      </x:c>
      <x:c r="B23" s="37" t="str">
        <x:v>Market revenue</x:v>
      </x:c>
      <x:c r="C23" s="37" t="str">
        <x:v>Appropriation or readiness</x:v>
      </x:c>
      <x:c r="D23" s="37" t="str">
        <x:v>Commercial activity remains a separate economic ledger</x:v>
      </x:c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32" t="n">
        <x:v>18</x:v>
      </x:c>
      <x:c r="B24" s="37" t="str">
        <x:v>History or prestige</x:v>
      </x:c>
      <x:c r="C24" s="37" t="str">
        <x:v>Current authority or renewal</x:v>
      </x:c>
      <x:c r="D24" s="37" t="str">
        <x:v>Authority expires and repeated valid failure terminates</x:v>
      </x:c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17" hidden="0" customWidth="1"/>
    <x:col min="3" max="3" width="92" hidden="0" customWidth="1"/>
  </x:cols>
  <x:sheetData>
    <x:row r="2">
      <x:c r="A2" s="27" t="str">
        <x:v>Secretary powers and prohibitions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The Secretary owns political direction and institutional continuity, not factual override.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Power</x:v>
      </x:c>
      <x:c r="B6" s="31" t="str">
        <x:v>Permitted</x:v>
      </x:c>
      <x:c r="C6" s="31" t="str">
        <x:v>Boundary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Set Department portfolio priority</x:v>
      </x:c>
      <x:c r="B7" s="32" t="str">
        <x:v>YES</x:v>
      </x:c>
      <x:c r="C7" s="37" t="str">
        <x:v>Within enacted guarantee and published scarcity law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Submit or veto a budget proposal</x:v>
      </x:c>
      <x:c r="B8" s="32" t="str">
        <x:v>YES</x:v>
      </x:c>
      <x:c r="C8" s="37" t="str">
        <x:v>Cannot spend outside an enacted account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Convene houses and require an answer</x:v>
      </x:c>
      <x:c r="B9" s="32" t="str">
        <x:v>YES</x:v>
      </x:c>
      <x:c r="C9" s="37" t="str">
        <x:v>Silence remains HOLD; convening is not approval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Compel disclosure and outside replay</x:v>
      </x:c>
      <x:c r="B10" s="32" t="str">
        <x:v>YES</x:v>
      </x:c>
      <x:c r="C10" s="37" t="str">
        <x:v>Cannot select the evidence disposition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Order an alternate root or certified fallback</x:v>
      </x:c>
      <x:c r="B11" s="32" t="str">
        <x:v>YES</x:v>
      </x:c>
      <x:c r="C11" s="37" t="str">
        <x:v>Must preserve root independence and existing warrants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Suspend unsafe employment</x:v>
      </x:c>
      <x:c r="B12" s="32" t="str">
        <x:v>YES</x:v>
      </x:c>
      <x:c r="C12" s="37" t="str">
        <x:v>Suspension creates no positive technical claim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Certify technical performance or safety</x:v>
      </x:c>
      <x:c r="B13" s="36" t="str">
        <x:v>NO</x:v>
      </x:c>
      <x:c r="C13" s="37" t="str">
        <x:v>Generating service and Proving Service retain their warrants</x:v>
      </x:c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Declare a source-empty formation ready</x:v>
      </x:c>
      <x:c r="B14" s="36" t="str">
        <x:v>NO</x:v>
      </x:c>
      <x:c r="C14" s="37" t="str">
        <x:v>Joint Capacity Authority alone owns readiness</x:v>
      </x:c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str">
        <x:v>Override receiver or host revocation</x:v>
      </x:c>
      <x:c r="B15" s="36" t="str">
        <x:v>NO</x:v>
      </x:c>
      <x:c r="C15" s="37" t="str">
        <x:v>Consent and custody remain sovereign</x:v>
      </x:c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str">
        <x:v>Recall an accepted invited serial unilaterally</x:v>
      </x:c>
      <x:c r="B16" s="36" t="str">
        <x:v>NO</x:v>
      </x:c>
      <x:c r="C16" s="37" t="str">
        <x:v>Bilateral release is required</x:v>
      </x:c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32" t="str">
        <x:v>Count partner capacity as U.S. readiness</x:v>
      </x:c>
      <x:c r="B17" s="36" t="str">
        <x:v>NO</x:v>
      </x:c>
      <x:c r="C17" s="37" t="str">
        <x:v>Ownership and readiness ledgers remain separate</x:v>
      </x:c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32" t="str">
        <x:v>Retain a failed branch for prestige</x:v>
      </x:c>
      <x:c r="B18" s="36" t="str">
        <x:v>NO</x:v>
      </x:c>
      <x:c r="C18" s="37" t="str">
        <x:v>Termination and public evidence survive executive preference</x:v>
      </x:c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05" hidden="0" customWidth="1"/>
  </x:cols>
  <x:sheetData>
    <x:row r="2">
      <x:c r="A2" s="27" t="str">
        <x:v>Deadlock and emergency law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Delay is resolved by bounded alternates, exact rollback and certified fallback capacity rather than authority migration.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Rule</x:v>
      </x:c>
      <x:c r="B6" s="31" t="str">
        <x:v>Condition</x:v>
      </x:c>
      <x:c r="C6" s="31" t="str">
        <x:v>Disposition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D1</x:v>
      </x:c>
      <x:c r="B7" s="37" t="str">
        <x:v>Silence</x:v>
      </x:c>
      <x:c r="C7" s="37" t="str">
        <x:v>HOLD at the last valid state; no deemed approval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D2</x:v>
      </x:c>
      <x:c r="B8" s="37" t="str">
        <x:v>Typed disagreement</x:v>
      </x:c>
      <x:c r="C8" s="37" t="str">
        <x:v>Return to the exact warrant whose issuer and negative authority disagree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D3</x:v>
      </x:c>
      <x:c r="B9" s="37" t="str">
        <x:v>Clock expiry</x:v>
      </x:c>
      <x:c r="C9" s="37" t="str">
        <x:v>Expire current authority without erasing the historical record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D4</x:v>
      </x:c>
      <x:c r="B10" s="37" t="str">
        <x:v>Emergency time pressure</x:v>
      </x:c>
      <x:c r="C10" s="37" t="str">
        <x:v>Use a certified fallback or reduce the service promise; never waive proof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D5</x:v>
      </x:c>
      <x:c r="B11" s="37" t="str">
        <x:v>Rights or consent conflict</x:v>
      </x:c>
      <x:c r="C11" s="37" t="str">
        <x:v>Stop affected employment, preserve safe service and open remedy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D6</x:v>
      </x:c>
      <x:c r="B12" s="37" t="str">
        <x:v>Capacity collision</x:v>
      </x:c>
      <x:c r="C12" s="37" t="str">
        <x:v>NMAC recompiles; aggregate slack cannot fill a missing family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D7</x:v>
      </x:c>
      <x:c r="B13" s="37" t="str">
        <x:v>Repeated valid failure</x:v>
      </x:c>
      <x:c r="C13" s="37" t="str">
        <x:v>Kill the root or employment branch and return unused authority</x:v>
      </x:c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D8</x:v>
      </x:c>
      <x:c r="B14" s="37" t="str">
        <x:v>House incapacitation</x:v>
      </x:c>
      <x:c r="C14" s="37" t="str">
        <x:v>Named statutory alternate may execute the same bounded warrant; powers do not migrate</x:v>
      </x:c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9" hidden="0" customWidth="1"/>
    <x:col min="3" max="3" width="16" hidden="0" customWidth="1"/>
    <x:col min="4" max="4" width="24" hidden="0" customWidth="1"/>
    <x:col min="5" max="5" width="20" hidden="0" customWidth="1"/>
    <x:col min="6" max="6" width="29" hidden="0" customWidth="1"/>
  </x:cols>
  <x:sheetData>
    <x:row r="2">
      <x:c r="A2" s="27" t="str">
        <x:v>Six mission-system integration chains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Mission systems own complete failure chains while effects, professions, evidence and employment remain outside them.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ID</x:v>
      </x:c>
      <x:c r="B6" s="31" t="str">
        <x:v>Mission system</x:v>
      </x:c>
      <x:c r="C6" s="31" t="str">
        <x:v>Families</x:v>
      </x:c>
      <x:c r="D6" s="31" t="str">
        <x:v>Concurrent demand</x:v>
      </x:c>
      <x:c r="E6" s="31" t="str">
        <x:v>N−1 inventory</x:v>
      </x:c>
      <x:c r="F6" s="31" t="str">
        <x:v>Technology allocation USD B</x:v>
      </x:c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MS-ET</x:v>
      </x:c>
      <x:c r="B7" s="37" t="str">
        <x:v>Enter a broken theater</x:v>
      </x:c>
      <x:c r="C7" s="32" t="n">
        <x:v>9</x:v>
      </x:c>
      <x:c r="D7" s="32" t="n">
        <x:v>369</x:v>
      </x:c>
      <x:c r="E7" s="32" t="n">
        <x:v>827</x:v>
      </x:c>
      <x:c r="F7" s="39" t="n">
        <x:v>89.02339608008444</x:v>
      </x:c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MS-CT</x:v>
      </x:c>
      <x:c r="B8" s="37" t="str">
        <x:v>Reach occupied civil terrain</x:v>
      </x:c>
      <x:c r="C8" s="32" t="n">
        <x:v>6</x:v>
      </x:c>
      <x:c r="D8" s="32" t="n">
        <x:v>343</x:v>
      </x:c>
      <x:c r="E8" s="32" t="n">
        <x:v>724</x:v>
      </x:c>
      <x:c r="F8" s="39" t="n">
        <x:v>91.87279861858138</x:v>
      </x:c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MS-HC</x:v>
      </x:c>
      <x:c r="B9" s="37" t="str">
        <x:v>Control an active hazard</x:v>
      </x:c>
      <x:c r="C9" s="32" t="n">
        <x:v>4</x:v>
      </x:c>
      <x:c r="D9" s="32" t="n">
        <x:v>170</x:v>
      </x:c>
      <x:c r="E9" s="32" t="n">
        <x:v>370</x:v>
      </x:c>
      <x:c r="F9" s="39" t="n">
        <x:v>54.64795617252303</x:v>
      </x:c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MS-LF</x:v>
      </x:c>
      <x:c r="B10" s="37" t="str">
        <x:v>Produce and distribute lifelines</x:v>
      </x:c>
      <x:c r="C10" s="32" t="n">
        <x:v>5</x:v>
      </x:c>
      <x:c r="D10" s="32" t="n">
        <x:v>256</x:v>
      </x:c>
      <x:c r="E10" s="32" t="n">
        <x:v>554</x:v>
      </x:c>
      <x:c r="F10" s="39" t="n">
        <x:v>71.95302554564509</x:v>
      </x:c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MS-HU</x:v>
      </x:c>
      <x:c r="B11" s="37" t="str">
        <x:v>Preserve care and human continuity</x:v>
      </x:c>
      <x:c r="C11" s="32" t="n">
        <x:v>15</x:v>
      </x:c>
      <x:c r="D11" s="32" t="n">
        <x:v>879</x:v>
      </x:c>
      <x:c r="E11" s="32" t="n">
        <x:v>1944</x:v>
      </x:c>
      <x:c r="F11" s="40" t="n">
        <x:v>153.1017614897401</x:v>
      </x:c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MS-RT</x:v>
      </x:c>
      <x:c r="B12" s="37" t="str">
        <x:v>Sustain, transfer and regenerate</x:v>
      </x:c>
      <x:c r="C12" s="32" t="n">
        <x:v>9</x:v>
      </x:c>
      <x:c r="D12" s="32" t="n">
        <x:v>403</x:v>
      </x:c>
      <x:c r="E12" s="32" t="n">
        <x:v>832</x:v>
      </x:c>
      <x:c r="F12" s="39" t="n">
        <x:v>89.40106209342595</x:v>
      </x:c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41" t="str">
        <x:v>Total</x:v>
      </x:c>
      <x:c r="B15" s="41" t="str">
        <x:v>Name</x:v>
      </x:c>
      <x:c r="C15" s="41" t="str">
        <x:v>Families</x:v>
      </x:c>
      <x:c r="D15" s="41" t="str">
        <x:v>Demand</x:v>
      </x:c>
      <x:c r="E15" s="41" t="str">
        <x:v>Inventory</x:v>
      </x:c>
      <x:c r="F15" s="41" t="str">
        <x:v>Technology</x:v>
      </x:c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8" t="str">
        <x:v>Portfolio</x:v>
      </x:c>
      <x:c r="B16" s="38"/>
      <x:c r="C16" s="38" t="n">
        <x:f>SUM(C7:C12)</x:f>
        <x:v>48</x:v>
      </x:c>
      <x:c r="D16" s="38" t="n">
        <x:f>SUM(D7:D12)</x:f>
        <x:v>2420</x:v>
      </x:c>
      <x:c r="E16" s="38" t="n">
        <x:f>SUM(E7:E12)</x:f>
        <x:v>5251</x:v>
      </x:c>
      <x:c r="F16" s="42" t="n">
        <x:f>SUM(F7:F12)</x:f>
        <x:v>550</x:v>
      </x:c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18" hidden="0" customWidth="1"/>
    <x:col min="5" max="5" width="22" hidden="0" customWidth="1"/>
    <x:col min="6" max="6" width="27" hidden="0" customWidth="1"/>
    <x:col min="7" max="7" width="22" hidden="0" customWidth="1"/>
    <x:col min="8" max="8" width="27" hidden="0" customWidth="1"/>
    <x:col min="9" max="9" width="31" hidden="0" customWidth="1"/>
    <x:col min="10" max="10" width="17" hidden="0" customWidth="1"/>
    <x:col min="11" max="11" width="15" hidden="0" customWidth="1"/>
  </x:cols>
  <x:sheetData>
    <x:row r="2">
      <x:c r="A2" s="27" t="str">
        <x:v>Mission-system demand by generating service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Twenty-two active service work-package pairs account for all 2,420 committed formation demands.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Mission system</x:v>
      </x:c>
      <x:c r="B6" s="31" t="str">
        <x:v>Joint</x:v>
      </x:c>
      <x:c r="C6" s="31" t="str">
        <x:v>Land Engineering</x:v>
      </x:c>
      <x:c r="D6" s="31" t="str">
        <x:v>Air Response</x:v>
      </x:c>
      <x:c r="E6" s="31" t="str">
        <x:v>Maritime Response</x:v>
      </x:c>
      <x:c r="F6" s="31" t="str">
        <x:v>Infrastructure Restoration</x:v>
      </x:c>
      <x:c r="G6" s="31" t="str">
        <x:v>Health Protection</x:v>
      </x:c>
      <x:c r="H6" s="31" t="str">
        <x:v>Community Stabilization</x:v>
      </x:c>
      <x:c r="I6" s="31" t="str">
        <x:v>Civil Mobility and Continuity</x:v>
      </x:c>
      <x:c r="J6" s="31" t="str">
        <x:v>Active pairs</x:v>
      </x:c>
      <x:c r="K6" s="31" t="str">
        <x:v>Demand</x:v>
      </x:c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MS-ET</x:v>
      </x:c>
      <x:c r="B7" s="32" t="n">
        <x:v>23</x:v>
      </x:c>
      <x:c r="C7" s="32" t="n">
        <x:v>123</x:v>
      </x:c>
      <x:c r="D7" s="32" t="n">
        <x:v>125</x:v>
      </x:c>
      <x:c r="E7" s="32" t="n">
        <x:v>98</x:v>
      </x:c>
      <x:c r="F7" s="32" t="n">
        <x:v>0</x:v>
      </x:c>
      <x:c r="G7" s="32" t="n">
        <x:v>0</x:v>
      </x:c>
      <x:c r="H7" s="32" t="n">
        <x:v>0</x:v>
      </x:c>
      <x:c r="I7" s="32" t="n">
        <x:v>0</x:v>
      </x:c>
      <x:c r="J7" s="32" t="n">
        <x:f>COUNTIF(B7:I7,"&gt;0")</x:f>
        <x:v>4</x:v>
      </x:c>
      <x:c r="K7" s="32" t="n">
        <x:f>SUM(B7:I7)</x:f>
        <x:v>369</x:v>
      </x:c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MS-CT</x:v>
      </x:c>
      <x:c r="B8" s="32" t="n">
        <x:v>93</x:v>
      </x:c>
      <x:c r="C8" s="32" t="n">
        <x:v>0</x:v>
      </x:c>
      <x:c r="D8" s="32" t="n">
        <x:v>40</x:v>
      </x:c>
      <x:c r="E8" s="32" t="n">
        <x:v>0</x:v>
      </x:c>
      <x:c r="F8" s="32" t="n">
        <x:v>59</x:v>
      </x:c>
      <x:c r="G8" s="32" t="n">
        <x:v>0</x:v>
      </x:c>
      <x:c r="H8" s="32" t="n">
        <x:v>82</x:v>
      </x:c>
      <x:c r="I8" s="32" t="n">
        <x:v>69</x:v>
      </x:c>
      <x:c r="J8" s="32" t="n">
        <x:f>COUNTIF(B8:I8,"&gt;0")</x:f>
        <x:v>5</x:v>
      </x:c>
      <x:c r="K8" s="32" t="n">
        <x:f>SUM(B8:I8)</x:f>
        <x:v>343</x:v>
      </x:c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MS-HC</x:v>
      </x:c>
      <x:c r="B9" s="32" t="n">
        <x:v>0</x:v>
      </x:c>
      <x:c r="C9" s="32" t="n">
        <x:v>148</x:v>
      </x:c>
      <x:c r="D9" s="32" t="n">
        <x:v>22</x:v>
      </x:c>
      <x:c r="E9" s="32" t="n">
        <x:v>0</x:v>
      </x:c>
      <x:c r="F9" s="32" t="n">
        <x:v>0</x:v>
      </x:c>
      <x:c r="G9" s="32" t="n">
        <x:v>0</x:v>
      </x:c>
      <x:c r="H9" s="32" t="n">
        <x:v>0</x:v>
      </x:c>
      <x:c r="I9" s="32" t="n">
        <x:v>0</x:v>
      </x:c>
      <x:c r="J9" s="32" t="n">
        <x:f>COUNTIF(B9:I9,"&gt;0")</x:f>
        <x:v>2</x:v>
      </x:c>
      <x:c r="K9" s="32" t="n">
        <x:f>SUM(B9:I9)</x:f>
        <x:v>170</x:v>
      </x:c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MS-LF</x:v>
      </x:c>
      <x:c r="B10" s="32" t="n">
        <x:v>0</x:v>
      </x:c>
      <x:c r="C10" s="32" t="n">
        <x:v>0</x:v>
      </x:c>
      <x:c r="D10" s="32" t="n">
        <x:v>0</x:v>
      </x:c>
      <x:c r="E10" s="32" t="n">
        <x:v>28</x:v>
      </x:c>
      <x:c r="F10" s="32" t="n">
        <x:v>228</x:v>
      </x:c>
      <x:c r="G10" s="32" t="n">
        <x:v>0</x:v>
      </x:c>
      <x:c r="H10" s="32" t="n">
        <x:v>0</x:v>
      </x:c>
      <x:c r="I10" s="32" t="n">
        <x:v>0</x:v>
      </x:c>
      <x:c r="J10" s="32" t="n">
        <x:f>COUNTIF(B10:I10,"&gt;0")</x:f>
        <x:v>2</x:v>
      </x:c>
      <x:c r="K10" s="32" t="n">
        <x:f>SUM(B10:I10)</x:f>
        <x:v>256</x:v>
      </x:c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MS-HU</x:v>
      </x:c>
      <x:c r="B11" s="32" t="n">
        <x:v>0</x:v>
      </x:c>
      <x:c r="C11" s="32" t="n">
        <x:v>0</x:v>
      </x:c>
      <x:c r="D11" s="32" t="n">
        <x:v>31</x:v>
      </x:c>
      <x:c r="E11" s="32" t="n">
        <x:v>0</x:v>
      </x:c>
      <x:c r="F11" s="32" t="n">
        <x:v>0</x:v>
      </x:c>
      <x:c r="G11" s="32" t="n">
        <x:v>318</x:v>
      </x:c>
      <x:c r="H11" s="32" t="n">
        <x:v>295</x:v>
      </x:c>
      <x:c r="I11" s="32" t="n">
        <x:v>235</x:v>
      </x:c>
      <x:c r="J11" s="32" t="n">
        <x:f>COUNTIF(B11:I11,"&gt;0")</x:f>
        <x:v>4</x:v>
      </x:c>
      <x:c r="K11" s="32" t="n">
        <x:f>SUM(B11:I11)</x:f>
        <x:v>879</x:v>
      </x:c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MS-RT</x:v>
      </x:c>
      <x:c r="B12" s="32" t="n">
        <x:v>89</x:v>
      </x:c>
      <x:c r="C12" s="32" t="n">
        <x:v>0</x:v>
      </x:c>
      <x:c r="D12" s="32" t="n">
        <x:v>0</x:v>
      </x:c>
      <x:c r="E12" s="32" t="n">
        <x:v>62</x:v>
      </x:c>
      <x:c r="F12" s="32" t="n">
        <x:v>73</x:v>
      </x:c>
      <x:c r="G12" s="32" t="n">
        <x:v>0</x:v>
      </x:c>
      <x:c r="H12" s="32" t="n">
        <x:v>121</x:v>
      </x:c>
      <x:c r="I12" s="32" t="n">
        <x:v>58</x:v>
      </x:c>
      <x:c r="J12" s="32" t="n">
        <x:f>COUNTIF(B12:I12,"&gt;0")</x:f>
        <x:v>5</x:v>
      </x:c>
      <x:c r="K12" s="32" t="n">
        <x:f>SUM(B12:I12)</x:f>
        <x:v>403</x:v>
      </x:c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41" t="str">
        <x:v>Mission system</x:v>
      </x:c>
      <x:c r="B15" s="41" t="str">
        <x:v>Joint</x:v>
      </x:c>
      <x:c r="C15" s="41" t="str">
        <x:v>Land Engineering</x:v>
      </x:c>
      <x:c r="D15" s="41" t="str">
        <x:v>Air Response</x:v>
      </x:c>
      <x:c r="E15" s="41" t="str">
        <x:v>Maritime Response</x:v>
      </x:c>
      <x:c r="F15" s="41" t="str">
        <x:v>Infrastructure Restoration</x:v>
      </x:c>
      <x:c r="G15" s="41" t="str">
        <x:v>Health Protection</x:v>
      </x:c>
      <x:c r="H15" s="41" t="str">
        <x:v>Community Stabilization</x:v>
      </x:c>
      <x:c r="I15" s="41" t="str">
        <x:v>Civil Mobility and Continuity</x:v>
      </x:c>
      <x:c r="J15" s="41" t="str">
        <x:v>Active pairs</x:v>
      </x:c>
      <x:c r="K15" s="41" t="str">
        <x:v>Demand</x:v>
      </x:c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8" t="str">
        <x:v>Total</x:v>
      </x:c>
      <x:c r="B16" s="38" t="n">
        <x:f>SUM(B7:B12)</x:f>
        <x:v>205</x:v>
      </x:c>
      <x:c r="C16" s="38" t="n">
        <x:f>SUM(C7:C12)</x:f>
        <x:v>271</x:v>
      </x:c>
      <x:c r="D16" s="38" t="n">
        <x:f>SUM(D7:D12)</x:f>
        <x:v>218</x:v>
      </x:c>
      <x:c r="E16" s="38" t="n">
        <x:f>SUM(E7:E12)</x:f>
        <x:v>188</x:v>
      </x:c>
      <x:c r="F16" s="38" t="n">
        <x:f>SUM(F7:F12)</x:f>
        <x:v>360</x:v>
      </x:c>
      <x:c r="G16" s="38" t="n">
        <x:f>SUM(G7:G12)</x:f>
        <x:v>318</x:v>
      </x:c>
      <x:c r="H16" s="38" t="n">
        <x:f>SUM(H7:H12)</x:f>
        <x:v>498</x:v>
      </x:c>
      <x:c r="I16" s="38" t="n">
        <x:f>SUM(I7:I12)</x:f>
        <x:v>362</x:v>
      </x:c>
      <x:c r="J16" s="38" t="n">
        <x:f>SUM(J7:J12)</x:f>
        <x:v>22</x:v>
      </x:c>
      <x:c r="K16" s="38" t="n">
        <x:f>SUM(K7:K12)</x:f>
        <x:v>2420</x:v>
      </x:c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8" hidden="0" customWidth="1"/>
    <x:col min="3" max="3" width="14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</x:cols>
  <x:sheetData>
    <x:row r="2">
      <x:c r="A2" s="27" t="str">
        <x:v>Nine nonfungible public-effect ledgers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Rows are acceptance questions, not program offices. Mission columns show inherited committed demand.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ID</x:v>
      </x:c>
      <x:c r="B6" s="31" t="str">
        <x:v>Public effect</x:v>
      </x:c>
      <x:c r="C6" s="31" t="str">
        <x:v>Families</x:v>
      </x:c>
      <x:c r="D6" s="31" t="str">
        <x:v>Primary demand</x:v>
      </x:c>
      <x:c r="E6" s="31" t="str">
        <x:v>MS-ET</x:v>
      </x:c>
      <x:c r="F6" s="31" t="str">
        <x:v>MS-CT</x:v>
      </x:c>
      <x:c r="G6" s="31" t="str">
        <x:v>MS-HC</x:v>
      </x:c>
      <x:c r="H6" s="31" t="str">
        <x:v>MS-LF</x:v>
      </x:c>
      <x:c r="I6" s="31" t="str">
        <x:v>MS-HU</x:v>
      </x:c>
      <x:c r="J6" s="31" t="str">
        <x:v>MS-RT</x:v>
      </x:c>
      <x:c r="K6" s="31" t="str">
        <x:v>Reconciled</x:v>
      </x:c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EL-01</x:v>
      </x:c>
      <x:c r="B7" s="37" t="str">
        <x:v>Civil coordination, safety and public information</x:v>
      </x:c>
      <x:c r="C7" s="32" t="n">
        <x:v>3</x:v>
      </x:c>
      <x:c r="D7" s="32" t="n">
        <x:v>139</x:v>
      </x:c>
      <x:c r="E7" s="32" t="n">
        <x:v>0</x:v>
      </x:c>
      <x:c r="F7" s="32" t="n">
        <x:v>116</x:v>
      </x:c>
      <x:c r="G7" s="32" t="n">
        <x:v>0</x:v>
      </x:c>
      <x:c r="H7" s="32" t="n">
        <x:v>0</x:v>
      </x:c>
      <x:c r="I7" s="32" t="n">
        <x:v>0</x:v>
      </x:c>
      <x:c r="J7" s="32" t="n">
        <x:v>23</x:v>
      </x:c>
      <x:c r="K7" s="32" t="n">
        <x:f>SUM(E7:J7)</x:f>
        <x:v>139</x:v>
      </x:c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EL-02</x:v>
      </x:c>
      <x:c r="B8" s="37" t="str">
        <x:v>Food, shelter and essential-goods continuity</x:v>
      </x:c>
      <x:c r="C8" s="32" t="n">
        <x:v>4</x:v>
      </x:c>
      <x:c r="D8" s="32" t="n">
        <x:v>353</x:v>
      </x:c>
      <x:c r="E8" s="32" t="n">
        <x:v>0</x:v>
      </x:c>
      <x:c r="F8" s="32" t="n">
        <x:v>0</x:v>
      </x:c>
      <x:c r="G8" s="32" t="n">
        <x:v>0</x:v>
      </x:c>
      <x:c r="H8" s="32" t="n">
        <x:v>0</x:v>
      </x:c>
      <x:c r="I8" s="32" t="n">
        <x:v>295</x:v>
      </x:c>
      <x:c r="J8" s="32" t="n">
        <x:v>58</x:v>
      </x:c>
      <x:c r="K8" s="32" t="n">
        <x:f>SUM(E8:J8)</x:f>
        <x:v>353</x:v>
      </x:c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EL-03</x:v>
      </x:c>
      <x:c r="B9" s="37" t="str">
        <x:v>Health and medical continuity</x:v>
      </x:c>
      <x:c r="C9" s="32" t="n">
        <x:v>7</x:v>
      </x:c>
      <x:c r="D9" s="32" t="n">
        <x:v>349</x:v>
      </x:c>
      <x:c r="E9" s="32" t="n">
        <x:v>0</x:v>
      </x:c>
      <x:c r="F9" s="32" t="n">
        <x:v>0</x:v>
      </x:c>
      <x:c r="G9" s="32" t="n">
        <x:v>0</x:v>
      </x:c>
      <x:c r="H9" s="32" t="n">
        <x:v>0</x:v>
      </x:c>
      <x:c r="I9" s="32" t="n">
        <x:v>349</x:v>
      </x:c>
      <x:c r="J9" s="32" t="n">
        <x:v>0</x:v>
      </x:c>
      <x:c r="K9" s="32" t="n">
        <x:f>SUM(E9:J9)</x:f>
        <x:v>349</x:v>
      </x:c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EL-04</x:v>
      </x:c>
      <x:c r="B10" s="37" t="str">
        <x:v>Energy and thermal continuity</x:v>
      </x:c>
      <x:c r="C10" s="32" t="n">
        <x:v>3</x:v>
      </x:c>
      <x:c r="D10" s="32" t="n">
        <x:v>174</x:v>
      </x:c>
      <x:c r="E10" s="32" t="n">
        <x:v>0</x:v>
      </x:c>
      <x:c r="F10" s="32" t="n">
        <x:v>0</x:v>
      </x:c>
      <x:c r="G10" s="32" t="n">
        <x:v>0</x:v>
      </x:c>
      <x:c r="H10" s="32" t="n">
        <x:v>174</x:v>
      </x:c>
      <x:c r="I10" s="32" t="n">
        <x:v>0</x:v>
      </x:c>
      <x:c r="J10" s="32" t="n">
        <x:v>0</x:v>
      </x:c>
      <x:c r="K10" s="32" t="n">
        <x:f>SUM(E10:J10)</x:f>
        <x:v>174</x:v>
      </x:c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EL-05</x:v>
      </x:c>
      <x:c r="B11" s="37" t="str">
        <x:v>Communications, computation and public-service access</x:v>
      </x:c>
      <x:c r="C11" s="32" t="n">
        <x:v>3</x:v>
      </x:c>
      <x:c r="D11" s="32" t="n">
        <x:v>158</x:v>
      </x:c>
      <x:c r="E11" s="32" t="n">
        <x:v>0</x:v>
      </x:c>
      <x:c r="F11" s="32" t="n">
        <x:v>158</x:v>
      </x:c>
      <x:c r="G11" s="32" t="n">
        <x:v>0</x:v>
      </x:c>
      <x:c r="H11" s="32" t="n">
        <x:v>0</x:v>
      </x:c>
      <x:c r="I11" s="32" t="n">
        <x:v>0</x:v>
      </x:c>
      <x:c r="J11" s="32" t="n">
        <x:v>0</x:v>
      </x:c>
      <x:c r="K11" s="32" t="n">
        <x:f>SUM(E11:J11)</x:f>
        <x:v>158</x:v>
      </x:c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EL-06</x:v>
      </x:c>
      <x:c r="B12" s="37" t="str">
        <x:v>Mobility, access and distribution</x:v>
      </x:c>
      <x:c r="C12" s="32" t="n">
        <x:v>16</x:v>
      </x:c>
      <x:c r="D12" s="32" t="n">
        <x:v>691</x:v>
      </x:c>
      <x:c r="E12" s="32" t="n">
        <x:v>316</x:v>
      </x:c>
      <x:c r="F12" s="32" t="n">
        <x:v>69</x:v>
      </x:c>
      <x:c r="G12" s="32" t="n">
        <x:v>0</x:v>
      </x:c>
      <x:c r="H12" s="32" t="n">
        <x:v>0</x:v>
      </x:c>
      <x:c r="I12" s="32" t="n">
        <x:v>235</x:v>
      </x:c>
      <x:c r="J12" s="32" t="n">
        <x:v>71</x:v>
      </x:c>
      <x:c r="K12" s="32" t="n">
        <x:f>SUM(E12:J12)</x:f>
        <x:v>691</x:v>
      </x:c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EL-07</x:v>
      </x:c>
      <x:c r="B13" s="37" t="str">
        <x:v>Water, sanitation and hygiene</x:v>
      </x:c>
      <x:c r="C13" s="32" t="n">
        <x:v>2</x:v>
      </x:c>
      <x:c r="D13" s="32" t="n">
        <x:v>82</x:v>
      </x:c>
      <x:c r="E13" s="32" t="n">
        <x:v>0</x:v>
      </x:c>
      <x:c r="F13" s="32" t="n">
        <x:v>0</x:v>
      </x:c>
      <x:c r="G13" s="32" t="n">
        <x:v>0</x:v>
      </x:c>
      <x:c r="H13" s="32" t="n">
        <x:v>82</x:v>
      </x:c>
      <x:c r="I13" s="32" t="n">
        <x:v>0</x:v>
      </x:c>
      <x:c r="J13" s="32" t="n">
        <x:v>0</x:v>
      </x:c>
      <x:c r="K13" s="32" t="n">
        <x:f>SUM(E13:J13)</x:f>
        <x:v>82</x:v>
      </x:c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EL-08</x:v>
      </x:c>
      <x:c r="B14" s="37" t="str">
        <x:v>Hazard and environmental control</x:v>
      </x:c>
      <x:c r="C14" s="32" t="n">
        <x:v>4</x:v>
      </x:c>
      <x:c r="D14" s="32" t="n">
        <x:v>170</x:v>
      </x:c>
      <x:c r="E14" s="32" t="n">
        <x:v>0</x:v>
      </x:c>
      <x:c r="F14" s="32" t="n">
        <x:v>0</x:v>
      </x:c>
      <x:c r="G14" s="32" t="n">
        <x:v>170</x:v>
      </x:c>
      <x:c r="H14" s="32" t="n">
        <x:v>0</x:v>
      </x:c>
      <x:c r="I14" s="32" t="n">
        <x:v>0</x:v>
      </x:c>
      <x:c r="J14" s="32" t="n">
        <x:v>0</x:v>
      </x:c>
      <x:c r="K14" s="32" t="n">
        <x:f>SUM(E14:J14)</x:f>
        <x:v>170</x:v>
      </x:c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str">
        <x:v>EL-09</x:v>
      </x:c>
      <x:c r="B15" s="37" t="str">
        <x:v>Housing, public works and economic continuity</x:v>
      </x:c>
      <x:c r="C15" s="32" t="n">
        <x:v>6</x:v>
      </x:c>
      <x:c r="D15" s="32" t="n">
        <x:v>304</x:v>
      </x:c>
      <x:c r="E15" s="32" t="n">
        <x:v>53</x:v>
      </x:c>
      <x:c r="F15" s="32" t="n">
        <x:v>0</x:v>
      </x:c>
      <x:c r="G15" s="32" t="n">
        <x:v>0</x:v>
      </x:c>
      <x:c r="H15" s="32" t="n">
        <x:v>0</x:v>
      </x:c>
      <x:c r="I15" s="32" t="n">
        <x:v>0</x:v>
      </x:c>
      <x:c r="J15" s="32" t="n">
        <x:v>251</x:v>
      </x:c>
      <x:c r="K15" s="32" t="n">
        <x:f>SUM(E15:J15)</x:f>
        <x:v>304</x:v>
      </x:c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41" t="str">
        <x:v>Total</x:v>
      </x:c>
      <x:c r="B18" s="41" t="str">
        <x:v>Effect</x:v>
      </x:c>
      <x:c r="C18" s="41" t="str">
        <x:v>Families</x:v>
      </x:c>
      <x:c r="D18" s="41" t="str">
        <x:v>Demand</x:v>
      </x:c>
      <x:c r="E18" s="41" t="str">
        <x:v>MS-ET</x:v>
      </x:c>
      <x:c r="F18" s="41" t="str">
        <x:v>MS-CT</x:v>
      </x:c>
      <x:c r="G18" s="41" t="str">
        <x:v>MS-HC</x:v>
      </x:c>
      <x:c r="H18" s="41" t="str">
        <x:v>MS-LF</x:v>
      </x:c>
      <x:c r="I18" s="41" t="str">
        <x:v>MS-HU</x:v>
      </x:c>
      <x:c r="J18" s="41" t="str">
        <x:v>MS-RT</x:v>
      </x:c>
      <x:c r="K18" s="41" t="str">
        <x:v>Reconciled</x:v>
      </x:c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38" t="str">
        <x:v>Portfolio</x:v>
      </x:c>
      <x:c r="B19" s="38"/>
      <x:c r="C19" s="38" t="n">
        <x:f>SUM(C7:C15)</x:f>
        <x:v>48</x:v>
      </x:c>
      <x:c r="D19" s="38" t="n">
        <x:f>SUM(D7:D15)</x:f>
        <x:v>2420</x:v>
      </x:c>
      <x:c r="E19" s="38" t="n">
        <x:f>SUM(E7:E15)</x:f>
        <x:v>369</x:v>
      </x:c>
      <x:c r="F19" s="38" t="n">
        <x:f>SUM(F7:F15)</x:f>
        <x:v>343</x:v>
      </x:c>
      <x:c r="G19" s="38" t="n">
        <x:f>SUM(G7:G15)</x:f>
        <x:v>170</x:v>
      </x:c>
      <x:c r="H19" s="38" t="n">
        <x:f>SUM(H7:H15)</x:f>
        <x:v>256</x:v>
      </x:c>
      <x:c r="I19" s="38" t="n">
        <x:f>SUM(I7:I15)</x:f>
        <x:v>879</x:v>
      </x:c>
      <x:c r="J19" s="38" t="n">
        <x:f>SUM(J7:J15)</x:f>
        <x:v>403</x:v>
      </x:c>
      <x:c r="K19" s="38" t="n">
        <x:f>SUM(K7:K15)</x:f>
        <x:v>2420</x:v>
      </x:c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9" hidden="0" customWidth="1"/>
    <x:col min="3" max="3" width="15" hidden="0" customWidth="1"/>
    <x:col min="4" max="4" width="25" hidden="0" customWidth="1"/>
    <x:col min="5" max="5" width="55" hidden="0" customWidth="1"/>
    <x:col min="6" max="6" width="67" hidden="0" customWidth="1"/>
  </x:cols>
  <x:sheetData>
    <x:row r="2">
      <x:c r="A2" s="27" t="str">
        <x:v>Four modes of constructive power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Only domestic guarantee and invited stabilization consume U.S. formation commitments.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Mode</x:v>
      </x:c>
      <x:c r="B6" s="31" t="str">
        <x:v>Strategic mode</x:v>
      </x:c>
      <x:c r="C6" s="31" t="str">
        <x:v>Campaigns</x:v>
      </x:c>
      <x:c r="D6" s="31" t="str">
        <x:v>Committed formations</x:v>
      </x:c>
      <x:c r="E6" s="31" t="str">
        <x:v>Authority</x:v>
      </x:c>
      <x:c r="F6" s="31" t="str">
        <x:v>Success object</x:v>
      </x:c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P1</x:v>
      </x:c>
      <x:c r="B7" s="32" t="str">
        <x:v>Guaranteed domestic continuity</x:v>
      </x:c>
      <x:c r="C7" s="32" t="n">
        <x:v>8</x:v>
      </x:c>
      <x:c r="D7" s="32" t="n">
        <x:v>1745</x:v>
      </x:c>
      <x:c r="E7" s="37" t="str">
        <x:v>Federal public obligation</x:v>
      </x:c>
      <x:c r="F7" s="37" t="str">
        <x:v>Complete domestic public service</x:v>
      </x:c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P2</x:v>
      </x:c>
      <x:c r="B8" s="32" t="str">
        <x:v>Invited stabilization</x:v>
      </x:c>
      <x:c r="C8" s="32" t="n">
        <x:v>2</x:v>
      </x:c>
      <x:c r="D8" s="32" t="n">
        <x:v>675</x:v>
      </x:c>
      <x:c r="E8" s="37" t="str">
        <x:v>Bilateral event warrant</x:v>
      </x:c>
      <x:c r="F8" s="37" t="str">
        <x:v>Complete service, transfer and sovereign exit</x:v>
      </x:c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P3</x:v>
      </x:c>
      <x:c r="B9" s="32" t="str">
        <x:v>Forward resilience partnership</x:v>
      </x:c>
      <x:c r="C9" s="32" t="n">
        <x:v>0</x:v>
      </x:c>
      <x:c r="D9" s="32" t="n">
        <x:v>0</x:v>
      </x:c>
      <x:c r="E9" s="37" t="str">
        <x:v>Partner-owned productive compact</x:v>
      </x:c>
      <x:c r="F9" s="37" t="str">
        <x:v>Independent operation, repair, supply and reproduction</x:v>
      </x:c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P4</x:v>
      </x:c>
      <x:c r="B10" s="32" t="str">
        <x:v>Productive statecraft</x:v>
      </x:c>
      <x:c r="C10" s="32" t="n">
        <x:v>0</x:v>
      </x:c>
      <x:c r="D10" s="32" t="n">
        <x:v>0</x:v>
      </x:c>
      <x:c r="E10" s="37" t="str">
        <x:v>Open standards and market compact</x:v>
      </x:c>
      <x:c r="F10" s="37" t="str">
        <x:v>Independent implementations and reciprocal public value</x:v>
      </x:c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2" hidden="0" customWidth="1"/>
    <x:col min="3" max="3" width="28" hidden="0" customWidth="1"/>
  </x:cols>
  <x:sheetData>
    <x:row r="2">
      <x:c r="A2" s="27" t="str">
        <x:v>Force and economic controls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The force, technology program, capital screen and operations remain distinct states and ledgers.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Object</x:v>
      </x:c>
      <x:c r="B6" s="31" t="str">
        <x:v>Value</x:v>
      </x:c>
      <x:c r="C6" s="31" t="str">
        <x:v>Unit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Owned</x:v>
      </x:c>
      <x:c r="B7" s="32" t="n">
        <x:v>5251</x:v>
      </x:c>
      <x:c r="C7" s="32" t="str">
        <x:v>formations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Ready</x:v>
      </x:c>
      <x:c r="B8" s="32" t="n">
        <x:v>3667</x:v>
      </x:c>
      <x:c r="C8" s="32" t="str">
        <x:v>formations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Committed</x:v>
      </x:c>
      <x:c r="B9" s="32" t="n">
        <x:v>2420</x:v>
      </x:c>
      <x:c r="C9" s="32" t="str">
        <x:v>formations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Domestic commitment</x:v>
      </x:c>
      <x:c r="B10" s="32" t="n">
        <x:v>1745</x:v>
      </x:c>
      <x:c r="C10" s="32" t="str">
        <x:v>formations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Invited commitment</x:v>
      </x:c>
      <x:c r="B11" s="32" t="n">
        <x:v>675</x:v>
      </x:c>
      <x:c r="C11" s="32" t="str">
        <x:v>formations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Protected reserve</x:v>
      </x:c>
      <x:c r="B12" s="32" t="n">
        <x:v>502</x:v>
      </x:c>
      <x:c r="C12" s="32" t="str">
        <x:v>formations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Geographic buffer</x:v>
      </x:c>
      <x:c r="B13" s="32" t="n">
        <x:v>745</x:v>
      </x:c>
      <x:c r="C13" s="32" t="str">
        <x:v>formations</x:v>
      </x:c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Regeneration</x:v>
      </x:c>
      <x:c r="B14" s="32" t="n">
        <x:v>1584</x:v>
      </x:c>
      <x:c r="C14" s="32" t="str">
        <x:v>formations</x:v>
      </x:c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str">
        <x:v>Formation capital</x:v>
      </x:c>
      <x:c r="B15" s="33" t="n">
        <x:v>9.41056</x:v>
      </x:c>
      <x:c r="C15" s="32" t="str">
        <x:v>USD T</x:v>
      </x:c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str">
        <x:v>Common / reserve capital</x:v>
      </x:c>
      <x:c r="B16" s="33" t="n">
        <x:v>7.98944</x:v>
      </x:c>
      <x:c r="C16" s="32" t="str">
        <x:v>USD T</x:v>
      </x:c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32" t="str">
        <x:v>Mature annual operations</x:v>
      </x:c>
      <x:c r="B17" s="33" t="n">
        <x:v>2.11</x:v>
      </x:c>
      <x:c r="C17" s="32" t="str">
        <x:v>USD T/year</x:v>
      </x:c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21" hidden="0" customWidth="1"/>
    <x:col min="4" max="4" width="30" hidden="0" customWidth="1"/>
    <x:col min="5" max="5" width="43" hidden="0" customWidth="1"/>
  </x:cols>
  <x:sheetData>
    <x:row r="2">
      <x:c r="A2" s="27" t="str">
        <x:v>Exclusive and separate fiscal ledgers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Executor views, nested programs and market activity never become additional appropriations.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Economic ledger</x:v>
      </x:c>
      <x:c r="B6" s="31" t="str">
        <x:v>Account</x:v>
      </x:c>
      <x:c r="C6" s="31" t="str">
        <x:v>Amount</x:v>
      </x:c>
      <x:c r="D6" s="31" t="str">
        <x:v>Unit</x:v>
      </x:c>
      <x:c r="E6" s="31" t="str">
        <x:v>Boundary</x:v>
      </x:c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Technology and proving</x:v>
      </x:c>
      <x:c r="B7" s="37" t="str">
        <x:v>Mission systems</x:v>
      </x:c>
      <x:c r="C7" s="37" t="n">
        <x:v>550</x:v>
      </x:c>
      <x:c r="D7" s="37" t="str">
        <x:v>USD B / 25 years</x:v>
      </x:c>
      <x:c r="E7" s="37" t="str">
        <x:v>Exclusive account</x:v>
      </x:c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Technology and proving</x:v>
      </x:c>
      <x:c r="B8" s="37" t="str">
        <x:v>Service professional and article bases</x:v>
      </x:c>
      <x:c r="C8" s="37" t="n">
        <x:v>150</x:v>
      </x:c>
      <x:c r="D8" s="37" t="str">
        <x:v>USD B / 25 years</x:v>
      </x:c>
      <x:c r="E8" s="37" t="str">
        <x:v>Exclusive account</x:v>
      </x:c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Technology and proving</x:v>
      </x:c>
      <x:c r="B9" s="37" t="str">
        <x:v>National common capacity</x:v>
      </x:c>
      <x:c r="C9" s="37" t="n">
        <x:v>150</x:v>
      </x:c>
      <x:c r="D9" s="37" t="str">
        <x:v>USD B / 25 years</x:v>
      </x:c>
      <x:c r="E9" s="37" t="str">
        <x:v>Exclusive account</x:v>
      </x:c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Technology and proving</x:v>
      </x:c>
      <x:c r="B10" s="37" t="str">
        <x:v>Sovereign technical estate</x:v>
      </x:c>
      <x:c r="C10" s="37" t="n">
        <x:v>100</x:v>
      </x:c>
      <x:c r="D10" s="37" t="str">
        <x:v>USD B / 25 years</x:v>
      </x:c>
      <x:c r="E10" s="37" t="str">
        <x:v>Exclusive account</x:v>
      </x:c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Technology and proving</x:v>
      </x:c>
      <x:c r="B11" s="37" t="str">
        <x:v>Competitive failure reserve</x:v>
      </x:c>
      <x:c r="C11" s="37" t="n">
        <x:v>50</x:v>
      </x:c>
      <x:c r="D11" s="37" t="str">
        <x:v>USD B / 25 years</x:v>
      </x:c>
      <x:c r="E11" s="37" t="str">
        <x:v>Exclusive account</x:v>
      </x:c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Mature capital</x:v>
      </x:c>
      <x:c r="B12" s="37" t="str">
        <x:v>Formation estate</x:v>
      </x:c>
      <x:c r="C12" s="43" t="n">
        <x:v>9.41056</x:v>
      </x:c>
      <x:c r="D12" s="37" t="str">
        <x:v>USD T</x:v>
      </x:c>
      <x:c r="E12" s="37" t="str">
        <x:v>Separate from technology</x:v>
      </x:c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Mature capital</x:v>
      </x:c>
      <x:c r="B13" s="37" t="str">
        <x:v>Common / reserve estate</x:v>
      </x:c>
      <x:c r="C13" s="43" t="n">
        <x:v>7.98944</x:v>
      </x:c>
      <x:c r="D13" s="37" t="str">
        <x:v>USD T</x:v>
      </x:c>
      <x:c r="E13" s="37" t="str">
        <x:v>Separate from technology</x:v>
      </x:c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Mature operations</x:v>
      </x:c>
      <x:c r="B14" s="37" t="str">
        <x:v>Ramped 25-year operations</x:v>
      </x:c>
      <x:c r="C14" s="43" t="n">
        <x:v>40.1955</x:v>
      </x:c>
      <x:c r="D14" s="37" t="str">
        <x:v>USD T / 25 years</x:v>
      </x:c>
      <x:c r="E14" s="37" t="str">
        <x:v>Separate from capital</x:v>
      </x:c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str">
        <x:v>Useful-output markets</x:v>
      </x:c>
      <x:c r="B15" s="37" t="str">
        <x:v>Domestic market</x:v>
      </x:c>
      <x:c r="C15" s="43" t="n">
        <x:v>1.125</x:v>
      </x:c>
      <x:c r="D15" s="37" t="str">
        <x:v>USD T / years 11–25</x:v>
      </x:c>
      <x:c r="E15" s="37" t="str">
        <x:v>Does not net appropriations</x:v>
      </x:c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str">
        <x:v>Useful-output markets</x:v>
      </x:c>
      <x:c r="B16" s="37" t="str">
        <x:v>Reference partner market</x:v>
      </x:c>
      <x:c r="C16" s="43" t="n">
        <x:v>0.18</x:v>
      </x:c>
      <x:c r="D16" s="37" t="str">
        <x:v>USD T / years 11–25</x:v>
      </x:c>
      <x:c r="E16" s="37" t="str">
        <x:v>Does not create readiness</x:v>
      </x:c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31" t="str">
        <x:v>Control</x:v>
      </x:c>
      <x:c r="B19" s="31" t="str">
        <x:v>Expected USD B</x:v>
      </x:c>
      <x:c r="C19" s="31" t="str">
        <x:v>Observed USD B</x:v>
      </x:c>
      <x:c r="D19" s="31" t="str">
        <x:v>Result</x:v>
      </x:c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32" t="str">
        <x:v>Technology program</x:v>
      </x:c>
      <x:c r="B20" s="32" t="n">
        <x:v>1000</x:v>
      </x:c>
      <x:c r="C20" s="32" t="n">
        <x:f>SUM(C7:C11)</x:f>
        <x:v>1000</x:v>
      </x:c>
      <x:c r="D20" s="32" t="str">
        <x:f>IF(ABS(B20-C20)&lt;0.01,"PASS","FAIL")</x:f>
        <x:v>PASS</x:v>
      </x:c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32" t="str">
        <x:v>Mature capital</x:v>
      </x:c>
      <x:c r="B21" s="32" t="n">
        <x:v>17400</x:v>
      </x:c>
      <x:c r="C21" s="32" t="n">
        <x:f>SUM(C12:C13)*1000</x:f>
        <x:v>17400</x:v>
      </x:c>
      <x:c r="D21" s="32" t="str">
        <x:f>IF(ABS(B21-C21)&lt;0.01,"PASS","FAIL")</x:f>
        <x:v>PASS</x:v>
      </x:c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32" t="str">
        <x:v>Separate market activity</x:v>
      </x:c>
      <x:c r="B22" s="32" t="n">
        <x:v>1305</x:v>
      </x:c>
      <x:c r="C22" s="32" t="n">
        <x:f>SUM(C15:C16)*1000</x:f>
        <x:v>1305</x:v>
      </x:c>
      <x:c r="D22" s="32" t="str">
        <x:f>IF(ABS(B22-C22)&lt;0.01,"PASS","FAIL")</x:f>
        <x:v>PASS</x:v>
      </x:c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5" hidden="0" customWidth="1"/>
    <x:col min="4" max="4" width="23" hidden="0" customWidth="1"/>
    <x:col min="5" max="5" width="22" hidden="0" customWidth="1"/>
    <x:col min="6" max="6" width="22" hidden="0" customWidth="1"/>
    <x:col min="7" max="7" width="25" hidden="0" customWidth="1"/>
    <x:col min="8" max="8" width="26" hidden="0" customWidth="1"/>
    <x:col min="9" max="9" width="25" hidden="0" customWidth="1"/>
    <x:col min="10" max="10" width="25" hidden="0" customWidth="1"/>
    <x:col min="11" max="11" width="31" hidden="0" customWidth="1"/>
  </x:cols>
  <x:sheetData>
    <x:row r="2">
      <x:c r="A2" s="27" t="str">
        <x:v>Twenty-five-year public outlay and separate market activity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Public outlay combines capital, ramped operations and technology. Market activity remains outside appropriations.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Year</x:v>
      </x:c>
      <x:c r="B6" s="31" t="str">
        <x:v>Built share</x:v>
      </x:c>
      <x:c r="C6" s="31" t="str">
        <x:v>Formation cap USD T</x:v>
      </x:c>
      <x:c r="D6" s="31" t="str">
        <x:v>Common cap USD T</x:v>
      </x:c>
      <x:c r="E6" s="31" t="str">
        <x:v>Operations USD T</x:v>
      </x:c>
      <x:c r="F6" s="31" t="str">
        <x:v>Technology USD T</x:v>
      </x:c>
      <x:c r="G6" s="31" t="str">
        <x:v>Public outlay USD T</x:v>
      </x:c>
      <x:c r="H6" s="31" t="str">
        <x:v>Domestic market USD T</x:v>
      </x:c>
      <x:c r="I6" s="31" t="str">
        <x:v>Partner market USD T</x:v>
      </x:c>
      <x:c r="J6" s="31" t="str">
        <x:v>Market activity USD T</x:v>
      </x:c>
      <x:c r="K6" s="31" t="str">
        <x:v>Cumulative public outlay USD T</x:v>
      </x:c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n">
        <x:v>1</x:v>
      </x:c>
      <x:c r="B7" s="44" t="n">
        <x:v>0.02</x:v>
      </x:c>
      <x:c r="C7" s="45" t="n">
        <x:v>0.1882112</x:v>
      </x:c>
      <x:c r="D7" s="45" t="n">
        <x:v>0.1597888</x:v>
      </x:c>
      <x:c r="E7" s="45" t="n">
        <x:v>0.0422</x:v>
      </x:c>
      <x:c r="F7" s="45" t="n">
        <x:v>0.088</x:v>
      </x:c>
      <x:c r="G7" s="45" t="n">
        <x:f>SUM(C7:F7)</x:f>
        <x:v>0.47819999999999996</x:v>
      </x:c>
      <x:c r="H7" s="45" t="n">
        <x:v>0</x:v>
      </x:c>
      <x:c r="I7" s="45" t="n">
        <x:v>0</x:v>
      </x:c>
      <x:c r="J7" s="45" t="n">
        <x:f>SUM(H7:I7)</x:f>
        <x:v>0</x:v>
      </x:c>
      <x:c r="K7" s="45" t="n">
        <x:f>G7</x:f>
        <x:v>0.47819999999999996</x:v>
      </x:c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n">
        <x:v>2</x:v>
      </x:c>
      <x:c r="B8" s="44" t="n">
        <x:v>0.05</x:v>
      </x:c>
      <x:c r="C8" s="45" t="n">
        <x:v>0.2823168</x:v>
      </x:c>
      <x:c r="D8" s="45" t="n">
        <x:v>0.2396832</x:v>
      </x:c>
      <x:c r="E8" s="45" t="n">
        <x:v>0.1055</x:v>
      </x:c>
      <x:c r="F8" s="45" t="n">
        <x:v>0.088</x:v>
      </x:c>
      <x:c r="G8" s="45" t="n">
        <x:f>SUM(C8:F8)</x:f>
        <x:v>0.7155</x:v>
      </x:c>
      <x:c r="H8" s="45" t="n">
        <x:v>0</x:v>
      </x:c>
      <x:c r="I8" s="45" t="n">
        <x:v>0</x:v>
      </x:c>
      <x:c r="J8" s="45" t="n">
        <x:f>SUM(H8:I8)</x:f>
        <x:v>0</x:v>
      </x:c>
      <x:c r="K8" s="45" t="n">
        <x:f>K7+G8</x:f>
        <x:v>1.1937</x:v>
      </x:c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n">
        <x:v>3</x:v>
      </x:c>
      <x:c r="B9" s="44" t="n">
        <x:v>0.1</x:v>
      </x:c>
      <x:c r="C9" s="45" t="n">
        <x:v>0.470528</x:v>
      </x:c>
      <x:c r="D9" s="45" t="n">
        <x:v>0.39947200000000005</x:v>
      </x:c>
      <x:c r="E9" s="45" t="n">
        <x:v>0.211</x:v>
      </x:c>
      <x:c r="F9" s="45" t="n">
        <x:v>0.088</x:v>
      </x:c>
      <x:c r="G9" s="45" t="n">
        <x:f>SUM(C9:F9)</x:f>
        <x:v>1.1690000000000003</x:v>
      </x:c>
      <x:c r="H9" s="45" t="n">
        <x:v>0</x:v>
      </x:c>
      <x:c r="I9" s="45" t="n">
        <x:v>0</x:v>
      </x:c>
      <x:c r="J9" s="45" t="n">
        <x:f>SUM(H9:I9)</x:f>
        <x:v>0</x:v>
      </x:c>
      <x:c r="K9" s="45" t="n">
        <x:f>K8+G9</x:f>
        <x:v>2.3627000000000002</x:v>
      </x:c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n">
        <x:v>4</x:v>
      </x:c>
      <x:c r="B10" s="44" t="n">
        <x:v>0.18</x:v>
      </x:c>
      <x:c r="C10" s="45" t="n">
        <x:v>0.7528448</x:v>
      </x:c>
      <x:c r="D10" s="45" t="n">
        <x:v>0.6391551999999999</x:v>
      </x:c>
      <x:c r="E10" s="45" t="n">
        <x:v>0.37979999999999997</x:v>
      </x:c>
      <x:c r="F10" s="45" t="n">
        <x:v>0.088</x:v>
      </x:c>
      <x:c r="G10" s="45" t="n">
        <x:f>SUM(C10:F10)</x:f>
        <x:v>1.8598</x:v>
      </x:c>
      <x:c r="H10" s="45" t="n">
        <x:v>0</x:v>
      </x:c>
      <x:c r="I10" s="45" t="n">
        <x:v>0</x:v>
      </x:c>
      <x:c r="J10" s="45" t="n">
        <x:f>SUM(H10:I10)</x:f>
        <x:v>0</x:v>
      </x:c>
      <x:c r="K10" s="45" t="n">
        <x:f>K9+G10</x:f>
        <x:v>4.2225</x:v>
      </x:c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n">
        <x:v>5</x:v>
      </x:c>
      <x:c r="B11" s="44" t="n">
        <x:v>0.28</x:v>
      </x:c>
      <x:c r="C11" s="45" t="n">
        <x:v>0.941056</x:v>
      </x:c>
      <x:c r="D11" s="45" t="n">
        <x:v>0.7989440000000003</x:v>
      </x:c>
      <x:c r="E11" s="45" t="n">
        <x:v>0.5908</x:v>
      </x:c>
      <x:c r="F11" s="45" t="n">
        <x:v>0.088</x:v>
      </x:c>
      <x:c r="G11" s="45" t="n">
        <x:f>SUM(C11:F11)</x:f>
        <x:v>2.4188</x:v>
      </x:c>
      <x:c r="H11" s="45" t="n">
        <x:v>0</x:v>
      </x:c>
      <x:c r="I11" s="45" t="n">
        <x:v>0</x:v>
      </x:c>
      <x:c r="J11" s="45" t="n">
        <x:f>SUM(H11:I11)</x:f>
        <x:v>0</x:v>
      </x:c>
      <x:c r="K11" s="45" t="n">
        <x:f>K10+G11</x:f>
        <x:v>6.6413</x:v>
      </x:c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n">
        <x:v>6</x:v>
      </x:c>
      <x:c r="B12" s="44" t="n">
        <x:v>0.4</x:v>
      </x:c>
      <x:c r="C12" s="45" t="n">
        <x:v>1.1292672</x:v>
      </x:c>
      <x:c r="D12" s="45" t="n">
        <x:v>0.9587327999999999</x:v>
      </x:c>
      <x:c r="E12" s="45" t="n">
        <x:v>0.844</x:v>
      </x:c>
      <x:c r="F12" s="45" t="n">
        <x:v>0.088</x:v>
      </x:c>
      <x:c r="G12" s="45" t="n">
        <x:f>SUM(C12:F12)</x:f>
        <x:v>3.02</x:v>
      </x:c>
      <x:c r="H12" s="45" t="n">
        <x:v>0</x:v>
      </x:c>
      <x:c r="I12" s="45" t="n">
        <x:v>0</x:v>
      </x:c>
      <x:c r="J12" s="45" t="n">
        <x:f>SUM(H12:I12)</x:f>
        <x:v>0</x:v>
      </x:c>
      <x:c r="K12" s="45" t="n">
        <x:f>K11+G12</x:f>
        <x:v>9.6613</x:v>
      </x:c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n">
        <x:v>7</x:v>
      </x:c>
      <x:c r="B13" s="44" t="n">
        <x:v>0.54</x:v>
      </x:c>
      <x:c r="C13" s="45" t="n">
        <x:v>1.3174784</x:v>
      </x:c>
      <x:c r="D13" s="45" t="n">
        <x:v>1.1185216000000002</x:v>
      </x:c>
      <x:c r="E13" s="45" t="n">
        <x:v>1.1394</x:v>
      </x:c>
      <x:c r="F13" s="45" t="n">
        <x:v>0.088</x:v>
      </x:c>
      <x:c r="G13" s="45" t="n">
        <x:f>SUM(C13:F13)</x:f>
        <x:v>3.6634</x:v>
      </x:c>
      <x:c r="H13" s="45" t="n">
        <x:v>0</x:v>
      </x:c>
      <x:c r="I13" s="45" t="n">
        <x:v>0</x:v>
      </x:c>
      <x:c r="J13" s="45" t="n">
        <x:f>SUM(H13:I13)</x:f>
        <x:v>0</x:v>
      </x:c>
      <x:c r="K13" s="45" t="n">
        <x:f>K12+G13</x:f>
        <x:v>13.3247</x:v>
      </x:c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n">
        <x:v>8</x:v>
      </x:c>
      <x:c r="B14" s="44" t="n">
        <x:v>0.7</x:v>
      </x:c>
      <x:c r="C14" s="45" t="n">
        <x:v>1.5056896</x:v>
      </x:c>
      <x:c r="D14" s="45" t="n">
        <x:v>1.2783103999999994</x:v>
      </x:c>
      <x:c r="E14" s="45" t="n">
        <x:v>1.4769999999999999</x:v>
      </x:c>
      <x:c r="F14" s="45" t="n">
        <x:v>0.088</x:v>
      </x:c>
      <x:c r="G14" s="45" t="n">
        <x:f>SUM(C14:F14)</x:f>
        <x:v>4.348999999999999</x:v>
      </x:c>
      <x:c r="H14" s="45" t="n">
        <x:v>0</x:v>
      </x:c>
      <x:c r="I14" s="45" t="n">
        <x:v>0</x:v>
      </x:c>
      <x:c r="J14" s="45" t="n">
        <x:f>SUM(H14:I14)</x:f>
        <x:v>0</x:v>
      </x:c>
      <x:c r="K14" s="45" t="n">
        <x:f>K13+G14</x:f>
        <x:v>17.6737</x:v>
      </x:c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n">
        <x:v>9</x:v>
      </x:c>
      <x:c r="B15" s="44" t="n">
        <x:v>0.84</x:v>
      </x:c>
      <x:c r="C15" s="45" t="n">
        <x:v>1.3174784</x:v>
      </x:c>
      <x:c r="D15" s="45" t="n">
        <x:v>1.1185216000000002</x:v>
      </x:c>
      <x:c r="E15" s="45" t="n">
        <x:v>1.7723999999999998</x:v>
      </x:c>
      <x:c r="F15" s="45" t="n">
        <x:v>0.088</x:v>
      </x:c>
      <x:c r="G15" s="45" t="n">
        <x:f>SUM(C15:F15)</x:f>
        <x:v>4.296399999999999</x:v>
      </x:c>
      <x:c r="H15" s="45" t="n">
        <x:v>0</x:v>
      </x:c>
      <x:c r="I15" s="45" t="n">
        <x:v>0</x:v>
      </x:c>
      <x:c r="J15" s="45" t="n">
        <x:f>SUM(H15:I15)</x:f>
        <x:v>0</x:v>
      </x:c>
      <x:c r="K15" s="45" t="n">
        <x:f>K14+G15</x:f>
        <x:v>21.9701</x:v>
      </x:c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n">
        <x:v>10</x:v>
      </x:c>
      <x:c r="B16" s="44" t="n">
        <x:v>0.94</x:v>
      </x:c>
      <x:c r="C16" s="45" t="n">
        <x:v>0.941056</x:v>
      </x:c>
      <x:c r="D16" s="45" t="n">
        <x:v>0.7989439999999999</x:v>
      </x:c>
      <x:c r="E16" s="45" t="n">
        <x:v>1.9833999999999998</x:v>
      </x:c>
      <x:c r="F16" s="45" t="n">
        <x:v>0.088</x:v>
      </x:c>
      <x:c r="G16" s="45" t="n">
        <x:f>SUM(C16:F16)</x:f>
        <x:v>3.8114</x:v>
      </x:c>
      <x:c r="H16" s="45" t="n">
        <x:v>0</x:v>
      </x:c>
      <x:c r="I16" s="45" t="n">
        <x:v>0</x:v>
      </x:c>
      <x:c r="J16" s="45" t="n">
        <x:f>SUM(H16:I16)</x:f>
        <x:v>0</x:v>
      </x:c>
      <x:c r="K16" s="45" t="n">
        <x:f>K15+G16</x:f>
        <x:v>25.781499999999998</x:v>
      </x:c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32" t="n">
        <x:v>11</x:v>
      </x:c>
      <x:c r="B17" s="44" t="n">
        <x:v>1</x:v>
      </x:c>
      <x:c r="C17" s="45" t="n">
        <x:v>0.5646336</x:v>
      </x:c>
      <x:c r="D17" s="45" t="n">
        <x:v>0.4793664000000004</x:v>
      </x:c>
      <x:c r="E17" s="45" t="n">
        <x:v>2.11</x:v>
      </x:c>
      <x:c r="F17" s="45" t="n">
        <x:v>0.008</x:v>
      </x:c>
      <x:c r="G17" s="45" t="n">
        <x:f>SUM(C17:F17)</x:f>
        <x:v>3.1620000000000004</x:v>
      </x:c>
      <x:c r="H17" s="45" t="n">
        <x:v>0.075</x:v>
      </x:c>
      <x:c r="I17" s="45" t="n">
        <x:v>0.012</x:v>
      </x:c>
      <x:c r="J17" s="45" t="n">
        <x:f>SUM(H17:I17)</x:f>
        <x:v>0.087</x:v>
      </x:c>
      <x:c r="K17" s="45" t="n">
        <x:f>K16+G17</x:f>
        <x:v>28.943499999999997</x:v>
      </x:c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32" t="n">
        <x:v>12</x:v>
      </x:c>
      <x:c r="B18" s="44" t="n">
        <x:v>1</x:v>
      </x:c>
      <x:c r="C18" s="45" t="n">
        <x:v>0</x:v>
      </x:c>
      <x:c r="D18" s="45" t="n">
        <x:v>0</x:v>
      </x:c>
      <x:c r="E18" s="45" t="n">
        <x:v>2.11</x:v>
      </x:c>
      <x:c r="F18" s="45" t="n">
        <x:v>0.008</x:v>
      </x:c>
      <x:c r="G18" s="45" t="n">
        <x:f>SUM(C18:F18)</x:f>
        <x:v>2.118</x:v>
      </x:c>
      <x:c r="H18" s="45" t="n">
        <x:v>0.075</x:v>
      </x:c>
      <x:c r="I18" s="45" t="n">
        <x:v>0.012</x:v>
      </x:c>
      <x:c r="J18" s="45" t="n">
        <x:f>SUM(H18:I18)</x:f>
        <x:v>0.087</x:v>
      </x:c>
      <x:c r="K18" s="45" t="n">
        <x:f>K17+G18</x:f>
        <x:v>31.061499999999995</x:v>
      </x:c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32" t="n">
        <x:v>13</x:v>
      </x:c>
      <x:c r="B19" s="44" t="n">
        <x:v>1</x:v>
      </x:c>
      <x:c r="C19" s="45" t="n">
        <x:v>0</x:v>
      </x:c>
      <x:c r="D19" s="45" t="n">
        <x:v>0</x:v>
      </x:c>
      <x:c r="E19" s="45" t="n">
        <x:v>2.11</x:v>
      </x:c>
      <x:c r="F19" s="45" t="n">
        <x:v>0.008</x:v>
      </x:c>
      <x:c r="G19" s="45" t="n">
        <x:f>SUM(C19:F19)</x:f>
        <x:v>2.118</x:v>
      </x:c>
      <x:c r="H19" s="45" t="n">
        <x:v>0.075</x:v>
      </x:c>
      <x:c r="I19" s="45" t="n">
        <x:v>0.012</x:v>
      </x:c>
      <x:c r="J19" s="45" t="n">
        <x:f>SUM(H19:I19)</x:f>
        <x:v>0.087</x:v>
      </x:c>
      <x:c r="K19" s="45" t="n">
        <x:f>K18+G19</x:f>
        <x:v>33.1795</x:v>
      </x:c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32" t="n">
        <x:v>14</x:v>
      </x:c>
      <x:c r="B20" s="44" t="n">
        <x:v>1</x:v>
      </x:c>
      <x:c r="C20" s="45" t="n">
        <x:v>0</x:v>
      </x:c>
      <x:c r="D20" s="45" t="n">
        <x:v>0</x:v>
      </x:c>
      <x:c r="E20" s="45" t="n">
        <x:v>2.11</x:v>
      </x:c>
      <x:c r="F20" s="45" t="n">
        <x:v>0.008</x:v>
      </x:c>
      <x:c r="G20" s="45" t="n">
        <x:f>SUM(C20:F20)</x:f>
        <x:v>2.118</x:v>
      </x:c>
      <x:c r="H20" s="45" t="n">
        <x:v>0.075</x:v>
      </x:c>
      <x:c r="I20" s="45" t="n">
        <x:v>0.012</x:v>
      </x:c>
      <x:c r="J20" s="45" t="n">
        <x:f>SUM(H20:I20)</x:f>
        <x:v>0.087</x:v>
      </x:c>
      <x:c r="K20" s="45" t="n">
        <x:f>K19+G20</x:f>
        <x:v>35.2975</x:v>
      </x:c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32" t="n">
        <x:v>15</x:v>
      </x:c>
      <x:c r="B21" s="44" t="n">
        <x:v>1</x:v>
      </x:c>
      <x:c r="C21" s="45" t="n">
        <x:v>0</x:v>
      </x:c>
      <x:c r="D21" s="45" t="n">
        <x:v>0</x:v>
      </x:c>
      <x:c r="E21" s="45" t="n">
        <x:v>2.11</x:v>
      </x:c>
      <x:c r="F21" s="45" t="n">
        <x:v>0.008</x:v>
      </x:c>
      <x:c r="G21" s="45" t="n">
        <x:f>SUM(C21:F21)</x:f>
        <x:v>2.118</x:v>
      </x:c>
      <x:c r="H21" s="45" t="n">
        <x:v>0.075</x:v>
      </x:c>
      <x:c r="I21" s="45" t="n">
        <x:v>0.012</x:v>
      </x:c>
      <x:c r="J21" s="45" t="n">
        <x:f>SUM(H21:I21)</x:f>
        <x:v>0.087</x:v>
      </x:c>
      <x:c r="K21" s="45" t="n">
        <x:f>K20+G21</x:f>
        <x:v>37.4155</x:v>
      </x:c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32" t="n">
        <x:v>16</x:v>
      </x:c>
      <x:c r="B22" s="44" t="n">
        <x:v>1</x:v>
      </x:c>
      <x:c r="C22" s="45" t="n">
        <x:v>0</x:v>
      </x:c>
      <x:c r="D22" s="45" t="n">
        <x:v>0</x:v>
      </x:c>
      <x:c r="E22" s="45" t="n">
        <x:v>2.11</x:v>
      </x:c>
      <x:c r="F22" s="45" t="n">
        <x:v>0.008</x:v>
      </x:c>
      <x:c r="G22" s="45" t="n">
        <x:f>SUM(C22:F22)</x:f>
        <x:v>2.118</x:v>
      </x:c>
      <x:c r="H22" s="45" t="n">
        <x:v>0.075</x:v>
      </x:c>
      <x:c r="I22" s="45" t="n">
        <x:v>0.012</x:v>
      </x:c>
      <x:c r="J22" s="45" t="n">
        <x:f>SUM(H22:I22)</x:f>
        <x:v>0.087</x:v>
      </x:c>
      <x:c r="K22" s="45" t="n">
        <x:f>K21+G22</x:f>
        <x:v>39.533500000000004</x:v>
      </x:c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32" t="n">
        <x:v>17</x:v>
      </x:c>
      <x:c r="B23" s="44" t="n">
        <x:v>1</x:v>
      </x:c>
      <x:c r="C23" s="45" t="n">
        <x:v>0</x:v>
      </x:c>
      <x:c r="D23" s="45" t="n">
        <x:v>0</x:v>
      </x:c>
      <x:c r="E23" s="45" t="n">
        <x:v>2.11</x:v>
      </x:c>
      <x:c r="F23" s="45" t="n">
        <x:v>0.008</x:v>
      </x:c>
      <x:c r="G23" s="45" t="n">
        <x:f>SUM(C23:F23)</x:f>
        <x:v>2.118</x:v>
      </x:c>
      <x:c r="H23" s="45" t="n">
        <x:v>0.075</x:v>
      </x:c>
      <x:c r="I23" s="45" t="n">
        <x:v>0.012</x:v>
      </x:c>
      <x:c r="J23" s="45" t="n">
        <x:f>SUM(H23:I23)</x:f>
        <x:v>0.087</x:v>
      </x:c>
      <x:c r="K23" s="45" t="n">
        <x:f>K22+G23</x:f>
        <x:v>41.651500000000006</x:v>
      </x:c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32" t="n">
        <x:v>18</x:v>
      </x:c>
      <x:c r="B24" s="44" t="n">
        <x:v>1</x:v>
      </x:c>
      <x:c r="C24" s="45" t="n">
        <x:v>0</x:v>
      </x:c>
      <x:c r="D24" s="45" t="n">
        <x:v>0</x:v>
      </x:c>
      <x:c r="E24" s="45" t="n">
        <x:v>2.11</x:v>
      </x:c>
      <x:c r="F24" s="45" t="n">
        <x:v>0.008</x:v>
      </x:c>
      <x:c r="G24" s="45" t="n">
        <x:f>SUM(C24:F24)</x:f>
        <x:v>2.118</x:v>
      </x:c>
      <x:c r="H24" s="45" t="n">
        <x:v>0.075</x:v>
      </x:c>
      <x:c r="I24" s="45" t="n">
        <x:v>0.012</x:v>
      </x:c>
      <x:c r="J24" s="45" t="n">
        <x:f>SUM(H24:I24)</x:f>
        <x:v>0.087</x:v>
      </x:c>
      <x:c r="K24" s="45" t="n">
        <x:f>K23+G24</x:f>
        <x:v>43.76950000000001</x:v>
      </x:c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32" t="n">
        <x:v>19</x:v>
      </x:c>
      <x:c r="B25" s="44" t="n">
        <x:v>1</x:v>
      </x:c>
      <x:c r="C25" s="45" t="n">
        <x:v>0</x:v>
      </x:c>
      <x:c r="D25" s="45" t="n">
        <x:v>0</x:v>
      </x:c>
      <x:c r="E25" s="45" t="n">
        <x:v>2.11</x:v>
      </x:c>
      <x:c r="F25" s="45" t="n">
        <x:v>0.008</x:v>
      </x:c>
      <x:c r="G25" s="45" t="n">
        <x:f>SUM(C25:F25)</x:f>
        <x:v>2.118</x:v>
      </x:c>
      <x:c r="H25" s="45" t="n">
        <x:v>0.075</x:v>
      </x:c>
      <x:c r="I25" s="45" t="n">
        <x:v>0.012</x:v>
      </x:c>
      <x:c r="J25" s="45" t="n">
        <x:f>SUM(H25:I25)</x:f>
        <x:v>0.087</x:v>
      </x:c>
      <x:c r="K25" s="45" t="n">
        <x:f>K24+G25</x:f>
        <x:v>45.88750000000001</x:v>
      </x:c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32" t="n">
        <x:v>20</x:v>
      </x:c>
      <x:c r="B26" s="44" t="n">
        <x:v>1</x:v>
      </x:c>
      <x:c r="C26" s="45" t="n">
        <x:v>0</x:v>
      </x:c>
      <x:c r="D26" s="45" t="n">
        <x:v>0</x:v>
      </x:c>
      <x:c r="E26" s="45" t="n">
        <x:v>2.11</x:v>
      </x:c>
      <x:c r="F26" s="45" t="n">
        <x:v>0.008</x:v>
      </x:c>
      <x:c r="G26" s="45" t="n">
        <x:f>SUM(C26:F26)</x:f>
        <x:v>2.118</x:v>
      </x:c>
      <x:c r="H26" s="45" t="n">
        <x:v>0.075</x:v>
      </x:c>
      <x:c r="I26" s="45" t="n">
        <x:v>0.012</x:v>
      </x:c>
      <x:c r="J26" s="45" t="n">
        <x:f>SUM(H26:I26)</x:f>
        <x:v>0.087</x:v>
      </x:c>
      <x:c r="K26" s="45" t="n">
        <x:f>K25+G26</x:f>
        <x:v>48.00550000000001</x:v>
      </x:c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32" t="n">
        <x:v>21</x:v>
      </x:c>
      <x:c r="B27" s="44" t="n">
        <x:v>1</x:v>
      </x:c>
      <x:c r="C27" s="45" t="n">
        <x:v>0</x:v>
      </x:c>
      <x:c r="D27" s="45" t="n">
        <x:v>0</x:v>
      </x:c>
      <x:c r="E27" s="45" t="n">
        <x:v>2.11</x:v>
      </x:c>
      <x:c r="F27" s="45" t="n">
        <x:v>0.008</x:v>
      </x:c>
      <x:c r="G27" s="45" t="n">
        <x:f>SUM(C27:F27)</x:f>
        <x:v>2.118</x:v>
      </x:c>
      <x:c r="H27" s="45" t="n">
        <x:v>0.075</x:v>
      </x:c>
      <x:c r="I27" s="45" t="n">
        <x:v>0.012</x:v>
      </x:c>
      <x:c r="J27" s="45" t="n">
        <x:f>SUM(H27:I27)</x:f>
        <x:v>0.087</x:v>
      </x:c>
      <x:c r="K27" s="45" t="n">
        <x:f>K26+G27</x:f>
        <x:v>50.123500000000014</x:v>
      </x:c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32" t="n">
        <x:v>22</x:v>
      </x:c>
      <x:c r="B28" s="44" t="n">
        <x:v>1</x:v>
      </x:c>
      <x:c r="C28" s="45" t="n">
        <x:v>0</x:v>
      </x:c>
      <x:c r="D28" s="45" t="n">
        <x:v>0</x:v>
      </x:c>
      <x:c r="E28" s="45" t="n">
        <x:v>2.11</x:v>
      </x:c>
      <x:c r="F28" s="45" t="n">
        <x:v>0.008</x:v>
      </x:c>
      <x:c r="G28" s="45" t="n">
        <x:f>SUM(C28:F28)</x:f>
        <x:v>2.118</x:v>
      </x:c>
      <x:c r="H28" s="45" t="n">
        <x:v>0.075</x:v>
      </x:c>
      <x:c r="I28" s="45" t="n">
        <x:v>0.012</x:v>
      </x:c>
      <x:c r="J28" s="45" t="n">
        <x:f>SUM(H28:I28)</x:f>
        <x:v>0.087</x:v>
      </x:c>
      <x:c r="K28" s="45" t="n">
        <x:f>K27+G28</x:f>
        <x:v>52.241500000000016</x:v>
      </x:c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32" t="n">
        <x:v>23</x:v>
      </x:c>
      <x:c r="B29" s="44" t="n">
        <x:v>1</x:v>
      </x:c>
      <x:c r="C29" s="45" t="n">
        <x:v>0</x:v>
      </x:c>
      <x:c r="D29" s="45" t="n">
        <x:v>0</x:v>
      </x:c>
      <x:c r="E29" s="45" t="n">
        <x:v>2.11</x:v>
      </x:c>
      <x:c r="F29" s="45" t="n">
        <x:v>0.008</x:v>
      </x:c>
      <x:c r="G29" s="45" t="n">
        <x:f>SUM(C29:F29)</x:f>
        <x:v>2.118</x:v>
      </x:c>
      <x:c r="H29" s="45" t="n">
        <x:v>0.075</x:v>
      </x:c>
      <x:c r="I29" s="45" t="n">
        <x:v>0.012</x:v>
      </x:c>
      <x:c r="J29" s="45" t="n">
        <x:f>SUM(H29:I29)</x:f>
        <x:v>0.087</x:v>
      </x:c>
      <x:c r="K29" s="45" t="n">
        <x:f>K28+G29</x:f>
        <x:v>54.35950000000002</x:v>
      </x:c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32" t="n">
        <x:v>24</x:v>
      </x:c>
      <x:c r="B30" s="44" t="n">
        <x:v>1</x:v>
      </x:c>
      <x:c r="C30" s="45" t="n">
        <x:v>0</x:v>
      </x:c>
      <x:c r="D30" s="45" t="n">
        <x:v>0</x:v>
      </x:c>
      <x:c r="E30" s="45" t="n">
        <x:v>2.11</x:v>
      </x:c>
      <x:c r="F30" s="45" t="n">
        <x:v>0.008</x:v>
      </x:c>
      <x:c r="G30" s="45" t="n">
        <x:f>SUM(C30:F30)</x:f>
        <x:v>2.118</x:v>
      </x:c>
      <x:c r="H30" s="45" t="n">
        <x:v>0.075</x:v>
      </x:c>
      <x:c r="I30" s="45" t="n">
        <x:v>0.012</x:v>
      </x:c>
      <x:c r="J30" s="45" t="n">
        <x:f>SUM(H30:I30)</x:f>
        <x:v>0.087</x:v>
      </x:c>
      <x:c r="K30" s="45" t="n">
        <x:f>K29+G30</x:f>
        <x:v>56.47750000000002</x:v>
      </x:c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32" t="n">
        <x:v>25</x:v>
      </x:c>
      <x:c r="B31" s="44" t="n">
        <x:v>1</x:v>
      </x:c>
      <x:c r="C31" s="45" t="n">
        <x:v>0</x:v>
      </x:c>
      <x:c r="D31" s="45" t="n">
        <x:v>0</x:v>
      </x:c>
      <x:c r="E31" s="45" t="n">
        <x:v>2.11</x:v>
      </x:c>
      <x:c r="F31" s="45" t="n">
        <x:v>0.008</x:v>
      </x:c>
      <x:c r="G31" s="45" t="n">
        <x:f>SUM(C31:F31)</x:f>
        <x:v>2.118</x:v>
      </x:c>
      <x:c r="H31" s="45" t="n">
        <x:v>0.075</x:v>
      </x:c>
      <x:c r="I31" s="45" t="n">
        <x:v>0.012</x:v>
      </x:c>
      <x:c r="J31" s="45" t="n">
        <x:f>SUM(H31:I31)</x:f>
        <x:v>0.087</x:v>
      </x:c>
      <x:c r="K31" s="45" t="n">
        <x:f>K30+G31</x:f>
        <x:v>58.59550000000002</x:v>
      </x:c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41" t="str">
        <x:v>Total</x:v>
      </x:c>
      <x:c r="B32" s="41" t="str">
        <x:v>Built</x:v>
      </x:c>
      <x:c r="C32" s="46" t="str">
        <x:v>Formation</x:v>
      </x:c>
      <x:c r="D32" s="46" t="str">
        <x:v>Common</x:v>
      </x:c>
      <x:c r="E32" s="46" t="str">
        <x:v>Operations</x:v>
      </x:c>
      <x:c r="F32" s="46" t="str">
        <x:v>Technology</x:v>
      </x:c>
      <x:c r="G32" s="46" t="str">
        <x:v>Public outlay</x:v>
      </x:c>
      <x:c r="H32" s="46" t="str">
        <x:v>Domestic market</x:v>
      </x:c>
      <x:c r="I32" s="46" t="str">
        <x:v>Partner market</x:v>
      </x:c>
      <x:c r="J32" s="46" t="str">
        <x:v>Market activity</x:v>
      </x:c>
      <x:c r="K32" s="46" t="str">
        <x:v>Cumulative</x:v>
      </x:c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38" t="str">
        <x:v>25 years</x:v>
      </x:c>
      <x:c r="B33" s="38"/>
      <x:c r="C33" s="47" t="n">
        <x:f>SUM(C7:C31)</x:f>
        <x:v>9.41056</x:v>
      </x:c>
      <x:c r="D33" s="47" t="n">
        <x:f>SUM(D7:D31)</x:f>
        <x:v>7.98944</x:v>
      </x:c>
      <x:c r="E33" s="47" t="n">
        <x:f>SUM(E7:E31)</x:f>
        <x:v>40.195499999999996</x:v>
      </x:c>
      <x:c r="F33" s="47" t="n">
        <x:f>SUM(F7:F31)</x:f>
        <x:v>0.9999999999999999</x:v>
      </x:c>
      <x:c r="G33" s="47" t="n">
        <x:f>SUM(G7:G31)</x:f>
        <x:v>58.59550000000002</x:v>
      </x:c>
      <x:c r="H33" s="47" t="n">
        <x:f>SUM(H7:H31)</x:f>
        <x:v>1.1249999999999998</x:v>
      </x:c>
      <x:c r="I33" s="47" t="n">
        <x:f>SUM(I7:I31)</x:f>
        <x:v>0.18000000000000002</x:v>
      </x:c>
      <x:c r="J33" s="47" t="n">
        <x:f>SUM(J7:J31)</x:f>
        <x:v>1.3049999999999997</x:v>
      </x:c>
      <x:c r="K33" s="47" t="n">
        <x:f>K31</x:f>
        <x:v>58.59550000000002</x:v>
      </x:c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" hidden="0" customWidth="1"/>
    <x:col min="2" max="2" width="97" hidden="0" customWidth="1"/>
    <x:col min="3" max="3" width="61" hidden="0" customWidth="1"/>
  </x:cols>
  <x:sheetData>
    <x:row r="2">
      <x:c r="A2" s="27" t="str">
        <x:v>Whole-department stress cases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Each case returns to the exact missing warrant and preserves useful safe service.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Case</x:v>
      </x:c>
      <x:c r="B6" s="31" t="str">
        <x:v>Required disposition</x:v>
      </x:c>
      <x:c r="C6" s="31" t="str">
        <x:v>Constitutional rule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 ht="39" customHeight="1">
      <x:c r="A7" s="37" t="str">
        <x:v>President orders an unproved prototype into service</x:v>
      </x:c>
      <x:c r="B7" s="37" t="str">
        <x:v>HOLD at W07/W08; use only certified fallback</x:v>
      </x:c>
      <x:c r="C7" s="37" t="str">
        <x:v>Executive direction is not technical fact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 ht="39" customHeight="1">
      <x:c r="A8" s="37" t="str">
        <x:v>Secretary moves money between exclusive accounts</x:v>
      </x:c>
      <x:c r="B8" s="37" t="str">
        <x:v>Return to Capital Board and enacted account</x:v>
      </x:c>
      <x:c r="C8" s="37" t="str">
        <x:v>Portfolio priority is not appropriation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 ht="39" customHeight="1">
      <x:c r="A9" s="37" t="str">
        <x:v>Mission command accepts without service release</x:v>
      </x:c>
      <x:c r="B9" s="37" t="str">
        <x:v>HOLD at W07</x:v>
      </x:c>
      <x:c r="C9" s="37" t="str">
        <x:v>Integration is not technical release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 ht="39" customHeight="1">
      <x:c r="A10" s="37" t="str">
        <x:v>Service releases an article despite failed mission chain</x:v>
      </x:c>
      <x:c r="B10" s="37" t="str">
        <x:v>HOLD at W05</x:v>
      </x:c>
      <x:c r="C10" s="37" t="str">
        <x:v>Technical adequacy is not complete service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 ht="39" customHeight="1">
      <x:c r="A11" s="37" t="str">
        <x:v>Proving Service kills a politically favored root</x:v>
      </x:c>
      <x:c r="B11" s="37" t="str">
        <x:v>Preserve evidence, kill root, fund an independent alternate</x:v>
      </x:c>
      <x:c r="C11" s="37" t="str">
        <x:v>Prestige is not renewal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 ht="39" customHeight="1">
      <x:c r="A12" s="37" t="str">
        <x:v>One firm gains decisive control of two roots</x:v>
      </x:c>
      <x:c r="B12" s="37" t="str">
        <x:v>Remove independence credit and recharter or divest</x:v>
      </x:c>
      <x:c r="C12" s="37" t="str">
        <x:v>Legal labels are not rivalry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 ht="39" customHeight="1">
      <x:c r="A13" s="37" t="str">
        <x:v>NMAC allocates one serial to two campaigns</x:v>
      </x:c>
      <x:c r="B13" s="37" t="str">
        <x:v>Both conflicting claims return to HOLD until recompiled</x:v>
      </x:c>
      <x:c r="C13" s="37" t="str">
        <x:v>One serial cannot satisfy two clocks</x:v>
      </x:c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 ht="39" customHeight="1">
      <x:c r="A14" s="37" t="str">
        <x:v>Domestic catastrophe follows invited acceptance</x:v>
      </x:c>
      <x:c r="B14" s="37" t="str">
        <x:v>Use reserve/buffer or reduce new promise; no unilateral recall</x:v>
      </x:c>
      <x:c r="C14" s="37" t="str">
        <x:v>Domestic urgency is not bilateral release</x:v>
      </x:c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 ht="39" customHeight="1">
      <x:c r="A15" s="37" t="str">
        <x:v>Host revokes invited consent</x:v>
      </x:c>
      <x:c r="B15" s="37" t="str">
        <x:v>Stop, safe, remedy and exit</x:v>
      </x:c>
      <x:c r="C15" s="37" t="str">
        <x:v>Access is not command</x:v>
      </x:c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 ht="39" customHeight="1">
      <x:c r="A16" s="37" t="str">
        <x:v>Civil receiver rejects technically successful output</x:v>
      </x:c>
      <x:c r="B16" s="37" t="str">
        <x:v>No public-effect credit; preserve safe state and remedy</x:v>
      </x:c>
      <x:c r="C16" s="37" t="str">
        <x:v>Output is not accepted service</x:v>
      </x:c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 ht="39" customHeight="1">
      <x:c r="A17" s="37" t="str">
        <x:v>Useful-output market revenue collapses</x:v>
      </x:c>
      <x:c r="B17" s="37" t="str">
        <x:v>Use enacted availability service, redesign or reduce authority</x:v>
      </x:c>
      <x:c r="C17" s="37" t="str">
        <x:v>Revenue is not readiness</x:v>
      </x:c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 ht="39" customHeight="1">
      <x:c r="A18" s="37" t="str">
        <x:v>One readiness district and the Secretary are unavailable</x:v>
      </x:c>
      <x:c r="B18" s="37" t="str">
        <x:v>Use N−1 force plan and bounded statutory alternates</x:v>
      </x:c>
      <x:c r="C18" s="37" t="str">
        <x:v>Continuity does not migrate powers</x:v>
      </x:c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" hidden="0" customWidth="1"/>
    <x:col min="2" max="2" width="21" hidden="0" customWidth="1"/>
    <x:col min="3" max="3" width="21" hidden="0" customWidth="1"/>
    <x:col min="4" max="4" width="18" hidden="0" customWidth="1"/>
    <x:col min="5" max="5" width="14" hidden="0" customWidth="1"/>
  </x:cols>
  <x:sheetData>
    <x:row r="2">
      <x:c r="A2" s="27" t="str">
        <x:v>Terminal reconciliation audit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Audit is a one-way reader of the model. No operating or output sheet depends on it.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Audit</x:v>
      </x:c>
      <x:c r="B6" s="31" t="str">
        <x:v>Expected</x:v>
      </x:c>
      <x:c r="C6" s="31" t="str">
        <x:v>Observed</x:v>
      </x:c>
      <x:c r="D6" s="31" t="str">
        <x:v>Difference</x:v>
      </x:c>
      <x:c r="E6" s="31" t="str">
        <x:v>Result</x:v>
      </x:c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Constitutional houses</x:v>
      </x:c>
      <x:c r="B7" s="32" t="n">
        <x:v>5</x:v>
      </x:c>
      <x:c r="C7" s="32" t="n">
        <x:f>COUNTA('Five Houses'!A7:A11)</x:f>
        <x:v>5</x:v>
      </x:c>
      <x:c r="D7" s="48" t="n">
        <x:f>C7-B7</x:f>
        <x:v>0</x:v>
      </x:c>
      <x:c r="E7" s="32" t="str">
        <x:f>IF(ABS(D7)&lt;0.01,"PASS","FAIL")</x:f>
        <x:v>PASS</x:v>
      </x:c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Institution classes</x:v>
      </x:c>
      <x:c r="B8" s="32" t="n">
        <x:v>17</x:v>
      </x:c>
      <x:c r="C8" s="32" t="n">
        <x:f>COUNTA('Institution Classes'!A7:A23)</x:f>
        <x:v>17</x:v>
      </x:c>
      <x:c r="D8" s="48" t="n">
        <x:f>C8-B8</x:f>
        <x:v>0</x:v>
      </x:c>
      <x:c r="E8" s="32" t="str">
        <x:f>IF(ABS(D8)&lt;0.01,"PASS","FAIL")</x:f>
        <x:v>PASS</x:v>
      </x:c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Warrants</x:v>
      </x:c>
      <x:c r="B9" s="32" t="n">
        <x:v>17</x:v>
      </x:c>
      <x:c r="C9" s="32" t="n">
        <x:f>COUNTA('Warrant State Machine'!A7:A23)</x:f>
        <x:v>17</x:v>
      </x:c>
      <x:c r="D9" s="48" t="n">
        <x:f>C9-B9</x:f>
        <x:v>0</x:v>
      </x:c>
      <x:c r="E9" s="32" t="str">
        <x:f>IF(ABS(D9)&lt;0.01,"PASS","FAIL")</x:f>
        <x:v>PASS</x:v>
      </x:c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Warrant issuers populated</x:v>
      </x:c>
      <x:c r="B10" s="32" t="n">
        <x:v>17</x:v>
      </x:c>
      <x:c r="C10" s="32" t="n">
        <x:f>COUNTA('Warrant State Machine'!C7:C23)</x:f>
        <x:v>17</x:v>
      </x:c>
      <x:c r="D10" s="48" t="n">
        <x:f>C10-B10</x:f>
        <x:v>0</x:v>
      </x:c>
      <x:c r="E10" s="32" t="str">
        <x:f>IF(ABS(D10)&lt;0.01,"PASS","FAIL")</x:f>
        <x:v>PASS</x:v>
      </x:c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Warrant negative authorities populated</x:v>
      </x:c>
      <x:c r="B11" s="32" t="n">
        <x:v>17</x:v>
      </x:c>
      <x:c r="C11" s="32" t="n">
        <x:f>COUNTA('Warrant State Machine'!E7:E23)</x:f>
        <x:v>17</x:v>
      </x:c>
      <x:c r="D11" s="48" t="n">
        <x:f>C11-B11</x:f>
        <x:v>0</x:v>
      </x:c>
      <x:c r="E11" s="32" t="str">
        <x:f>IF(ABS(D11)&lt;0.01,"PASS","FAIL")</x:f>
        <x:v>PASS</x:v>
      </x:c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str">
        <x:v>Nondelegation laws</x:v>
      </x:c>
      <x:c r="B12" s="32" t="n">
        <x:v>18</x:v>
      </x:c>
      <x:c r="C12" s="32" t="n">
        <x:f>COUNTA('Nondelegation Laws'!A7:A24)</x:f>
        <x:v>18</x:v>
      </x:c>
      <x:c r="D12" s="48" t="n">
        <x:f>C12-B12</x:f>
        <x:v>0</x:v>
      </x:c>
      <x:c r="E12" s="32" t="str">
        <x:f>IF(ABS(D12)&lt;0.01,"PASS","FAIL")</x:f>
        <x:v>PASS</x:v>
      </x:c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32" t="str">
        <x:v>Mission systems</x:v>
      </x:c>
      <x:c r="B13" s="32" t="n">
        <x:v>6</x:v>
      </x:c>
      <x:c r="C13" s="32" t="n">
        <x:f>COUNTA('Mission Systems'!A7:A12)</x:f>
        <x:v>6</x:v>
      </x:c>
      <x:c r="D13" s="48" t="n">
        <x:f>C13-B13</x:f>
        <x:v>0</x:v>
      </x:c>
      <x:c r="E13" s="32" t="str">
        <x:f>IF(ABS(D13)&lt;0.01,"PASS","FAIL")</x:f>
        <x:v>PASS</x:v>
      </x:c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32" t="str">
        <x:v>Generating services</x:v>
      </x:c>
      <x:c r="B14" s="32" t="n">
        <x:v>7</x:v>
      </x:c>
      <x:c r="C14" s="32" t="n">
        <x:f>Controls!B12</x:f>
        <x:v>7</x:v>
      </x:c>
      <x:c r="D14" s="48" t="n">
        <x:f>C14-B14</x:f>
        <x:v>0</x:v>
      </x:c>
      <x:c r="E14" s="32" t="str">
        <x:f>IF(ABS(D14)&lt;0.01,"PASS","FAIL")</x:f>
        <x:v>PASS</x:v>
      </x:c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32" t="str">
        <x:v>Effect ledgers</x:v>
      </x:c>
      <x:c r="B15" s="32" t="n">
        <x:v>9</x:v>
      </x:c>
      <x:c r="C15" s="32" t="n">
        <x:f>COUNTA('Effect Matrix'!A7:A15)</x:f>
        <x:v>9</x:v>
      </x:c>
      <x:c r="D15" s="48" t="n">
        <x:f>C15-B15</x:f>
        <x:v>0</x:v>
      </x:c>
      <x:c r="E15" s="32" t="str">
        <x:f>IF(ABS(D15)&lt;0.01,"PASS","FAIL")</x:f>
        <x:v>PASS</x:v>
      </x:c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32" t="str">
        <x:v>Formation families</x:v>
      </x:c>
      <x:c r="B16" s="32" t="n">
        <x:v>48</x:v>
      </x:c>
      <x:c r="C16" s="32" t="n">
        <x:f>'Mission Systems'!C16</x:f>
        <x:v>48</x:v>
      </x:c>
      <x:c r="D16" s="48" t="n">
        <x:f>C16-B16</x:f>
        <x:v>0</x:v>
      </x:c>
      <x:c r="E16" s="32" t="str">
        <x:f>IF(ABS(D16)&lt;0.01,"PASS","FAIL")</x:f>
        <x:v>PASS</x:v>
      </x:c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32" t="str">
        <x:v>Committed demand</x:v>
      </x:c>
      <x:c r="B17" s="32" t="n">
        <x:v>2420</x:v>
      </x:c>
      <x:c r="C17" s="32" t="n">
        <x:f>'Mission Systems'!D16</x:f>
        <x:v>2420</x:v>
      </x:c>
      <x:c r="D17" s="48" t="n">
        <x:f>C17-B17</x:f>
        <x:v>0</x:v>
      </x:c>
      <x:c r="E17" s="32" t="str">
        <x:f>IF(ABS(D17)&lt;0.01,"PASS","FAIL")</x:f>
        <x:v>PASS</x:v>
      </x:c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32" t="str">
        <x:v>N−1 inventory</x:v>
      </x:c>
      <x:c r="B18" s="32" t="n">
        <x:v>5251</x:v>
      </x:c>
      <x:c r="C18" s="32" t="n">
        <x:f>'Mission Systems'!E16</x:f>
        <x:v>5251</x:v>
      </x:c>
      <x:c r="D18" s="48" t="n">
        <x:f>C18-B18</x:f>
        <x:v>0</x:v>
      </x:c>
      <x:c r="E18" s="32" t="str">
        <x:f>IF(ABS(D18)&lt;0.01,"PASS","FAIL")</x:f>
        <x:v>PASS</x:v>
      </x:c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32" t="str">
        <x:v>Active service pairs</x:v>
      </x:c>
      <x:c r="B19" s="32" t="n">
        <x:v>22</x:v>
      </x:c>
      <x:c r="C19" s="32" t="n">
        <x:f>'Service Matrix'!J16</x:f>
        <x:v>22</x:v>
      </x:c>
      <x:c r="D19" s="48" t="n">
        <x:f>C19-B19</x:f>
        <x:v>0</x:v>
      </x:c>
      <x:c r="E19" s="32" t="str">
        <x:f>IF(ABS(D19)&lt;0.01,"PASS","FAIL")</x:f>
        <x:v>PASS</x:v>
      </x:c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32" t="str">
        <x:v>Service demand</x:v>
      </x:c>
      <x:c r="B20" s="32" t="n">
        <x:v>2420</x:v>
      </x:c>
      <x:c r="C20" s="32" t="n">
        <x:f>'Service Matrix'!K16</x:f>
        <x:v>2420</x:v>
      </x:c>
      <x:c r="D20" s="48" t="n">
        <x:f>C20-B20</x:f>
        <x:v>0</x:v>
      </x:c>
      <x:c r="E20" s="32" t="str">
        <x:f>IF(ABS(D20)&lt;0.01,"PASS","FAIL")</x:f>
        <x:v>PASS</x:v>
      </x:c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32" t="str">
        <x:v>Effect demand</x:v>
      </x:c>
      <x:c r="B21" s="32" t="n">
        <x:v>2420</x:v>
      </x:c>
      <x:c r="C21" s="32" t="n">
        <x:f>'Effect Matrix'!D19</x:f>
        <x:v>2420</x:v>
      </x:c>
      <x:c r="D21" s="48" t="n">
        <x:f>C21-B21</x:f>
        <x:v>0</x:v>
      </x:c>
      <x:c r="E21" s="32" t="str">
        <x:f>IF(ABS(D21)&lt;0.01,"PASS","FAIL")</x:f>
        <x:v>PASS</x:v>
      </x:c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32" t="str">
        <x:v>Mission technology USD B</x:v>
      </x:c>
      <x:c r="B22" s="32" t="n">
        <x:v>550</x:v>
      </x:c>
      <x:c r="C22" s="32" t="n">
        <x:f>'Mission Systems'!F16</x:f>
        <x:v>550</x:v>
      </x:c>
      <x:c r="D22" s="48" t="n">
        <x:f>C22-B22</x:f>
        <x:v>0</x:v>
      </x:c>
      <x:c r="E22" s="32" t="str">
        <x:f>IF(ABS(D22)&lt;0.01,"PASS","FAIL")</x:f>
        <x:v>PASS</x:v>
      </x:c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32" t="str">
        <x:v>Technology program USD B</x:v>
      </x:c>
      <x:c r="B23" s="32" t="n">
        <x:v>1000</x:v>
      </x:c>
      <x:c r="C23" s="32" t="n">
        <x:f>'Fiscal Constitution'!C20</x:f>
        <x:v>1000</x:v>
      </x:c>
      <x:c r="D23" s="48" t="n">
        <x:f>C23-B23</x:f>
        <x:v>0</x:v>
      </x:c>
      <x:c r="E23" s="32" t="str">
        <x:f>IF(ABS(D23)&lt;0.01,"PASS","FAIL")</x:f>
        <x:v>PASS</x:v>
      </x:c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32" t="str">
        <x:v>Mature capital USD B</x:v>
      </x:c>
      <x:c r="B24" s="32" t="n">
        <x:v>17400</x:v>
      </x:c>
      <x:c r="C24" s="32" t="n">
        <x:f>'Fiscal Constitution'!C21</x:f>
        <x:v>17400</x:v>
      </x:c>
      <x:c r="D24" s="48" t="n">
        <x:f>C24-B24</x:f>
        <x:v>0</x:v>
      </x:c>
      <x:c r="E24" s="32" t="str">
        <x:f>IF(ABS(D24)&lt;0.01,"PASS","FAIL")</x:f>
        <x:v>PASS</x:v>
      </x:c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32" t="str">
        <x:v>25-year public outlay USD B</x:v>
      </x:c>
      <x:c r="B25" s="32" t="n">
        <x:v>58595.5</x:v>
      </x:c>
      <x:c r="C25" s="32" t="n">
        <x:f>'25-Year Economy'!G33*1000</x:f>
        <x:v>58595.50000000002</x:v>
      </x:c>
      <x:c r="D25" s="48" t="n">
        <x:f>C25-B25</x:f>
        <x:v>2.1827872842550278e-11</x:v>
      </x:c>
      <x:c r="E25" s="32" t="str">
        <x:f>IF(ABS(D25)&lt;0.01,"PASS","FAIL")</x:f>
        <x:v>PASS</x:v>
      </x:c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32" t="str">
        <x:v>Separate market activity USD B</x:v>
      </x:c>
      <x:c r="B26" s="32" t="n">
        <x:v>1305</x:v>
      </x:c>
      <x:c r="C26" s="32" t="n">
        <x:f>'25-Year Economy'!J33*1000</x:f>
        <x:v>1304.9999999999998</x:v>
      </x:c>
      <x:c r="D26" s="48" t="n">
        <x:f>C26-B26</x:f>
        <x:v>-2.2737367544323206e-13</x:v>
      </x:c>
      <x:c r="E26" s="32" t="str">
        <x:f>IF(ABS(D26)&lt;0.01,"PASS","FAIL")</x:f>
        <x:v>PASS</x:v>
      </x:c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32" t="str">
        <x:v>Implementation authority</x:v>
      </x:c>
      <x:c r="B27" s="32" t="n">
        <x:v>0</x:v>
      </x:c>
      <x:c r="C27" s="32" t="n">
        <x:f>Controls!B23</x:f>
        <x:v>0</x:v>
      </x:c>
      <x:c r="D27" s="48" t="n">
        <x:f>C27-B27</x:f>
        <x:v>0</x:v>
      </x:c>
      <x:c r="E27" s="32" t="str">
        <x:f>IF(ABS(D27)&lt;0.01,"PASS","FAIL")</x:f>
        <x:v>PASS</x:v>
      </x:c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32" t="str">
        <x:v>Strategic effect credit</x:v>
      </x:c>
      <x:c r="B28" s="32" t="n">
        <x:v>0</x:v>
      </x:c>
      <x:c r="C28" s="32" t="n">
        <x:f>Controls!B24</x:f>
        <x:v>0</x:v>
      </x:c>
      <x:c r="D28" s="48" t="n">
        <x:f>C28-B28</x:f>
        <x:v>0</x:v>
      </x:c>
      <x:c r="E28" s="32" t="str">
        <x:f>IF(ABS(D28)&lt;0.01,"PASS","FAIL")</x:f>
        <x:v>PASS</x:v>
      </x:c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</x:sheetData>
  <x:conditionalFormatting sqref="E7:E28">
    <x:cfRule type="containsText" dxfId="0" priority="1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6" hidden="0" customWidth="1"/>
    <x:col min="3" max="3" width="40" hidden="0" customWidth="1"/>
    <x:col min="4" max="4" width="15" hidden="0" customWidth="1"/>
    <x:col min="5" max="5" width="15" hidden="0" customWidth="1"/>
  </x:cols>
  <x:sheetData>
    <x:row r="2">
      <x:c r="A2" s="27" t="str">
        <x:v>Restored constitutional mutations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Every mutation is expected to fail and is restored before export.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Test</x:v>
      </x:c>
      <x:c r="B6" s="31" t="str">
        <x:v>Mutation</x:v>
      </x:c>
      <x:c r="C6" s="31" t="str">
        <x:v>Expected failure</x:v>
      </x:c>
      <x:c r="D6" s="31" t="str">
        <x:v>Mutated</x:v>
      </x:c>
      <x:c r="E6" s="31" t="str">
        <x:v>Restored</x:v>
      </x:c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str">
        <x:v>M1</x:v>
      </x:c>
      <x:c r="B7" s="32" t="str">
        <x:v>Let the Secretary override an adverse Proving Service disposition</x:v>
      </x:c>
      <x:c r="C7" s="32" t="str">
        <x:v>Evidence independence</x:v>
      </x:c>
      <x:c r="D7" s="32" t="str">
        <x:v>FAIL</x:v>
      </x:c>
      <x:c r="E7" s="32" t="str">
        <x:v>PASS</x:v>
      </x:c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str">
        <x:v>M2</x:v>
      </x:c>
      <x:c r="B8" s="32" t="str">
        <x:v>Add service executor work packages to mission-system appropriations</x:v>
      </x:c>
      <x:c r="C8" s="32" t="str">
        <x:v>Fiscal double count</x:v>
      </x:c>
      <x:c r="D8" s="32" t="str">
        <x:v>FAIL</x:v>
      </x:c>
      <x:c r="E8" s="32" t="str">
        <x:v>PASS</x:v>
      </x:c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str">
        <x:v>M3</x:v>
      </x:c>
      <x:c r="B9" s="32" t="str">
        <x:v>Treat host revocation as a logistics delay</x:v>
      </x:c>
      <x:c r="C9" s="32" t="str">
        <x:v>Sovereign consent</x:v>
      </x:c>
      <x:c r="D9" s="32" t="str">
        <x:v>FAIL</x:v>
      </x:c>
      <x:c r="E9" s="32" t="str">
        <x:v>PASS</x:v>
      </x:c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str">
        <x:v>M4</x:v>
      </x:c>
      <x:c r="B10" s="32" t="str">
        <x:v>Count partner-owned productive capacity as U.S. readiness</x:v>
      </x:c>
      <x:c r="C10" s="32" t="str">
        <x:v>Readiness inflation</x:v>
      </x:c>
      <x:c r="D10" s="32" t="str">
        <x:v>FAIL</x:v>
      </x:c>
      <x:c r="E10" s="32" t="str">
        <x:v>PASS</x:v>
      </x:c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str">
        <x:v>M5</x:v>
      </x:c>
      <x:c r="B11" s="32" t="str">
        <x:v>Renew a failed root because its strategic value is high</x:v>
      </x:c>
      <x:c r="C11" s="32" t="str">
        <x:v>Termination breach</x:v>
      </x:c>
      <x:c r="D11" s="32" t="str">
        <x:v>FAIL</x:v>
      </x:c>
      <x:c r="E11" s="32" t="str">
        <x:v>PASS</x:v>
      </x:c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6" hidden="0" customWidth="1"/>
    <x:col min="3" max="3" width="101" hidden="0" customWidth="1"/>
  </x:cols>
  <x:sheetData>
    <x:row r="2">
      <x:c r="A2" s="27" t="str">
        <x:v>Internal source lineage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No external sites or datasets are introduced in this constitutional synthesis.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Pass</x:v>
      </x:c>
      <x:c r="B6" s="31" t="str">
        <x:v>Internal artifact</x:v>
      </x:c>
      <x:c r="C6" s="31" t="str">
        <x:v>Claims used</x:v>
      </x:c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32" t="n">
        <x:v>166</x:v>
      </x:c>
      <x:c r="B7" s="37" t="str">
        <x:v>Joint mission-system appropriation constitution</x:v>
      </x:c>
      <x:c r="C7" s="37" t="str">
        <x:v>Five exclusive accounts and three-authority acceptance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32" t="n">
        <x:v>168</x:v>
      </x:c>
      <x:c r="B8" s="37" t="str">
        <x:v>Six mission-system portfolio topology</x:v>
      </x:c>
      <x:c r="C8" s="37" t="str">
        <x:v>Six systems, seven services, nine effects and twenty-two work-package pairs</x:v>
      </x:c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32" t="n">
        <x:v>185</x:v>
      </x:c>
      <x:c r="B9" s="37" t="str">
        <x:v>Industrial command constitution</x:v>
      </x:c>
      <x:c r="C9" s="37" t="str">
        <x:v>Constitutional matrix, Root Houses, Proving Service and serial warrants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32" t="n">
        <x:v>190</x:v>
      </x:c>
      <x:c r="B10" s="37" t="str">
        <x:v>Productive Commonwealth return</x:v>
      </x:c>
      <x:c r="C10" s="37" t="str">
        <x:v>Labor, supplier, public production and useful-output market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32" t="n">
        <x:v>195</x:v>
      </x:c>
      <x:c r="B11" s="37" t="str">
        <x:v>Force-generation compact and return</x:v>
      </x:c>
      <x:c r="C11" s="37" t="str">
        <x:v>Five circuits, fifteen institution classes, force and operating economy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32" t="n">
        <x:v>200</x:v>
      </x:c>
      <x:c r="B12" s="37" t="str">
        <x:v>Strategic Power Compact and return</x:v>
      </x:c>
      <x:c r="C12" s="37" t="str">
        <x:v>Four modes, sovereign receiver commons, activation, effect renewal and termination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2" hidden="0" customWidth="1"/>
  </x:cols>
  <x:sheetData>
    <x:row r="2">
      <x:c r="A2" s="27" t="str">
        <x:v>Model use and limits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This workbook constitutes Department authority. It does not commission institutions, sites, platforms or missions.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31" t="str">
        <x:v>Topic</x:v>
      </x:c>
      <x:c r="B6" s="31" t="str">
        <x:v>Guidance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 ht="48" customHeight="1">
      <x:c r="A7" s="32" t="str">
        <x:v>Decision</x:v>
      </x:c>
      <x:c r="B7" s="37" t="str">
        <x:v>Select a five-house constitutional national-power matrix. Reject unified executive, sovereign-service, mission-agency and hazard-federation alternatives.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 ht="48" customHeight="1">
      <x:c r="A8" s="32" t="str">
        <x:v>Authority</x:v>
      </x:c>
      <x:c r="B8" s="37" t="str">
        <x:v>Seventeen institution classes exchange seventeen typed warrants. Every state has an issuer, receiver, negative authority, rollback and expiry.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 ht="48" customHeight="1">
      <x:c r="A9" s="32" t="str">
        <x:v>Emergency law</x:v>
      </x:c>
      <x:c r="B9" s="37" t="str">
        <x:v>Urgency can reorder certified capacity or invoke a certified fallback. It cannot waive technical, evidence, rights, readiness or consent states.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 ht="48" customHeight="1">
      <x:c r="A10" s="32" t="str">
        <x:v>Operating topology</x:v>
      </x:c>
      <x:c r="B10" s="37" t="str">
        <x:v>Six mission systems integrate forty-eight families across seven services and nine effect ledgers. Twenty-two active service pairs carry 2,420 committed demands.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 ht="48" customHeight="1">
      <x:c r="A11" s="32" t="str">
        <x:v>Fiscal reading</x:v>
      </x:c>
      <x:c r="B11" s="37" t="str">
        <x:v>USD 1T technology, USD 17.4T mature capital and USD 40.2T ramped operations produce about USD 58.6T of 25-year public outlay. Market activity remains separate.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 ht="48" customHeight="1">
      <x:c r="A12" s="32" t="str">
        <x:v>Evidence</x:v>
      </x:c>
      <x:c r="B12" s="37" t="str">
        <x:v>All institution identities, warrants, evidence and effect claims remain source-empty. Released implementation authority and strategic effect are zero.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 ht="48" customHeight="1">
      <x:c r="A13" s="32" t="str">
        <x:v>No renderings</x:v>
      </x:c>
      <x:c r="B13" s="37" t="str">
        <x:v>No platform exterior, facility design or geographic site is authorized.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 ht="48" customHeight="1">
      <x:c r="A14" s="32" t="str">
        <x:v>Next</x:v>
      </x:c>
      <x:c r="B14" s="37" t="str">
        <x:v>The next Department-level resolution is the domestic public-service sovereignty and activation compact.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</x:sheetData>
  <x:pageMargins left="0.7" right="0.7" top="0.75" bottom="0.75" header="0.3" footer="0.3"/>
</x:worksheet>
</file>