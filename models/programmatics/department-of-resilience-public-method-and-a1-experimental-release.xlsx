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" sheetId="1" state="visible" r:id="rId3"/>
    <sheet name="Architecture Test" sheetId="2" state="visible" r:id="rId4"/>
    <sheet name="A0 Packages" sheetId="3" state="visible" r:id="rId5"/>
    <sheet name="Receiver States" sheetId="4" state="visible" r:id="rId6"/>
    <sheet name="Public Methods" sheetId="5" state="visible" r:id="rId7"/>
    <sheet name="A1 Releases" sheetId="6" state="visible" r:id="rId8"/>
    <sheet name="Ancestry Firewall" sheetId="7" state="visible" r:id="rId9"/>
    <sheet name="Experiment Plan" sheetId="8" state="visible" r:id="rId10"/>
    <sheet name="Public Seams" sheetId="9" state="visible" r:id="rId11"/>
    <sheet name="Governance" sheetId="10" state="visible" r:id="rId12"/>
    <sheet name="Finance" sheetId="11" state="visible" r:id="rId13"/>
    <sheet name="Technology Agenda" sheetId="12" state="visible" r:id="rId14"/>
    <sheet name="Stress Tests" sheetId="13" state="visible" r:id="rId15"/>
    <sheet name="Mutations" sheetId="14" state="visible" r:id="rId16"/>
    <sheet name="Audit" sheetId="15" state="visible" r:id="rId17"/>
    <sheet name="Sources &amp; Limits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<sst xmlns="http://schemas.openxmlformats.org/spreadsheetml/2006/main" count="6338" uniqueCount="1006">
  <si>
    <t xml:space="preserve">Public method and A1 experimental release</t>
  </si>
  <si>
    <t xml:space="preserve">Pass 209 | PFP-4 | federated physical-truth architecture | Verdict: CLOSE</t>
  </si>
  <si>
    <t xml:space="preserve">Decision</t>
  </si>
  <si>
    <t xml:space="preserve">Constitute six A0 public requirement packages and issue twenty-four root-distinct A1 development warrants through a federated physical-truth architecture. Each A0 contains four receiver states and twelve method cards. Every decisive method must be realized through two unlike emulator lineages. Shared public seams define meaning and evidence; no common runtime, estimator, controller, safeing implementation or build compiler may enter a candidate root.</t>
  </si>
  <si>
    <t xml:space="preserve">Program control</t>
  </si>
  <si>
    <t xml:space="preserve">Value</t>
  </si>
  <si>
    <t xml:space="preserve">Unit</t>
  </si>
  <si>
    <t xml:space="preserve">Financial boundary</t>
  </si>
  <si>
    <t xml:space="preserve">Selected architecture</t>
  </si>
  <si>
    <t xml:space="preserve">architecture</t>
  </si>
  <si>
    <t xml:space="preserve">Selected-field T1 ceiling</t>
  </si>
  <si>
    <t xml:space="preserve">USD billions</t>
  </si>
  <si>
    <t xml:space="preserve">A0 packages</t>
  </si>
  <si>
    <t xml:space="preserve">packages</t>
  </si>
  <si>
    <t xml:space="preserve">Private stageable options</t>
  </si>
  <si>
    <t xml:space="preserve">Receiver states</t>
  </si>
  <si>
    <t xml:space="preserve">states</t>
  </si>
  <si>
    <t xml:space="preserve">Evidence-held mission authority</t>
  </si>
  <si>
    <t xml:space="preserve">Public method cards</t>
  </si>
  <si>
    <t xml:space="preserve">cards</t>
  </si>
  <si>
    <t xml:space="preserve">A0 public-method reservation</t>
  </si>
  <si>
    <t xml:space="preserve">Method realization lineages</t>
  </si>
  <si>
    <t xml:space="preserve">lineages</t>
  </si>
  <si>
    <t xml:space="preserve">Private payment through MAKE</t>
  </si>
  <si>
    <t xml:space="preserve">A1 development warrants</t>
  </si>
  <si>
    <t xml:space="preserve">warrants</t>
  </si>
  <si>
    <t xml:space="preserve">Remaining stageable after MAKE</t>
  </si>
  <si>
    <t xml:space="preserve">Decisive ancestry declarations</t>
  </si>
  <si>
    <t xml:space="preserve">exclusive domains</t>
  </si>
  <si>
    <t xml:space="preserve">Current private obligations</t>
  </si>
  <si>
    <t xml:space="preserve">Planned method-article cells</t>
  </si>
  <si>
    <t xml:space="preserve">cells</t>
  </si>
  <si>
    <t xml:space="preserve">Current public obligations</t>
  </si>
  <si>
    <t xml:space="preserve">Planned physical event slots</t>
  </si>
  <si>
    <t xml:space="preserve">events</t>
  </si>
  <si>
    <t xml:space="preserve">Accepted physical events</t>
  </si>
  <si>
    <t xml:space="preserve">Public seams</t>
  </si>
  <si>
    <t xml:space="preserve">semantics</t>
  </si>
  <si>
    <t xml:space="preserve">Current field credit</t>
  </si>
  <si>
    <t xml:space="preserve">fields</t>
  </si>
  <si>
    <t xml:space="preserve">Current awards</t>
  </si>
  <si>
    <t xml:space="preserve">awards</t>
  </si>
  <si>
    <t xml:space="preserve">Production credit</t>
  </si>
  <si>
    <t xml:space="preserve">Nonconversion boundary</t>
  </si>
  <si>
    <t xml:space="preserve">A0 FROZEN FOR ISSUE means the public method can govern a competition. A1 ISSUE AUTHORIZED means a root-distinct development warrant may be competed. Neither status identifies a firm, accepts an article, records an event, pays a milestone, proves a field, completes a root or opens production. All supplier, site, lineage, serial and observed-result identities remain source-empty.</t>
  </si>
  <si>
    <t xml:space="preserve">Public test architecture selection</t>
  </si>
  <si>
    <t xml:space="preserve">All twelve gates are noncompensatory. The selected design separates public semantics, physical state realization, root execution and evidence judgment.</t>
  </si>
  <si>
    <t xml:space="preserve">Candidate</t>
  </si>
  <si>
    <t xml:space="preserve">Public method</t>
  </si>
  <si>
    <t xml:space="preserve">Service native</t>
  </si>
  <si>
    <t xml:space="preserve">Physical truth</t>
  </si>
  <si>
    <t xml:space="preserve">Dual realization</t>
  </si>
  <si>
    <t xml:space="preserve">Root-isolated runtime</t>
  </si>
  <si>
    <t xml:space="preserve">Blind allocation</t>
  </si>
  <si>
    <t xml:space="preserve">Rights stop</t>
  </si>
  <si>
    <t xml:space="preserve">Missingness law</t>
  </si>
  <si>
    <t xml:space="preserve">Cold replay</t>
  </si>
  <si>
    <t xml:space="preserve">Portable receiver</t>
  </si>
  <si>
    <t xml:space="preserve">Inside USD 12B</t>
  </si>
  <si>
    <t xml:space="preserve">Zero credit</t>
  </si>
  <si>
    <t xml:space="preserve">Passed gates</t>
  </si>
  <si>
    <t xml:space="preserve">Result</t>
  </si>
  <si>
    <t xml:space="preserve">Governing reason</t>
  </si>
  <si>
    <t xml:space="preserve">Federated physical-truth grid</t>
  </si>
  <si>
    <t xml:space="preserve">Public semantics are common; two unlike physical realization lineages challenge each root-distinct runtime under separated validity and disposition.</t>
  </si>
  <si>
    <t xml:space="preserve">National integrated range</t>
  </si>
  <si>
    <t xml:space="preserve">One center and common orchestration stack create a correlated measurement and control authority across all roots.</t>
  </si>
  <si>
    <t xml:space="preserve">Six system-owned ranges</t>
  </si>
  <si>
    <t xml:space="preserve">System ownership preserves domain knowledge but permits one implementation lineage and sponsor-controlled allocation.</t>
  </si>
  <si>
    <t xml:space="preserve">Twenty-four root-owned labs</t>
  </si>
  <si>
    <t xml:space="preserve">Root separation survives, but builders define their own receiver truth, missingness and safety boundary.</t>
  </si>
  <si>
    <t xml:space="preserve">Simulation-first qualification</t>
  </si>
  <si>
    <t xml:space="preserve">Simulation is useful for design but cannot establish full-scale physical state, residual custody or human-service burden.</t>
  </si>
  <si>
    <t xml:space="preserve">A0 Packages</t>
  </si>
  <si>
    <t xml:space="preserve">A0 is a public measurement instrument: subject, denominator, state space, challenge, controls, metrology, uncertainty, rights, evidence and amendment law are frozen before results.</t>
  </si>
  <si>
    <t xml:space="preserve">Package</t>
  </si>
  <si>
    <t xml:space="preserve">Version</t>
  </si>
  <si>
    <t xml:space="preserve">System</t>
  </si>
  <si>
    <t xml:space="preserve">Mission system</t>
  </si>
  <si>
    <t xml:space="preserve">Problem field</t>
  </si>
  <si>
    <t xml:space="preserve">Public subject</t>
  </si>
  <si>
    <t xml:space="preserve">Primary floor</t>
  </si>
  <si>
    <t xml:space="preserve">Vector coordinates</t>
  </si>
  <si>
    <t xml:space="preserve">Method cards</t>
  </si>
  <si>
    <t xml:space="preserve">Lineages per method</t>
  </si>
  <si>
    <t xml:space="preserve">Event slots</t>
  </si>
  <si>
    <t xml:space="preserve">Status</t>
  </si>
  <si>
    <t xml:space="preserve">Observed events</t>
  </si>
  <si>
    <t xml:space="preserve">Field credit</t>
  </si>
  <si>
    <t xml:space="preserve">Kill proposition</t>
  </si>
  <si>
    <t xml:space="preserve">A0-ET</t>
  </si>
  <si>
    <t xml:space="preserve">A0.1</t>
  </si>
  <si>
    <t xml:space="preserve">MS-ET</t>
  </si>
  <si>
    <t xml:space="preserve">Enter a broken theater</t>
  </si>
  <si>
    <t xml:space="preserve">No-pier heavy transfer</t>
  </si>
  <si>
    <t xml:space="preserve">accepted formation and cargo custody from water or air interface through dry staging</t>
  </si>
  <si>
    <t xml:space="preserve">accepted tonnes/day</t>
  </si>
  <si>
    <t xml:space="preserve">FROZEN FOR ISSUE</t>
  </si>
  <si>
    <t xml:space="preserve">No-pier entry cannot preserve accepted custody after largest-path loss.</t>
  </si>
  <si>
    <t xml:space="preserve">A0-CT</t>
  </si>
  <si>
    <t xml:space="preserve">MS-CT</t>
  </si>
  <si>
    <t xml:space="preserve">Reach occupied civil terrain</t>
  </si>
  <si>
    <t xml:space="preserve">Building and vertical access</t>
  </si>
  <si>
    <t xml:space="preserve">lawful person and household reach through occupied damaged structures</t>
  </si>
  <si>
    <t xml:space="preserve">people by hour 168</t>
  </si>
  <si>
    <t xml:space="preserve">Access cannot close every case or exception without intact cores or networks.</t>
  </si>
  <si>
    <t xml:space="preserve">A0-HC</t>
  </si>
  <si>
    <t xml:space="preserve">MS-HC</t>
  </si>
  <si>
    <t xml:space="preserve">Control an active hazard</t>
  </si>
  <si>
    <t xml:space="preserve">Persistent fire control</t>
  </si>
  <si>
    <t xml:space="preserve">measured edge control with responder safety and intervention residual custody</t>
  </si>
  <si>
    <t xml:space="preserve">protected kilometre</t>
  </si>
  <si>
    <t xml:space="preserve">A registered crossing, uncontrolled residual or shifted responder risk occurs.</t>
  </si>
  <si>
    <t xml:space="preserve">A0-LF</t>
  </si>
  <si>
    <t xml:space="preserve">MS-LF</t>
  </si>
  <si>
    <t xml:space="preserve">Produce and distribute lifelines</t>
  </si>
  <si>
    <t xml:space="preserve">Strategic water-energy carriers</t>
  </si>
  <si>
    <t xml:space="preserve">water, firm power, thermal service, storage and residual acceptance</t>
  </si>
  <si>
    <t xml:space="preserve">people served</t>
  </si>
  <si>
    <t xml:space="preserve">Source, conversion, corridor, point-of-use or residual closure depends on host service.</t>
  </si>
  <si>
    <t xml:space="preserve">A0-HU</t>
  </si>
  <si>
    <t xml:space="preserve">MS-HU</t>
  </si>
  <si>
    <t xml:space="preserve">Preserve care and human continuity</t>
  </si>
  <si>
    <t xml:space="preserve">Distributed definitive care</t>
  </si>
  <si>
    <t xml:space="preserve">completed appropriate clinical episodes across ten unlike care lines</t>
  </si>
  <si>
    <t xml:space="preserve">people for 30 days</t>
  </si>
  <si>
    <t xml:space="preserve">Any care line disappears after one island and one utility-family loss.</t>
  </si>
  <si>
    <t xml:space="preserve">A0-RT</t>
  </si>
  <si>
    <t xml:space="preserve">MS-RT</t>
  </si>
  <si>
    <t xml:space="preserve">Sustain, transfer and regenerate</t>
  </si>
  <si>
    <t xml:space="preserve">Field regeneration</t>
  </si>
  <si>
    <t xml:space="preserve">critical articles returned to a known configuration with independent release</t>
  </si>
  <si>
    <t xml:space="preserve">controlled positions</t>
  </si>
  <si>
    <t xml:space="preserve">A critical class is missing or physical repair lacks sovereign recertification.</t>
  </si>
  <si>
    <t xml:space="preserve">Receiver States</t>
  </si>
  <si>
    <t xml:space="preserve">Four receiver-state classes per system preserve the complete path from physical interface to public acceptance, burden and reset.</t>
  </si>
  <si>
    <t xml:space="preserve">State</t>
  </si>
  <si>
    <t xml:space="preserve">Receiver state</t>
  </si>
  <si>
    <t xml:space="preserve">Physical boundary</t>
  </si>
  <si>
    <t xml:space="preserve">Primary denial</t>
  </si>
  <si>
    <t xml:space="preserve">Required reset</t>
  </si>
  <si>
    <t xml:space="preserve">Rights or residual guard</t>
  </si>
  <si>
    <t xml:space="preserve">Implementation identity</t>
  </si>
  <si>
    <t xml:space="preserve">Accepted realization</t>
  </si>
  <si>
    <t xml:space="preserve">ET-S1</t>
  </si>
  <si>
    <t xml:space="preserve">Moving interface</t>
  </si>
  <si>
    <t xml:space="preserve">wave, wind, motion and heavy-load exchange boundary</t>
  </si>
  <si>
    <t xml:space="preserve">largest transfer path and primary time absent</t>
  </si>
  <si>
    <t xml:space="preserve">empty, dry and surveyed load interface</t>
  </si>
  <si>
    <t xml:space="preserve">no people or cargo exposed to unbounded motion</t>
  </si>
  <si>
    <t xml:space="preserve">SOURCE EMPTY</t>
  </si>
  <si>
    <t xml:space="preserve">ET-S2</t>
  </si>
  <si>
    <t xml:space="preserve">Shore transition</t>
  </si>
  <si>
    <t xml:space="preserve">surf, beach, shallow-water or austere landing transition</t>
  </si>
  <si>
    <t xml:space="preserve">one medium and one approach geometry denied</t>
  </si>
  <si>
    <t xml:space="preserve">route reopened or isolated with state preserved</t>
  </si>
  <si>
    <t xml:space="preserve">no unmeasured seabed, shore or environmental burden</t>
  </si>
  <si>
    <t xml:space="preserve">ET-S3</t>
  </si>
  <si>
    <t xml:space="preserve">Dry staging</t>
  </si>
  <si>
    <t xml:space="preserve">hazard segregation, inspection, cross-dock and custody</t>
  </si>
  <si>
    <t xml:space="preserve">host handling, grid and network absent</t>
  </si>
  <si>
    <t xml:space="preserve">all cargo dispositioned and stage cleared</t>
  </si>
  <si>
    <t xml:space="preserve">no accepted flow before identity and hazard closure</t>
  </si>
  <si>
    <t xml:space="preserve">ET-S4</t>
  </si>
  <si>
    <t xml:space="preserve">Onward handoff</t>
  </si>
  <si>
    <t xml:space="preserve">formation-complete cargo reaches a damaged inland receiver</t>
  </si>
  <si>
    <t xml:space="preserve">largest onward route and central dispatcher lost</t>
  </si>
  <si>
    <t xml:space="preserve">receiver acceptance or explicit exception</t>
  </si>
  <si>
    <t xml:space="preserve">no discharge-only credit or receiver labor subsidy</t>
  </si>
  <si>
    <t xml:space="preserve">CT-S1</t>
  </si>
  <si>
    <t xml:space="preserve">District approach</t>
  </si>
  <si>
    <t xml:space="preserve">blocked, flooded, heated or contaminated street edge</t>
  </si>
  <si>
    <t xml:space="preserve">commercial network and primary approach denied</t>
  </si>
  <si>
    <t xml:space="preserve">safe alternate access established</t>
  </si>
  <si>
    <t xml:space="preserve">no path created by transferring hazard to residents</t>
  </si>
  <si>
    <t xml:space="preserve">CT-S2</t>
  </si>
  <si>
    <t xml:space="preserve">Occupied low-rise</t>
  </si>
  <si>
    <t xml:space="preserve">people remain inside cluttered damaged buildings</t>
  </si>
  <si>
    <t xml:space="preserve">normal power, lighting and one egress absent</t>
  </si>
  <si>
    <t xml:space="preserve">every case closed or retained in exception queue</t>
  </si>
  <si>
    <t xml:space="preserve">consent, accessibility and refusal remain visible</t>
  </si>
  <si>
    <t xml:space="preserve">CT-S3</t>
  </si>
  <si>
    <t xml:space="preserve">High-rise vertical</t>
  </si>
  <si>
    <t xml:space="preserve">core, lift or stair function is partially lost</t>
  </si>
  <si>
    <t xml:space="preserve">one vertical system and exterior access face denied</t>
  </si>
  <si>
    <t xml:space="preserve">protected ascent, descent and refuge reset</t>
  </si>
  <si>
    <t xml:space="preserve">no unsafe facade load or abandonment above reach</t>
  </si>
  <si>
    <t xml:space="preserve">CT-S4</t>
  </si>
  <si>
    <t xml:space="preserve">Refuge and egress</t>
  </si>
  <si>
    <t xml:space="preserve">mixed mobility, medical and household needs share constrained paths</t>
  </si>
  <si>
    <t xml:space="preserve">one operator company and one utility family absent</t>
  </si>
  <si>
    <t xml:space="preserve">lawful destination and return state recorded</t>
  </si>
  <si>
    <t xml:space="preserve">no speed credit from separating people from supports</t>
  </si>
  <si>
    <t xml:space="preserve">HC-S1</t>
  </si>
  <si>
    <t xml:space="preserve">Advancing edge</t>
  </si>
  <si>
    <t xml:space="preserve">heat release, wind and fuel create a moving control boundary</t>
  </si>
  <si>
    <t xml:space="preserve">normal water, grid and network denied</t>
  </si>
  <si>
    <t xml:space="preserve">edge held or declared crossed</t>
  </si>
  <si>
    <t xml:space="preserve">no output credit without attributed boundary effect</t>
  </si>
  <si>
    <t xml:space="preserve">HC-S2</t>
  </si>
  <si>
    <t xml:space="preserve">Ember and interface</t>
  </si>
  <si>
    <t xml:space="preserve">spotting challenges structures and access routes</t>
  </si>
  <si>
    <t xml:space="preserve">primary sensing sector and one placement mode lost</t>
  </si>
  <si>
    <t xml:space="preserve">all registered crossings dispositioned</t>
  </si>
  <si>
    <t xml:space="preserve">no suppression success that hides structure loss</t>
  </si>
  <si>
    <t xml:space="preserve">HC-S3</t>
  </si>
  <si>
    <t xml:space="preserve">Plume and airspace</t>
  </si>
  <si>
    <t xml:space="preserve">smoke, turbulence and mixed crewed-uncrewed traffic interact</t>
  </si>
  <si>
    <t xml:space="preserve">central air picture and one navigation source denied</t>
  </si>
  <si>
    <t xml:space="preserve">safe local separation and mission state restored</t>
  </si>
  <si>
    <t xml:space="preserve">no responder or public risk shifted out of score</t>
  </si>
  <si>
    <t xml:space="preserve">HC-S4</t>
  </si>
  <si>
    <t xml:space="preserve">Residual and re-ignition</t>
  </si>
  <si>
    <t xml:space="preserve">water, agent, runoff and heat remain after first control</t>
  </si>
  <si>
    <t xml:space="preserve">drainage unavailable and ignition recurs</t>
  </si>
  <si>
    <t xml:space="preserve">residual accepted and hold period completed</t>
  </si>
  <si>
    <t xml:space="preserve">no contaminated runoff or unobserved re-ignition</t>
  </si>
  <si>
    <t xml:space="preserve">LF-S1</t>
  </si>
  <si>
    <t xml:space="preserve">Source admission</t>
  </si>
  <si>
    <t xml:space="preserve">seawater, brackish water, heat, fuel or renewable input enters system</t>
  </si>
  <si>
    <t xml:space="preserve">largest source and normal characterization service absent</t>
  </si>
  <si>
    <t xml:space="preserve">source accepted, isolated or rejected</t>
  </si>
  <si>
    <t xml:space="preserve">no hidden aquifer, fuel or intake burden</t>
  </si>
  <si>
    <t xml:space="preserve">LF-S2</t>
  </si>
  <si>
    <t xml:space="preserve">Multi-product conversion</t>
  </si>
  <si>
    <t xml:space="preserve">water, electric and thermal outputs interact dynamically</t>
  </si>
  <si>
    <t xml:space="preserve">one conversion train and central controller lost</t>
  </si>
  <si>
    <t xml:space="preserve">stable islanded outputs with known quality</t>
  </si>
  <si>
    <t xml:space="preserve">no nameplate credit without coupled service quality</t>
  </si>
  <si>
    <t xml:space="preserve">LF-S3</t>
  </si>
  <si>
    <t xml:space="preserve">Corridor and storage</t>
  </si>
  <si>
    <t xml:space="preserve">pipe, conductor, storage and thermal paths cross damaged terrain</t>
  </si>
  <si>
    <t xml:space="preserve">largest corridor and normal grid absent</t>
  </si>
  <si>
    <t xml:space="preserve">alternate path and inventory state established</t>
  </si>
  <si>
    <t xml:space="preserve">no leakage, unsafe energization or uncounted inventory</t>
  </si>
  <si>
    <t xml:space="preserve">LF-S4</t>
  </si>
  <si>
    <t xml:space="preserve">Point of use and residual</t>
  </si>
  <si>
    <t xml:space="preserve">receiver demand, sanitation, protection and brine or emissions close together</t>
  </si>
  <si>
    <t xml:space="preserve">demand shock and residual route loss coincide</t>
  </si>
  <si>
    <t xml:space="preserve">service released and residual accepted</t>
  </si>
  <si>
    <t xml:space="preserve">no water or power credit that exports waste</t>
  </si>
  <si>
    <t xml:space="preserve">HU-S1</t>
  </si>
  <si>
    <t xml:space="preserve">Reception and triage</t>
  </si>
  <si>
    <t xml:space="preserve">unidentified and mixed-acuity arrivals enter a distributed clinical region</t>
  </si>
  <si>
    <t xml:space="preserve">network and primary intake island lost</t>
  </si>
  <si>
    <t xml:space="preserve">identity, urgency and lawful disposition complete</t>
  </si>
  <si>
    <t xml:space="preserve">no rapid triage that loses people or companions</t>
  </si>
  <si>
    <t xml:space="preserve">HU-S2</t>
  </si>
  <si>
    <t xml:space="preserve">Acute and critical care</t>
  </si>
  <si>
    <t xml:space="preserve">power, gases, diagnostics, blood and staff sustain unstable patients</t>
  </si>
  <si>
    <t xml:space="preserve">one utility family and one clinical island lost</t>
  </si>
  <si>
    <t xml:space="preserve">therapy continues or accepted transfer completes</t>
  </si>
  <si>
    <t xml:space="preserve">no bed-count credit without definitive episode closure</t>
  </si>
  <si>
    <t xml:space="preserve">HU-S3</t>
  </si>
  <si>
    <t xml:space="preserve">Specialty dependency</t>
  </si>
  <si>
    <t xml:space="preserve">dialysis, obstetric, pediatric, surgical and behavioral pathways interact</t>
  </si>
  <si>
    <t xml:space="preserve">one specialist pool and one supply family absent</t>
  </si>
  <si>
    <t xml:space="preserve">all ten care lines retained or explicitly failed</t>
  </si>
  <si>
    <t xml:space="preserve">no aggregate throughput substitutes for a care line</t>
  </si>
  <si>
    <t xml:space="preserve">HU-S4</t>
  </si>
  <si>
    <t xml:space="preserve">Discharge and continuity</t>
  </si>
  <si>
    <t xml:space="preserve">patients leave into medication, shelter, household and follow-up systems</t>
  </si>
  <si>
    <t xml:space="preserve">normal pharmacy and household network absent</t>
  </si>
  <si>
    <t xml:space="preserve">supported handoff accepted and traceable</t>
  </si>
  <si>
    <t xml:space="preserve">no clinical success that externalizes unsafe discharge</t>
  </si>
  <si>
    <t xml:space="preserve">RT-S1</t>
  </si>
  <si>
    <t xml:space="preserve">Dirty return</t>
  </si>
  <si>
    <t xml:space="preserve">damaged, contaminated and uncertain articles enter custody</t>
  </si>
  <si>
    <t xml:space="preserve">primary depot and normal identification network absent</t>
  </si>
  <si>
    <t xml:space="preserve">quarantine and identity boundary established</t>
  </si>
  <si>
    <t xml:space="preserve">no receiver dumping or evidence loss</t>
  </si>
  <si>
    <t xml:space="preserve">RT-S2</t>
  </si>
  <si>
    <t xml:space="preserve">Diagnosis and disassembly</t>
  </si>
  <si>
    <t xml:space="preserve">latent damage, trapped energy and configuration uncertainty are exposed</t>
  </si>
  <si>
    <t xml:space="preserve">vendor diagnostics and one tool family absent</t>
  </si>
  <si>
    <t xml:space="preserve">fault isolated with reversible evidence</t>
  </si>
  <si>
    <t xml:space="preserve">no destructive access that erases causality</t>
  </si>
  <si>
    <t xml:space="preserve">RT-S3</t>
  </si>
  <si>
    <t xml:space="preserve">Repair and remanufacture</t>
  </si>
  <si>
    <t xml:space="preserve">material, process, software and substitution choices alter configuration</t>
  </si>
  <si>
    <t xml:space="preserve">primary feedstock or process cell lost</t>
  </si>
  <si>
    <t xml:space="preserve">repair completed against controlled disposition</t>
  </si>
  <si>
    <t xml:space="preserve">no aggregate part output hides missing critical class</t>
  </si>
  <si>
    <t xml:space="preserve">RT-S4</t>
  </si>
  <si>
    <t xml:space="preserve">Calibration and release</t>
  </si>
  <si>
    <t xml:space="preserve">metrology, safe state, documentation and cold reconstruction establish fitness</t>
  </si>
  <si>
    <t xml:space="preserve">primary reference lab and vendor key absent</t>
  </si>
  <si>
    <t xml:space="preserve">independent release or explicit rejection</t>
  </si>
  <si>
    <t xml:space="preserve">no physical repair without reproducible sovereign credential</t>
  </si>
  <si>
    <t xml:space="preserve">Public Methods</t>
  </si>
  <si>
    <t xml:space="preserve">Each system has four receiver states and three method modes per state. Every card requires two unlike physical realization lineages before it may generate decisive evidence.</t>
  </si>
  <si>
    <t xml:space="preserve">Method</t>
  </si>
  <si>
    <t xml:space="preserve">State name</t>
  </si>
  <si>
    <t xml:space="preserve">Mode</t>
  </si>
  <si>
    <t xml:space="preserve">Method family</t>
  </si>
  <si>
    <t xml:space="preserve">Registered question</t>
  </si>
  <si>
    <t xml:space="preserve">Denial</t>
  </si>
  <si>
    <t xml:space="preserve">Reset</t>
  </si>
  <si>
    <t xml:space="preserve">Required lineages</t>
  </si>
  <si>
    <t xml:space="preserve">Accepted lineages</t>
  </si>
  <si>
    <t xml:space="preserve">MS-ET-M01</t>
  </si>
  <si>
    <t xml:space="preserve">L</t>
  </si>
  <si>
    <t xml:space="preserve">Load and quality</t>
  </si>
  <si>
    <t xml:space="preserve">measure capacity, quality and state transition at the registered service floor</t>
  </si>
  <si>
    <t xml:space="preserve">MS-ET-M02</t>
  </si>
  <si>
    <t xml:space="preserve">D</t>
  </si>
  <si>
    <t xml:space="preserve">Denied condition</t>
  </si>
  <si>
    <t xml:space="preserve">apply the declared loss and distinguish candidate failure from invalid emulator state</t>
  </si>
  <si>
    <t xml:space="preserve">MS-ET-M03</t>
  </si>
  <si>
    <t xml:space="preserve">R</t>
  </si>
  <si>
    <t xml:space="preserve">Recovery and burden</t>
  </si>
  <si>
    <t xml:space="preserve">measure reset, receiver burden, residual custody and return to a known state</t>
  </si>
  <si>
    <t xml:space="preserve">MS-ET-M04</t>
  </si>
  <si>
    <t xml:space="preserve">MS-ET-M05</t>
  </si>
  <si>
    <t xml:space="preserve">MS-ET-M06</t>
  </si>
  <si>
    <t xml:space="preserve">MS-ET-M07</t>
  </si>
  <si>
    <t xml:space="preserve">MS-ET-M08</t>
  </si>
  <si>
    <t xml:space="preserve">MS-ET-M09</t>
  </si>
  <si>
    <t xml:space="preserve">MS-ET-M10</t>
  </si>
  <si>
    <t xml:space="preserve">MS-ET-M11</t>
  </si>
  <si>
    <t xml:space="preserve">MS-ET-M12</t>
  </si>
  <si>
    <t xml:space="preserve">MS-CT-M01</t>
  </si>
  <si>
    <t xml:space="preserve">MS-CT-M02</t>
  </si>
  <si>
    <t xml:space="preserve">MS-CT-M03</t>
  </si>
  <si>
    <t xml:space="preserve">MS-CT-M04</t>
  </si>
  <si>
    <t xml:space="preserve">MS-CT-M05</t>
  </si>
  <si>
    <t xml:space="preserve">MS-CT-M06</t>
  </si>
  <si>
    <t xml:space="preserve">MS-CT-M07</t>
  </si>
  <si>
    <t xml:space="preserve">MS-CT-M08</t>
  </si>
  <si>
    <t xml:space="preserve">MS-CT-M09</t>
  </si>
  <si>
    <t xml:space="preserve">MS-CT-M10</t>
  </si>
  <si>
    <t xml:space="preserve">MS-CT-M11</t>
  </si>
  <si>
    <t xml:space="preserve">MS-CT-M12</t>
  </si>
  <si>
    <t xml:space="preserve">MS-HC-M01</t>
  </si>
  <si>
    <t xml:space="preserve">MS-HC-M02</t>
  </si>
  <si>
    <t xml:space="preserve">MS-HC-M03</t>
  </si>
  <si>
    <t xml:space="preserve">MS-HC-M04</t>
  </si>
  <si>
    <t xml:space="preserve">MS-HC-M05</t>
  </si>
  <si>
    <t xml:space="preserve">MS-HC-M06</t>
  </si>
  <si>
    <t xml:space="preserve">MS-HC-M07</t>
  </si>
  <si>
    <t xml:space="preserve">MS-HC-M08</t>
  </si>
  <si>
    <t xml:space="preserve">MS-HC-M09</t>
  </si>
  <si>
    <t xml:space="preserve">MS-HC-M10</t>
  </si>
  <si>
    <t xml:space="preserve">MS-HC-M11</t>
  </si>
  <si>
    <t xml:space="preserve">MS-HC-M12</t>
  </si>
  <si>
    <t xml:space="preserve">MS-LF-M01</t>
  </si>
  <si>
    <t xml:space="preserve">MS-LF-M02</t>
  </si>
  <si>
    <t xml:space="preserve">MS-LF-M03</t>
  </si>
  <si>
    <t xml:space="preserve">MS-LF-M04</t>
  </si>
  <si>
    <t xml:space="preserve">MS-LF-M05</t>
  </si>
  <si>
    <t xml:space="preserve">MS-LF-M06</t>
  </si>
  <si>
    <t xml:space="preserve">MS-LF-M07</t>
  </si>
  <si>
    <t xml:space="preserve">MS-LF-M08</t>
  </si>
  <si>
    <t xml:space="preserve">MS-LF-M09</t>
  </si>
  <si>
    <t xml:space="preserve">MS-LF-M10</t>
  </si>
  <si>
    <t xml:space="preserve">MS-LF-M11</t>
  </si>
  <si>
    <t xml:space="preserve">MS-LF-M12</t>
  </si>
  <si>
    <t xml:space="preserve">MS-HU-M01</t>
  </si>
  <si>
    <t xml:space="preserve">MS-HU-M02</t>
  </si>
  <si>
    <t xml:space="preserve">MS-HU-M03</t>
  </si>
  <si>
    <t xml:space="preserve">MS-HU-M04</t>
  </si>
  <si>
    <t xml:space="preserve">MS-HU-M05</t>
  </si>
  <si>
    <t xml:space="preserve">MS-HU-M06</t>
  </si>
  <si>
    <t xml:space="preserve">MS-HU-M07</t>
  </si>
  <si>
    <t xml:space="preserve">MS-HU-M08</t>
  </si>
  <si>
    <t xml:space="preserve">MS-HU-M09</t>
  </si>
  <si>
    <t xml:space="preserve">MS-HU-M10</t>
  </si>
  <si>
    <t xml:space="preserve">MS-HU-M11</t>
  </si>
  <si>
    <t xml:space="preserve">MS-HU-M12</t>
  </si>
  <si>
    <t xml:space="preserve">MS-RT-M01</t>
  </si>
  <si>
    <t xml:space="preserve">MS-RT-M02</t>
  </si>
  <si>
    <t xml:space="preserve">MS-RT-M03</t>
  </si>
  <si>
    <t xml:space="preserve">MS-RT-M04</t>
  </si>
  <si>
    <t xml:space="preserve">MS-RT-M05</t>
  </si>
  <si>
    <t xml:space="preserve">MS-RT-M06</t>
  </si>
  <si>
    <t xml:space="preserve">MS-RT-M07</t>
  </si>
  <si>
    <t xml:space="preserve">MS-RT-M08</t>
  </si>
  <si>
    <t xml:space="preserve">MS-RT-M09</t>
  </si>
  <si>
    <t xml:space="preserve">MS-RT-M10</t>
  </si>
  <si>
    <t xml:space="preserve">MS-RT-M11</t>
  </si>
  <si>
    <t xml:space="preserve">MS-RT-M12</t>
  </si>
  <si>
    <t xml:space="preserve">A1 Releases</t>
  </si>
  <si>
    <t xml:space="preserve">These are public development warrants, not accepted articles. Four unlike mechanism hypotheses remain open in every selected problem field.</t>
  </si>
  <si>
    <t xml:space="preserve">Release</t>
  </si>
  <si>
    <t xml:space="preserve">Root slot</t>
  </si>
  <si>
    <t xml:space="preserve">Root thesis</t>
  </si>
  <si>
    <t xml:space="preserve">Mechanism hypothesis</t>
  </si>
  <si>
    <t xml:space="preserve">A0 version</t>
  </si>
  <si>
    <t xml:space="preserve">Emulator lineages</t>
  </si>
  <si>
    <t xml:space="preserve">Planned events</t>
  </si>
  <si>
    <t xml:space="preserve">Exclusive domains</t>
  </si>
  <si>
    <t xml:space="preserve">Release state</t>
  </si>
  <si>
    <t xml:space="preserve">Root House identity</t>
  </si>
  <si>
    <t xml:space="preserve">Article serial</t>
  </si>
  <si>
    <t xml:space="preserve">Accepted evidence</t>
  </si>
  <si>
    <t xml:space="preserve">Kill trigger</t>
  </si>
  <si>
    <t xml:space="preserve">A1-ET-A</t>
  </si>
  <si>
    <t xml:space="preserve">ET-A</t>
  </si>
  <si>
    <t xml:space="preserve">Oceanic mass bridge</t>
  </si>
  <si>
    <t xml:space="preserve">stabilized offshore exchange and shallow modular connectors</t>
  </si>
  <si>
    <t xml:space="preserve">ISSUE AUTHORIZED</t>
  </si>
  <si>
    <t xml:space="preserve">UNASSIGNED</t>
  </si>
  <si>
    <t xml:space="preserve">NONE</t>
  </si>
  <si>
    <t xml:space="preserve">A1-ET-B</t>
  </si>
  <si>
    <t xml:space="preserve">ET-B</t>
  </si>
  <si>
    <t xml:space="preserve">Buoyant air bridge</t>
  </si>
  <si>
    <t xml:space="preserve">buoyant heavy carriage and prepared-runway-free load exchange</t>
  </si>
  <si>
    <t xml:space="preserve">A1-ET-C</t>
  </si>
  <si>
    <t xml:space="preserve">ET-C</t>
  </si>
  <si>
    <t xml:space="preserve">Austere surface bridge</t>
  </si>
  <si>
    <t xml:space="preserve">machine-laid causeway, dry terminal and robotic cargo motion</t>
  </si>
  <si>
    <t xml:space="preserve">A1-ET-D</t>
  </si>
  <si>
    <t xml:space="preserve">ET-D</t>
  </si>
  <si>
    <t xml:space="preserve">Amphibious autonomous mesh</t>
  </si>
  <si>
    <t xml:space="preserve">distributed shallow-water lighters and independent cross-dock paths</t>
  </si>
  <si>
    <t xml:space="preserve">A1-CT-A</t>
  </si>
  <si>
    <t xml:space="preserve">CT-A</t>
  </si>
  <si>
    <t xml:space="preserve">Civic edge grid</t>
  </si>
  <si>
    <t xml:space="preserve">prepared civic interfaces, powered refuge and accessible building adapters</t>
  </si>
  <si>
    <t xml:space="preserve">A1-CT-B</t>
  </si>
  <si>
    <t xml:space="preserve">CT-B</t>
  </si>
  <si>
    <t xml:space="preserve">Air-and-skin reach</t>
  </si>
  <si>
    <t xml:space="preserve">exterior-climbing systems and protected envelope docking</t>
  </si>
  <si>
    <t xml:space="preserve">A1-CT-C</t>
  </si>
  <si>
    <t xml:space="preserve">CT-C</t>
  </si>
  <si>
    <t xml:space="preserve">Building utility spine</t>
  </si>
  <si>
    <t xml:space="preserve">temporary lift, stair, power and water spine outside failed cores</t>
  </si>
  <si>
    <t xml:space="preserve">A1-CT-D</t>
  </si>
  <si>
    <t xml:space="preserve">CT-D</t>
  </si>
  <si>
    <t xml:space="preserve">Neighborhood machine swarm</t>
  </si>
  <si>
    <t xml:space="preserve">human-safe occupied-space robotics under local control</t>
  </si>
  <si>
    <t xml:space="preserve">A1-HC-A</t>
  </si>
  <si>
    <t xml:space="preserve">HC-A</t>
  </si>
  <si>
    <t xml:space="preserve">Atmospheric control wing</t>
  </si>
  <si>
    <t xml:space="preserve">purpose-built endurance flight and precision multi-agent placement</t>
  </si>
  <si>
    <t xml:space="preserve">A1-HC-B</t>
  </si>
  <si>
    <t xml:space="preserve">HC-B</t>
  </si>
  <si>
    <t xml:space="preserve">Fluid intervention lattice</t>
  </si>
  <si>
    <t xml:space="preserve">closed-loop hydraulic pulse, deployable towers and return control</t>
  </si>
  <si>
    <t xml:space="preserve">A1-HC-C</t>
  </si>
  <si>
    <t xml:space="preserve">HC-C</t>
  </si>
  <si>
    <t xml:space="preserve">Autonomous terrain corps</t>
  </si>
  <si>
    <t xml:space="preserve">optionally crewed earthwork, treatment and hold machines</t>
  </si>
  <si>
    <t xml:space="preserve">A1-HC-D</t>
  </si>
  <si>
    <t xml:space="preserve">HC-D</t>
  </si>
  <si>
    <t xml:space="preserve">Distributed control field</t>
  </si>
  <si>
    <t xml:space="preserve">fault-contained sensing and local boundary actuators</t>
  </si>
  <si>
    <t xml:space="preserve">A1-LF-A</t>
  </si>
  <si>
    <t xml:space="preserve">LF-A</t>
  </si>
  <si>
    <t xml:space="preserve">Oceanic nuclear utility</t>
  </si>
  <si>
    <t xml:space="preserve">passively safe mobile nuclear heat, desalination and reversible shore export</t>
  </si>
  <si>
    <t xml:space="preserve">A1-LF-B</t>
  </si>
  <si>
    <t xml:space="preserve">LF-B</t>
  </si>
  <si>
    <t xml:space="preserve">Inland geothermal train</t>
  </si>
  <si>
    <t xml:space="preserve">rapid wellfield, brackish treatment and isolated heat-water conversion</t>
  </si>
  <si>
    <t xml:space="preserve">A1-LF-C</t>
  </si>
  <si>
    <t xml:space="preserve">LF-C</t>
  </si>
  <si>
    <t xml:space="preserve">Renewable electrochemical swarm</t>
  </si>
  <si>
    <t xml:space="preserve">distributed capture, grid formation, long storage and selective separation</t>
  </si>
  <si>
    <t xml:space="preserve">A1-LF-D</t>
  </si>
  <si>
    <t xml:space="preserve">LF-D</t>
  </si>
  <si>
    <t xml:space="preserve">Synthetic-fuel service fleet</t>
  </si>
  <si>
    <t xml:space="preserve">portable fuel synthesis and multi-product cogeneration with residual capture</t>
  </si>
  <si>
    <t xml:space="preserve">A1-HU-A</t>
  </si>
  <si>
    <t xml:space="preserve">HU-A</t>
  </si>
  <si>
    <t xml:space="preserve">Clinical continuity campus</t>
  </si>
  <si>
    <t xml:space="preserve">federated configurable clinical islands with deep utilities</t>
  </si>
  <si>
    <t xml:space="preserve">A1-HU-B</t>
  </si>
  <si>
    <t xml:space="preserve">HU-B</t>
  </si>
  <si>
    <t xml:space="preserve">Neighborhood care fabric</t>
  </si>
  <si>
    <t xml:space="preserve">local definitive-care nodes, supervised clinical robotics and remote presence</t>
  </si>
  <si>
    <t xml:space="preserve">A1-HU-C</t>
  </si>
  <si>
    <t xml:space="preserve">HU-C</t>
  </si>
  <si>
    <t xml:space="preserve">Mobile care network</t>
  </si>
  <si>
    <t xml:space="preserve">multimode clinical blocks that reconfigure without losing patient state</t>
  </si>
  <si>
    <t xml:space="preserve">A1-HU-D</t>
  </si>
  <si>
    <t xml:space="preserve">HU-D</t>
  </si>
  <si>
    <t xml:space="preserve">Host-building conversion</t>
  </si>
  <si>
    <t xml:space="preserve">rapid reversible clinical retrofit with isolated utility domains</t>
  </si>
  <si>
    <t xml:space="preserve">A1-RT-A</t>
  </si>
  <si>
    <t xml:space="preserve">RT-A</t>
  </si>
  <si>
    <t xml:space="preserve">Heavy arsenal base</t>
  </si>
  <si>
    <t xml:space="preserve">automated deep repair, protected references and modular exchange</t>
  </si>
  <si>
    <t xml:space="preserve">A1-RT-B</t>
  </si>
  <si>
    <t xml:space="preserve">RT-B</t>
  </si>
  <si>
    <t xml:space="preserve">Distributed microfactory mesh</t>
  </si>
  <si>
    <t xml:space="preserve">portable process qualification and serial-level genealogy</t>
  </si>
  <si>
    <t xml:space="preserve">A1-RT-C</t>
  </si>
  <si>
    <t xml:space="preserve">RT-C</t>
  </si>
  <si>
    <t xml:space="preserve">Exchange and remanufacture network</t>
  </si>
  <si>
    <t xml:space="preserve">condition-based exchange across unlike recovery paths</t>
  </si>
  <si>
    <t xml:space="preserve">A1-RT-D</t>
  </si>
  <si>
    <t xml:space="preserve">RT-D</t>
  </si>
  <si>
    <t xml:space="preserve">Closed-loop sustainment fleet</t>
  </si>
  <si>
    <t xml:space="preserve">mobile decontamination, residual processing and sovereign metrology</t>
  </si>
  <si>
    <t xml:space="preserve">Ancestry Firewall</t>
  </si>
  <si>
    <t xml:space="preserve">Seven decisive execution domains are exclusive to one complete root. A shared public reference may test a domain but cannot implement it inside a candidate.</t>
  </si>
  <si>
    <t xml:space="preserve">Root</t>
  </si>
  <si>
    <t xml:space="preserve">Decisive domain</t>
  </si>
  <si>
    <t xml:space="preserve">Required treatment</t>
  </si>
  <si>
    <t xml:space="preserve">Collision condition</t>
  </si>
  <si>
    <t xml:space="preserve">Shared runtime allowed</t>
  </si>
  <si>
    <t xml:space="preserve">Declared provider</t>
  </si>
  <si>
    <t xml:space="preserve">Accepted declaration</t>
  </si>
  <si>
    <t xml:space="preserve">mission control and planning</t>
  </si>
  <si>
    <t xml:space="preserve">EXCLUSIVE TO ONE ROOT</t>
  </si>
  <si>
    <t xml:space="preserve">common planner, orchestration model or dispatch runtime</t>
  </si>
  <si>
    <t xml:space="preserve">No</t>
  </si>
  <si>
    <t xml:space="preserve">OPEN</t>
  </si>
  <si>
    <t xml:space="preserve">state estimation and world model</t>
  </si>
  <si>
    <t xml:space="preserve">shared estimator, training weights or state fusion service</t>
  </si>
  <si>
    <t xml:space="preserve">sensing, time and calibration</t>
  </si>
  <si>
    <t xml:space="preserve">shared decisive sensor chain, clock dependency or calibration authority</t>
  </si>
  <si>
    <t xml:space="preserve">actuation and low-level control</t>
  </si>
  <si>
    <t xml:space="preserve">shared flight, drive, valve, robotic or plant-control implementation</t>
  </si>
  <si>
    <t xml:space="preserve">safeing and human override</t>
  </si>
  <si>
    <t xml:space="preserve">shared safe-state logic, inhibit path or override authority</t>
  </si>
  <si>
    <t xml:space="preserve">energy and power management</t>
  </si>
  <si>
    <t xml:space="preserve">shared decisive conversion, storage or power-control dependency</t>
  </si>
  <si>
    <t xml:space="preserve">build, repair and recertification compiler</t>
  </si>
  <si>
    <t xml:space="preserve">shared build key, recovery toolchain or release implementation</t>
  </si>
  <si>
    <t xml:space="preserve">Experiment Plan</t>
  </si>
  <si>
    <t xml:space="preserve">One row is one article-method cell. Two unlike emulator lineages each execute a matched challenge and control, creating four physical event slots per cell.</t>
  </si>
  <si>
    <t xml:space="preserve">Primary lineage</t>
  </si>
  <si>
    <t xml:space="preserve">Witness lineage</t>
  </si>
  <si>
    <t xml:space="preserve">Lineages</t>
  </si>
  <si>
    <t xml:space="preserve">Events per lineage</t>
  </si>
  <si>
    <t xml:space="preserve">Blind tokens</t>
  </si>
  <si>
    <t xml:space="preserve">Valid events</t>
  </si>
  <si>
    <t xml:space="preserve">Invalid events</t>
  </si>
  <si>
    <t xml:space="preserve">Adverse events</t>
  </si>
  <si>
    <t xml:space="preserve">LINEAGE 1 UNASSIGNED</t>
  </si>
  <si>
    <t xml:space="preserve">LINEAGE 2 UNASSIGNED</t>
  </si>
  <si>
    <t xml:space="preserve">PLANNED; SOURCE EMPTY</t>
  </si>
  <si>
    <t xml:space="preserve">Public Seams</t>
  </si>
  <si>
    <t xml:space="preserve">Commonality is limited to public meaning, interfaces and evidence portability. No public seam may become a shared candidate execution dependency.</t>
  </si>
  <si>
    <t xml:space="preserve">Seam</t>
  </si>
  <si>
    <t xml:space="preserve">Public object</t>
  </si>
  <si>
    <t xml:space="preserve">Allowed commonality</t>
  </si>
  <si>
    <t xml:space="preserve">May enter candidate runtime</t>
  </si>
  <si>
    <t xml:space="preserve">Boundary rule</t>
  </si>
  <si>
    <t xml:space="preserve">PS-01</t>
  </si>
  <si>
    <t xml:space="preserve">service subject and denominator</t>
  </si>
  <si>
    <t xml:space="preserve">shared public meaning</t>
  </si>
  <si>
    <t xml:space="preserve">a root cannot redefine who or what counts after seeing results</t>
  </si>
  <si>
    <t xml:space="preserve">PS-1</t>
  </si>
  <si>
    <t xml:space="preserve">FROZEN</t>
  </si>
  <si>
    <t xml:space="preserve">PS-02</t>
  </si>
  <si>
    <t xml:space="preserve">units, thresholds and coordinate schema</t>
  </si>
  <si>
    <t xml:space="preserve">one coordinate cannot compensate for another</t>
  </si>
  <si>
    <t xml:space="preserve">PS-03</t>
  </si>
  <si>
    <t xml:space="preserve">physical interface envelope</t>
  </si>
  <si>
    <t xml:space="preserve">interoperable boundary</t>
  </si>
  <si>
    <t xml:space="preserve">geometry and media are public; actuation remains root-native</t>
  </si>
  <si>
    <t xml:space="preserve">PS-04</t>
  </si>
  <si>
    <t xml:space="preserve">manifest and custody identifiers</t>
  </si>
  <si>
    <t xml:space="preserve">portable record semantics</t>
  </si>
  <si>
    <t xml:space="preserve">identity does not authorize control</t>
  </si>
  <si>
    <t xml:space="preserve">PS-05</t>
  </si>
  <si>
    <t xml:space="preserve">receiver-state and denial vocabulary</t>
  </si>
  <si>
    <t xml:space="preserve">comparable challenge description</t>
  </si>
  <si>
    <t xml:space="preserve">the state generator implementation stays outside the candidate</t>
  </si>
  <si>
    <t xml:space="preserve">PS-06</t>
  </si>
  <si>
    <t xml:space="preserve">calibration reference interface</t>
  </si>
  <si>
    <t xml:space="preserve">traceable public reference</t>
  </si>
  <si>
    <t xml:space="preserve">a shared reference cannot become a shared sensor chain</t>
  </si>
  <si>
    <t xml:space="preserve">PS-07</t>
  </si>
  <si>
    <t xml:space="preserve">evidence packet and replay schema</t>
  </si>
  <si>
    <t xml:space="preserve">public evidence portability</t>
  </si>
  <si>
    <t xml:space="preserve">root estimators remain separate and executable from sealed originals</t>
  </si>
  <si>
    <t xml:space="preserve">PS-08</t>
  </si>
  <si>
    <t xml:space="preserve">rights and accessibility receipt</t>
  </si>
  <si>
    <t xml:space="preserve">nonfungible civil record</t>
  </si>
  <si>
    <t xml:space="preserve">absence of complaint is not consent or completion</t>
  </si>
  <si>
    <t xml:space="preserve">PS-09</t>
  </si>
  <si>
    <t xml:space="preserve">stop-signal grammar</t>
  </si>
  <si>
    <t xml:space="preserve">publicly understood stop state</t>
  </si>
  <si>
    <t xml:space="preserve">safeing implementation and actuation remain root-native</t>
  </si>
  <si>
    <t xml:space="preserve">PS-10</t>
  </si>
  <si>
    <t xml:space="preserve">time, uncertainty and missingness encoding</t>
  </si>
  <si>
    <t xml:space="preserve">comparable epistemic state</t>
  </si>
  <si>
    <t xml:space="preserve">missing decisive evidence remains unresolved rather than zero</t>
  </si>
  <si>
    <t xml:space="preserve">PS-11</t>
  </si>
  <si>
    <t xml:space="preserve">residual, return and regeneration taxonomy</t>
  </si>
  <si>
    <t xml:space="preserve">complete lifecycle boundary</t>
  </si>
  <si>
    <t xml:space="preserve">disposal or repair outside custody earns no service credit</t>
  </si>
  <si>
    <t xml:space="preserve">PS-12</t>
  </si>
  <si>
    <t xml:space="preserve">recharter and export package</t>
  </si>
  <si>
    <t xml:space="preserve">receiver can reproduce the public boundary</t>
  </si>
  <si>
    <t xml:space="preserve">transfer carries method and interface rights, not one vendor runtime</t>
  </si>
  <si>
    <t xml:space="preserve">Authority and nonconversion law</t>
  </si>
  <si>
    <t xml:space="preserve">No actor may define the requirement, realize receiver truth, build a root, classify validity, dispose the root and release money or production.</t>
  </si>
  <si>
    <t xml:space="preserve">Separated authorities</t>
  </si>
  <si>
    <t xml:space="preserve">Authority</t>
  </si>
  <si>
    <t xml:space="preserve">Owns</t>
  </si>
  <si>
    <t xml:space="preserve">Cannot infer</t>
  </si>
  <si>
    <t xml:space="preserve">Failure if combined</t>
  </si>
  <si>
    <t xml:space="preserve">Output</t>
  </si>
  <si>
    <t xml:space="preserve">Current identity</t>
  </si>
  <si>
    <t xml:space="preserve">Mission System Commands</t>
  </si>
  <si>
    <t xml:space="preserve">own service subject, vector and A0 package</t>
  </si>
  <si>
    <t xml:space="preserve">select mechanism or judge evidence</t>
  </si>
  <si>
    <t xml:space="preserve">requirement owner becomes favored designer</t>
  </si>
  <si>
    <t xml:space="preserve">frozen A0 package</t>
  </si>
  <si>
    <t xml:space="preserve">Public Method Council</t>
  </si>
  <si>
    <t xml:space="preserve">own method-card grammar and cross-system semantics</t>
  </si>
  <si>
    <t xml:space="preserve">supply root runtime or change field threshold</t>
  </si>
  <si>
    <t xml:space="preserve">method standard becomes technical monopoly</t>
  </si>
  <si>
    <t xml:space="preserve">versioned public method</t>
  </si>
  <si>
    <t xml:space="preserve">Receiver Emulator Authority</t>
  </si>
  <si>
    <t xml:space="preserve">realize physical states through unlike lineages</t>
  </si>
  <si>
    <t xml:space="preserve">score candidate or conceal emulator excursion</t>
  </si>
  <si>
    <t xml:space="preserve">range operator becomes result owner</t>
  </si>
  <si>
    <t xml:space="preserve">state realization record</t>
  </si>
  <si>
    <t xml:space="preserve">Blind Allocation Office</t>
  </si>
  <si>
    <t xml:space="preserve">assign challenge, control, lineage and reserve tokens</t>
  </si>
  <si>
    <t xml:space="preserve">view preferred outcome or change allocation</t>
  </si>
  <si>
    <t xml:space="preserve">sponsor optimizes the trial</t>
  </si>
  <si>
    <t xml:space="preserve">sealed allocation root</t>
  </si>
  <si>
    <t xml:space="preserve">Generating Services</t>
  </si>
  <si>
    <t xml:space="preserve">release professional construction and safety requirements</t>
  </si>
  <si>
    <t xml:space="preserve">accept public effect</t>
  </si>
  <si>
    <t xml:space="preserve">professional release becomes mission credit</t>
  </si>
  <si>
    <t xml:space="preserve">A1 construction warrant</t>
  </si>
  <si>
    <t xml:space="preserve">Root Houses</t>
  </si>
  <si>
    <t xml:space="preserve">design and build one complete root's mechanism</t>
  </si>
  <si>
    <t xml:space="preserve">define denominator, emulator truth or own adjudication</t>
  </si>
  <si>
    <t xml:space="preserve">builder writes its own test</t>
  </si>
  <si>
    <t xml:space="preserve">controlled A1 article</t>
  </si>
  <si>
    <t xml:space="preserve">Independent Metrology Service</t>
  </si>
  <si>
    <t xml:space="preserve">calibrate references and sign uncertainty</t>
  </si>
  <si>
    <t xml:space="preserve">operate root estimator or waive missing evidence</t>
  </si>
  <si>
    <t xml:space="preserve">measurement authority becomes analyst</t>
  </si>
  <si>
    <t xml:space="preserve">calibration chain</t>
  </si>
  <si>
    <t xml:space="preserve">Protection Inspectorate</t>
  </si>
  <si>
    <t xml:space="preserve">stop unsafe or rights-violating work</t>
  </si>
  <si>
    <t xml:space="preserve">convert a stop into technical failure automatically</t>
  </si>
  <si>
    <t xml:space="preserve">protection becomes a weighted score</t>
  </si>
  <si>
    <t xml:space="preserve">stop and consequence record</t>
  </si>
  <si>
    <t xml:space="preserve">Evidence Validity Board</t>
  </si>
  <si>
    <t xml:space="preserve">classify valid, invalid or unresolved event</t>
  </si>
  <si>
    <t xml:space="preserve">choose root disposition or payment</t>
  </si>
  <si>
    <t xml:space="preserve">validity judgment becomes sponsorship</t>
  </si>
  <si>
    <t xml:space="preserve">event validity warrant</t>
  </si>
  <si>
    <t xml:space="preserve">Root Disposition Board</t>
  </si>
  <si>
    <t xml:space="preserve">order continue, resize, reframe or kill</t>
  </si>
  <si>
    <t xml:space="preserve">release production</t>
  </si>
  <si>
    <t xml:space="preserve">A1 learning becomes scale authority</t>
  </si>
  <si>
    <t xml:space="preserve">reasoned root disposition</t>
  </si>
  <si>
    <t xml:space="preserve">Capital Board and Comptroller</t>
  </si>
  <si>
    <t xml:space="preserve">open options and pay accepted artifacts</t>
  </si>
  <si>
    <t xml:space="preserve">manufacture validity, field credit or production</t>
  </si>
  <si>
    <t xml:space="preserve">money becomes technical evidence</t>
  </si>
  <si>
    <t xml:space="preserve">option and payment ledger</t>
  </si>
  <si>
    <t xml:space="preserve">Continuity Receiver</t>
  </si>
  <si>
    <t xml:space="preserve">hold public foreground rights and clean recharter package</t>
  </si>
  <si>
    <t xml:space="preserve">claim readiness from custody</t>
  </si>
  <si>
    <t xml:space="preserve">possession becomes capability</t>
  </si>
  <si>
    <t xml:space="preserve">custody and reissue record</t>
  </si>
  <si>
    <t xml:space="preserve">Nonconversion laws</t>
  </si>
  <si>
    <t xml:space="preserve">Law</t>
  </si>
  <si>
    <t xml:space="preserve">Meaning</t>
  </si>
  <si>
    <t xml:space="preserve">Trigger</t>
  </si>
  <si>
    <t xml:space="preserve">Disposition</t>
  </si>
  <si>
    <t xml:space="preserve">NC-01</t>
  </si>
  <si>
    <t xml:space="preserve">common interface is not common runtime</t>
  </si>
  <si>
    <t xml:space="preserve">Any public seam enters candidate execution</t>
  </si>
  <si>
    <t xml:space="preserve">SUSPEND affected releases</t>
  </si>
  <si>
    <t xml:space="preserve">NC-02</t>
  </si>
  <si>
    <t xml:space="preserve">method freeze is not observed truth</t>
  </si>
  <si>
    <t xml:space="preserve">A frozen A0 is presented as proof</t>
  </si>
  <si>
    <t xml:space="preserve">REMOVE claim</t>
  </si>
  <si>
    <t xml:space="preserve">NC-03</t>
  </si>
  <si>
    <t xml:space="preserve">issue authorization is not an award</t>
  </si>
  <si>
    <t xml:space="preserve">An A1 call identifies a winning firm or article</t>
  </si>
  <si>
    <t xml:space="preserve">VOID selection</t>
  </si>
  <si>
    <t xml:space="preserve">NC-04</t>
  </si>
  <si>
    <t xml:space="preserve">award is not article acceptance</t>
  </si>
  <si>
    <t xml:space="preserve">Payment or contract signature creates evidence</t>
  </si>
  <si>
    <t xml:space="preserve">HOLD credit</t>
  </si>
  <si>
    <t xml:space="preserve">NC-05</t>
  </si>
  <si>
    <t xml:space="preserve">safety stop is not event invalidity</t>
  </si>
  <si>
    <t xml:space="preserve">A valid dangerous response is erased as bad test</t>
  </si>
  <si>
    <t xml:space="preserve">RESTORE adverse record</t>
  </si>
  <si>
    <t xml:space="preserve">NC-06</t>
  </si>
  <si>
    <t xml:space="preserve">emulator excursion is not candidate failure</t>
  </si>
  <si>
    <t xml:space="preserve">Reference state leaves tolerance</t>
  </si>
  <si>
    <t xml:space="preserve">INVALIDATE exact event only</t>
  </si>
  <si>
    <t xml:space="preserve">NC-07</t>
  </si>
  <si>
    <t xml:space="preserve">missing evidence is not zero effect</t>
  </si>
  <si>
    <t xml:space="preserve">A decisive feature is imputed or omitted</t>
  </si>
  <si>
    <t xml:space="preserve">UNRESOLVED</t>
  </si>
  <si>
    <t xml:space="preserve">NC-08</t>
  </si>
  <si>
    <t xml:space="preserve">simulation is not physical acceptance</t>
  </si>
  <si>
    <t xml:space="preserve">Model output substitutes for registered physical event</t>
  </si>
  <si>
    <t xml:space="preserve">DENY acceptance</t>
  </si>
  <si>
    <t xml:space="preserve">NC-09</t>
  </si>
  <si>
    <t xml:space="preserve">one field is not a complete root</t>
  </si>
  <si>
    <t xml:space="preserve">A successful A1 earns A4 root credit</t>
  </si>
  <si>
    <t xml:space="preserve">HOLD root credit</t>
  </si>
  <si>
    <t xml:space="preserve">NC-10</t>
  </si>
  <si>
    <t xml:space="preserve">root success is not production</t>
  </si>
  <si>
    <t xml:space="preserve">A4 evidence opens A6 without all-six mission</t>
  </si>
  <si>
    <t xml:space="preserve">HOLD production</t>
  </si>
  <si>
    <t xml:space="preserve">NC-11</t>
  </si>
  <si>
    <t xml:space="preserve">valid adverse evidence is not nonperformance</t>
  </si>
  <si>
    <t xml:space="preserve">A failed proposition loses earned artifact payment</t>
  </si>
  <si>
    <t xml:space="preserve">PAY accepted work</t>
  </si>
  <si>
    <t xml:space="preserve">NC-12</t>
  </si>
  <si>
    <t xml:space="preserve">post-result amendment is not correction</t>
  </si>
  <si>
    <t xml:space="preserve">Threshold, method or estimator changes for observed outcome</t>
  </si>
  <si>
    <t xml:space="preserve">NEW version and full affected replay</t>
  </si>
  <si>
    <t xml:space="preserve">A0 public-method and A1 release financial boundary</t>
  </si>
  <si>
    <t xml:space="preserve">USD billions. The A0 reservation is nested inside the inherited USD 80.0B public and enabling account; A1 exposure remains inside the USD 14.3B stageable option market.</t>
  </si>
  <si>
    <t xml:space="preserve">A0 cost element</t>
  </si>
  <si>
    <t xml:space="preserve">Quantity</t>
  </si>
  <si>
    <t xml:space="preserve">Unit cost (USD B)</t>
  </si>
  <si>
    <t xml:space="preserve">Calculated cost (USD B)</t>
  </si>
  <si>
    <t xml:space="preserve">Share</t>
  </si>
  <si>
    <t xml:space="preserve">Six public method packages</t>
  </si>
  <si>
    <t xml:space="preserve">PLANNING RESERVATION</t>
  </si>
  <si>
    <t xml:space="preserve">Twenty-four receiver-state lines</t>
  </si>
  <si>
    <t xml:space="preserve">One hundred forty-four method realizations</t>
  </si>
  <si>
    <t xml:space="preserve">One hundred forty-four calibration chains</t>
  </si>
  <si>
    <t xml:space="preserve">Twenty-four reset and forensic cells</t>
  </si>
  <si>
    <t xml:space="preserve">Rights, safety and accessibility fixtures</t>
  </si>
  <si>
    <t xml:space="preserve">Evidence replay and cold-run capacity</t>
  </si>
  <si>
    <t xml:space="preserve">Program uncertainty reserve</t>
  </si>
  <si>
    <t xml:space="preserve">Total A0 public-method reservation</t>
  </si>
  <si>
    <t xml:space="preserve">UNOBLIGATED</t>
  </si>
  <si>
    <t xml:space="preserve">Private A1 exposure</t>
  </si>
  <si>
    <t xml:space="preserve">Private boundary</t>
  </si>
  <si>
    <t xml:space="preserve">Base (USD B)</t>
  </si>
  <si>
    <t xml:space="preserve">Exposure (USD B)</t>
  </si>
  <si>
    <t xml:space="preserve">Current obligation (USD B)</t>
  </si>
  <si>
    <t xml:space="preserve">Maximum payable through FRAME and MAKE</t>
  </si>
  <si>
    <t xml:space="preserve">Stageable balance after MAKE</t>
  </si>
  <si>
    <t xml:space="preserve">Private obligations now</t>
  </si>
  <si>
    <t xml:space="preserve">Public obligations now</t>
  </si>
  <si>
    <t xml:space="preserve">Technology Agenda</t>
  </si>
  <si>
    <t xml:space="preserve">The proving estate is itself a national technology program. These capabilities are program requirements, not claims that present systems already exist.</t>
  </si>
  <si>
    <t xml:space="preserve">Domain</t>
  </si>
  <si>
    <t xml:space="preserve">Technology thrust</t>
  </si>
  <si>
    <t xml:space="preserve">Required advance</t>
  </si>
  <si>
    <t xml:space="preserve">Strategic effect</t>
  </si>
  <si>
    <t xml:space="preserve">Current maturity</t>
  </si>
  <si>
    <t xml:space="preserve">Cross-system</t>
  </si>
  <si>
    <t xml:space="preserve">full-scale receiver-state synthesis</t>
  </si>
  <si>
    <t xml:space="preserve">Create safe, resettable physical states spanning motion, heat, fluids, structures, clinical workflow and damaged equipment.</t>
  </si>
  <si>
    <t xml:space="preserve">Enables repeatable service-denial science rather than demonstration theater.</t>
  </si>
  <si>
    <t xml:space="preserve">UNPROVED</t>
  </si>
  <si>
    <t xml:space="preserve">unlike emulator realization</t>
  </si>
  <si>
    <t xml:space="preserve">Build two independently designed ways to create the same public state and quantify disagreement.</t>
  </si>
  <si>
    <t xml:space="preserve">Prevents one range implementation from defining national truth.</t>
  </si>
  <si>
    <t xml:space="preserve">portable sovereign calibration</t>
  </si>
  <si>
    <t xml:space="preserve">Carry reference loads, flows, chemistry, physiology, time and geometry into disconnected field settings.</t>
  </si>
  <si>
    <t xml:space="preserve">Lets receivers reproduce claims without a central laboratory.</t>
  </si>
  <si>
    <t xml:space="preserve">sealed multi-original evidence</t>
  </si>
  <si>
    <t xml:space="preserve">Retain independent raw originals, physical identity and causal order through total network loss.</t>
  </si>
  <si>
    <t xml:space="preserve">Makes missingness and tampering visible without one cloud.</t>
  </si>
  <si>
    <t xml:space="preserve">estimator adjudication harness</t>
  </si>
  <si>
    <t xml:space="preserve">Execute unlike root-native estimators against sealed reference truth without standardizing the estimator.</t>
  </si>
  <si>
    <t xml:space="preserve">Creates comparability without a common analytic root.</t>
  </si>
  <si>
    <t xml:space="preserve">dynamic heavy-load truth systems</t>
  </si>
  <si>
    <t xml:space="preserve">Generate coupled six-degree motion, transient contact, shore reaction and custody state at operational load.</t>
  </si>
  <si>
    <t xml:space="preserve">Makes no-pier heavy exchange a measurable discipline.</t>
  </si>
  <si>
    <t xml:space="preserve">occupied-civil-terrain emulation</t>
  </si>
  <si>
    <t xml:space="preserve">Reproduce damaged-building geometry, heat, smoke, disability and consent constraints without endangering residents.</t>
  </si>
  <si>
    <t xml:space="preserve">Allows high-consequence human-machine access to fail safely in test.</t>
  </si>
  <si>
    <t xml:space="preserve">closed fire and atmosphere ranges</t>
  </si>
  <si>
    <t xml:space="preserve">Create moving fire edges, ember fields, plume interaction and recoverable intervention residuals.</t>
  </si>
  <si>
    <t xml:space="preserve">Measures held effect and environmental consequence together.</t>
  </si>
  <si>
    <t xml:space="preserve">coupled utility receiver grids</t>
  </si>
  <si>
    <t xml:space="preserve">Inject source, conversion, storage, corridor, demand and residual faults at water-energy scale.</t>
  </si>
  <si>
    <t xml:space="preserve">Tests complete utility service rather than independent nameplates.</t>
  </si>
  <si>
    <t xml:space="preserve">clinical pathway state engines</t>
  </si>
  <si>
    <t xml:space="preserve">Represent acuity, workforce, utilities, transfer, consent and discharge as executable physical workflow.</t>
  </si>
  <si>
    <t xml:space="preserve">Tests completed episodes without exposing real patients to developmental risk.</t>
  </si>
  <si>
    <t xml:space="preserve">regeneration truth factories</t>
  </si>
  <si>
    <t xml:space="preserve">Create known and blind damage, process variation, contamination and recertification loss across full articles.</t>
  </si>
  <si>
    <t xml:space="preserve">Makes configuration restoration measurable.</t>
  </si>
  <si>
    <t xml:space="preserve">rights-native instrumentation</t>
  </si>
  <si>
    <t xml:space="preserve">Record consent, refusal, accessibility, separation, custody and receiver labor as first-class observations.</t>
  </si>
  <si>
    <t xml:space="preserve">Prevents technical rate from erasing civil completion.</t>
  </si>
  <si>
    <t xml:space="preserve">adversarial autonomy assurance</t>
  </si>
  <si>
    <t xml:space="preserve">Test local control, safeing and recovery under network, time, model and sensor corruption.</t>
  </si>
  <si>
    <t xml:space="preserve">Drives diverse autonomy without licensing one Department stack.</t>
  </si>
  <si>
    <t xml:space="preserve">cold reconstruction compilers</t>
  </si>
  <si>
    <t xml:space="preserve">Allow an outside public team to rebuild method, emulator and article evidence from sealed artifacts.</t>
  </si>
  <si>
    <t xml:space="preserve">Turns knowledge transfer and export into physical capability rather than documentation possession.</t>
  </si>
  <si>
    <t xml:space="preserve">Stress Tests</t>
  </si>
  <si>
    <t xml:space="preserve">Each case tests whether urgency, efficiency, favorable outcomes or common infrastructure can manufacture authority.</t>
  </si>
  <si>
    <t xml:space="preserve">#</t>
  </si>
  <si>
    <t xml:space="preserve">Stress world</t>
  </si>
  <si>
    <t xml:space="preserve">Required disposition</t>
  </si>
  <si>
    <t xml:space="preserve">Reason</t>
  </si>
  <si>
    <t xml:space="preserve">Prohibited conversions</t>
  </si>
  <si>
    <t xml:space="preserve">Two emulator realizations disagree</t>
  </si>
  <si>
    <t xml:space="preserve">HOLD METHOD</t>
  </si>
  <si>
    <t xml:space="preserve">no decisive evidence until the state discrepancy is bounded</t>
  </si>
  <si>
    <t xml:space="preserve">Root House requests the public controller</t>
  </si>
  <si>
    <t xml:space="preserve">DENY DEPENDENCY</t>
  </si>
  <si>
    <t xml:space="preserve">public seams cannot implement candidate execution</t>
  </si>
  <si>
    <t xml:space="preserve">Favorable trial lacks one decisive raw original</t>
  </si>
  <si>
    <t xml:space="preserve">missing evidence cannot become a favorable zero</t>
  </si>
  <si>
    <t xml:space="preserve">Candidate triggers a valid safety stop</t>
  </si>
  <si>
    <t xml:space="preserve">PRESERVE ADVERSE</t>
  </si>
  <si>
    <t xml:space="preserve">stop protects people but does not erase the physical response</t>
  </si>
  <si>
    <t xml:space="preserve">Receiver state leaves registered tolerance</t>
  </si>
  <si>
    <t xml:space="preserve">INVALID EVENT</t>
  </si>
  <si>
    <t xml:space="preserve">only the exact event receives one bounded replay token</t>
  </si>
  <si>
    <t xml:space="preserve">Builder learns the blind challenge allocation</t>
  </si>
  <si>
    <t xml:space="preserve">VOID ALLOCATION</t>
  </si>
  <si>
    <t xml:space="preserve">issue a fresh sealed allocation before physical work</t>
  </si>
  <si>
    <t xml:space="preserve">Primary proving location is lost</t>
  </si>
  <si>
    <t xml:space="preserve">USE UNLIKE LINEAGE</t>
  </si>
  <si>
    <t xml:space="preserve">public method survives because implementation is plural and portable</t>
  </si>
  <si>
    <t xml:space="preserve">Method owner changes threshold after a result</t>
  </si>
  <si>
    <t xml:space="preserve">NEW VERSION</t>
  </si>
  <si>
    <t xml:space="preserve">prior method and result remain visible; replay the affected set</t>
  </si>
  <si>
    <t xml:space="preserve">One provider appears in two roots' decisive domain</t>
  </si>
  <si>
    <t xml:space="preserve">SUSPEND COLLISION</t>
  </si>
  <si>
    <t xml:space="preserve">restore exclusive ancestry before either release advances</t>
  </si>
  <si>
    <t xml:space="preserve">A striking prototype misses one service coordinate</t>
  </si>
  <si>
    <t xml:space="preserve">KILL OR RESIZE</t>
  </si>
  <si>
    <t xml:space="preserve">no weighted score or prestige exception exists</t>
  </si>
  <si>
    <t xml:space="preserve">Simulation passes but physical event fails</t>
  </si>
  <si>
    <t xml:space="preserve">BIND PHYSICAL RESULT</t>
  </si>
  <si>
    <t xml:space="preserve">simulation supports design and cannot overwrite observation</t>
  </si>
  <si>
    <t xml:space="preserve">Public evidence schema expands into a live broker</t>
  </si>
  <si>
    <t xml:space="preserve">REMOVE BROKER</t>
  </si>
  <si>
    <t xml:space="preserve">portable records do not authorize operational control</t>
  </si>
  <si>
    <t xml:space="preserve">Receiver supplies undeclared labor or utilities</t>
  </si>
  <si>
    <t xml:space="preserve">REJECT CREDIT</t>
  </si>
  <si>
    <t xml:space="preserve">externalized burden remains a candidate failure</t>
  </si>
  <si>
    <t xml:space="preserve">Adverse packet is deleted after program cancellation</t>
  </si>
  <si>
    <t xml:space="preserve">RESTORE PUBLIC RECORD</t>
  </si>
  <si>
    <t xml:space="preserve">valid failure remains paid, permanent and transferable</t>
  </si>
  <si>
    <t xml:space="preserve">Schedule pressure seeks one realization lineage</t>
  </si>
  <si>
    <t xml:space="preserve">HOLD RELEASE</t>
  </si>
  <si>
    <t xml:space="preserve">two unlike realizations are a hard evidentiary gate</t>
  </si>
  <si>
    <t xml:space="preserve">Partner receiver wants to reproduce a method</t>
  </si>
  <si>
    <t xml:space="preserve">TRANSFER PUBLIC PACKAGE</t>
  </si>
  <si>
    <t xml:space="preserve">receiver may rebuild public truth without receiving a vendor runtime</t>
  </si>
  <si>
    <t xml:space="preserve">Mutation restoration test</t>
  </si>
  <si>
    <t xml:space="preserve">Every deliberate defect must be detected, then the baseline must be restored without creating physical credit.</t>
  </si>
  <si>
    <t xml:space="preserve">Control</t>
  </si>
  <si>
    <t xml:space="preserve">Required baseline</t>
  </si>
  <si>
    <t xml:space="preserve">Mutated value</t>
  </si>
  <si>
    <t xml:space="preserve">Mutation detected</t>
  </si>
  <si>
    <t xml:space="preserve">Restored value</t>
  </si>
  <si>
    <t xml:space="preserve">Restored</t>
  </si>
  <si>
    <t xml:space="preserve">A0 package count</t>
  </si>
  <si>
    <t xml:space="preserve">receiver-state count</t>
  </si>
  <si>
    <t xml:space="preserve">public method count</t>
  </si>
  <si>
    <t xml:space="preserve">method realization lineages</t>
  </si>
  <si>
    <t xml:space="preserve">A1 warrant count</t>
  </si>
  <si>
    <t xml:space="preserve">exclusive ancestry declarations</t>
  </si>
  <si>
    <t xml:space="preserve">method-article cells</t>
  </si>
  <si>
    <t xml:space="preserve">physical event slots</t>
  </si>
  <si>
    <t xml:space="preserve">public seams</t>
  </si>
  <si>
    <t xml:space="preserve">shared runtime count</t>
  </si>
  <si>
    <t xml:space="preserve">current awards</t>
  </si>
  <si>
    <t xml:space="preserve">production credit</t>
  </si>
  <si>
    <t xml:space="preserve">Terminal audit</t>
  </si>
  <si>
    <t xml:space="preserve">Checks are independent terminal diagnostics and do not feed any program decision or financial output.</t>
  </si>
  <si>
    <t xml:space="preserve">Audit</t>
  </si>
  <si>
    <t xml:space="preserve">Actual</t>
  </si>
  <si>
    <t xml:space="preserve">Required</t>
  </si>
  <si>
    <t xml:space="preserve">Interpretation</t>
  </si>
  <si>
    <t xml:space="preserve">Selected architecture gates</t>
  </si>
  <si>
    <t xml:space="preserve">All noncompensatory gates</t>
  </si>
  <si>
    <t xml:space="preserve">Selected architecture count</t>
  </si>
  <si>
    <t xml:space="preserve">Exactly one architecture</t>
  </si>
  <si>
    <t xml:space="preserve">One per system</t>
  </si>
  <si>
    <t xml:space="preserve">A0 frozen count</t>
  </si>
  <si>
    <t xml:space="preserve">All public methods frozen</t>
  </si>
  <si>
    <t xml:space="preserve">A0 observations</t>
  </si>
  <si>
    <t xml:space="preserve">No physical observation</t>
  </si>
  <si>
    <t xml:space="preserve">A0 field credit</t>
  </si>
  <si>
    <t xml:space="preserve">Method is not effect</t>
  </si>
  <si>
    <t xml:space="preserve">Inherited without compensation</t>
  </si>
  <si>
    <t xml:space="preserve">Four per system</t>
  </si>
  <si>
    <t xml:space="preserve">Receiver implementation identities</t>
  </si>
  <si>
    <t xml:space="preserve">Sites and providers held</t>
  </si>
  <si>
    <t xml:space="preserve">Accepted receiver realizations</t>
  </si>
  <si>
    <t xml:space="preserve">No facility acceptance</t>
  </si>
  <si>
    <t xml:space="preserve">Twelve per system</t>
  </si>
  <si>
    <t xml:space="preserve">Frozen public methods</t>
  </si>
  <si>
    <t xml:space="preserve">Pre-result version fixed</t>
  </si>
  <si>
    <t xml:space="preserve">Required realization lineages</t>
  </si>
  <si>
    <t xml:space="preserve">Two per method</t>
  </si>
  <si>
    <t xml:space="preserve">Accepted realization lineages</t>
  </si>
  <si>
    <t xml:space="preserve">Implementations source-empty</t>
  </si>
  <si>
    <t xml:space="preserve">Issue-authorized warrants</t>
  </si>
  <si>
    <t xml:space="preserve">Competition may be issued</t>
  </si>
  <si>
    <t xml:space="preserve">Assigned Root Houses</t>
  </si>
  <si>
    <t xml:space="preserve">No firm selected</t>
  </si>
  <si>
    <t xml:space="preserve">Article serial identities</t>
  </si>
  <si>
    <t xml:space="preserve">No article exists</t>
  </si>
  <si>
    <t xml:space="preserve">A1 accepted evidence</t>
  </si>
  <si>
    <t xml:space="preserve">No result</t>
  </si>
  <si>
    <t xml:space="preserve">A1 field credit</t>
  </si>
  <si>
    <t xml:space="preserve">A1 is not A3</t>
  </si>
  <si>
    <t xml:space="preserve">A1 production credit</t>
  </si>
  <si>
    <t xml:space="preserve">A1 is not A6</t>
  </si>
  <si>
    <t xml:space="preserve">Ancestry declarations</t>
  </si>
  <si>
    <t xml:space="preserve">Seven per root</t>
  </si>
  <si>
    <t xml:space="preserve">Shared runtimes allowed</t>
  </si>
  <si>
    <t xml:space="preserve">No common technical root</t>
  </si>
  <si>
    <t xml:space="preserve">Declared ancestry providers</t>
  </si>
  <si>
    <t xml:space="preserve">Identities remain open</t>
  </si>
  <si>
    <t xml:space="preserve">Accepted ancestry declarations</t>
  </si>
  <si>
    <t xml:space="preserve">No paper ancestry credit</t>
  </si>
  <si>
    <t xml:space="preserve">Method-article cells</t>
  </si>
  <si>
    <t xml:space="preserve">Twelve per article</t>
  </si>
  <si>
    <t xml:space="preserve">Experiment lineages</t>
  </si>
  <si>
    <t xml:space="preserve">Two per cell</t>
  </si>
  <si>
    <t xml:space="preserve">Physical event slots</t>
  </si>
  <si>
    <t xml:space="preserve">Control and challenge on both lineages</t>
  </si>
  <si>
    <t xml:space="preserve">Blind allocation tokens</t>
  </si>
  <si>
    <t xml:space="preserve">One per physical event</t>
  </si>
  <si>
    <t xml:space="preserve">Observed physical events</t>
  </si>
  <si>
    <t xml:space="preserve">All source-empty</t>
  </si>
  <si>
    <t xml:space="preserve">No validity judgment</t>
  </si>
  <si>
    <t xml:space="preserve">No event executed</t>
  </si>
  <si>
    <t xml:space="preserve">No outcome</t>
  </si>
  <si>
    <t xml:space="preserve">Common semantics bounded</t>
  </si>
  <si>
    <t xml:space="preserve">Seams entering candidate runtime</t>
  </si>
  <si>
    <t xml:space="preserve">No common operational stack</t>
  </si>
  <si>
    <t xml:space="preserve">No unitary proof chain</t>
  </si>
  <si>
    <t xml:space="preserve">Authority identities</t>
  </si>
  <si>
    <t xml:space="preserve">Appointments held</t>
  </si>
  <si>
    <t xml:space="preserve">Status transitions explicit</t>
  </si>
  <si>
    <t xml:space="preserve">A0 cost elements</t>
  </si>
  <si>
    <t xml:space="preserve">Transparent cost build</t>
  </si>
  <si>
    <t xml:space="preserve">Fifteen percent of enabling account</t>
  </si>
  <si>
    <t xml:space="preserve">A0 reservation share</t>
  </si>
  <si>
    <t xml:space="preserve">Cost build reconciles</t>
  </si>
  <si>
    <t xml:space="preserve">A0 reservation within enabling</t>
  </si>
  <si>
    <t xml:space="preserve">Nested inside USD 80B</t>
  </si>
  <si>
    <t xml:space="preserve">Selected-field ceiling</t>
  </si>
  <si>
    <t xml:space="preserve">Inherited T1 field authority</t>
  </si>
  <si>
    <t xml:space="preserve">Inherited option market</t>
  </si>
  <si>
    <t xml:space="preserve">Remains held</t>
  </si>
  <si>
    <t xml:space="preserve">Mission authority reconciliation</t>
  </si>
  <si>
    <t xml:space="preserve">Stageable plus held</t>
  </si>
  <si>
    <t xml:space="preserve">Maximum through MAKE</t>
  </si>
  <si>
    <t xml:space="preserve">Fifty percent of stageable</t>
  </si>
  <si>
    <t xml:space="preserve">BREAK and TRANSFER held</t>
  </si>
  <si>
    <t xml:space="preserve">Private obligations</t>
  </si>
  <si>
    <t xml:space="preserve">No award or payment</t>
  </si>
  <si>
    <t xml:space="preserve">Public obligations</t>
  </si>
  <si>
    <t xml:space="preserve">Reservation is not obligation</t>
  </si>
  <si>
    <t xml:space="preserve">Technology thrusts</t>
  </si>
  <si>
    <t xml:space="preserve">Proving estate drives new capability</t>
  </si>
  <si>
    <t xml:space="preserve">Technology production credit</t>
  </si>
  <si>
    <t xml:space="preserve">Research agenda is not production</t>
  </si>
  <si>
    <t xml:space="preserve">Stress tests passed</t>
  </si>
  <si>
    <t xml:space="preserve">All cases preserve law</t>
  </si>
  <si>
    <t xml:space="preserve">Mutation detections</t>
  </si>
  <si>
    <t xml:space="preserve">Every defect detected</t>
  </si>
  <si>
    <t xml:space="preserve">Mutation restorations</t>
  </si>
  <si>
    <t xml:space="preserve">Every baseline restored</t>
  </si>
  <si>
    <t xml:space="preserve">Mutation production credit</t>
  </si>
  <si>
    <t xml:space="preserve">Tests create no capability</t>
  </si>
  <si>
    <t xml:space="preserve">Sources &amp; Limits</t>
  </si>
  <si>
    <t xml:space="preserve">Internal evidence only. The workbook distinguishes inherited controls, prospective design requirements and still-empty physical records.</t>
  </si>
  <si>
    <t xml:space="preserve">Type</t>
  </si>
  <si>
    <t xml:space="preserve">Source or boundary</t>
  </si>
  <si>
    <t xml:space="preserve">Use</t>
  </si>
  <si>
    <t xml:space="preserve">Internal</t>
  </si>
  <si>
    <t xml:space="preserve">research/frontier.md</t>
  </si>
  <si>
    <t xml:space="preserve">Pass 208 frontier and Pass 209 parent question</t>
  </si>
  <si>
    <t xml:space="preserve">Current decision boundary and held identities</t>
  </si>
  <si>
    <t xml:space="preserve">research/force/generation/department-of-resilience-first-six-system-requirement-cohort-and-public-service-vector-constitution.md</t>
  </si>
  <si>
    <t xml:space="preserve">Pass 208</t>
  </si>
  <si>
    <t xml:space="preserve">Six fields, forty-eight vector coordinates and USD 27.5B boundary</t>
  </si>
  <si>
    <t xml:space="preserve">models/programmatics/department-of-resilience-first-six-system-requirement-cohort.xlsx</t>
  </si>
  <si>
    <t xml:space="preserve">Pass 208 independently recalculated workbook</t>
  </si>
  <si>
    <t xml:space="preserve">System finances, root hypotheses and payment ladder</t>
  </si>
  <si>
    <t xml:space="preserve">research/force/generation/department-of-resilience-first-physical-build-portfolio-and-release-sequence.md</t>
  </si>
  <si>
    <t xml:space="preserve">Pass 206</t>
  </si>
  <si>
    <t xml:space="preserve">A0-A7 evidence ladder and USD 80.0B enabling account</t>
  </si>
  <si>
    <t xml:space="preserve">research/force/generation/department-of-resilience-first-tranche-industrial-transaction-and-anti-convergence-constitution.md</t>
  </si>
  <si>
    <t xml:space="preserve">Pass 207</t>
  </si>
  <si>
    <t xml:space="preserve">Root House options, artifact payment and anti-convergence law</t>
  </si>
  <si>
    <t xml:space="preserve">research/force/generation/f36-cisa40-sa6-root-a-method-card-and-causal-estimator-constitution.md</t>
  </si>
  <si>
    <t xml:space="preserve">Method precedent</t>
  </si>
  <si>
    <t xml:space="preserve">Public method ownership, missingness and causal evidence</t>
  </si>
  <si>
    <t xml:space="preserve">research/force/generation/f36-cisa40-sa6-root-b-method-card-and-causal-estimator-constitution.md</t>
  </si>
  <si>
    <t xml:space="preserve">Independent method implementation and amendment law</t>
  </si>
  <si>
    <t xml:space="preserve">Limit</t>
  </si>
  <si>
    <t xml:space="preserve">No external sites used</t>
  </si>
  <si>
    <t xml:space="preserve">User constraint</t>
  </si>
  <si>
    <t xml:space="preserve">All quantities are internal design requirements or planning coefficients</t>
  </si>
  <si>
    <t xml:space="preserve">No physical observations</t>
  </si>
  <si>
    <t xml:space="preserve">Pass 209 state</t>
  </si>
  <si>
    <t xml:space="preserve">Methods and event slots are prospective; all observation counts are zero</t>
  </si>
  <si>
    <t xml:space="preserve">No supplier, site or serial identities</t>
  </si>
  <si>
    <t xml:space="preserve">Release warrants are issuable public objects, not awards or accepted articles</t>
  </si>
  <si>
    <t xml:space="preserve">USD 12.0B A0 reservation</t>
  </si>
  <si>
    <t xml:space="preserve">Planning construct</t>
  </si>
  <si>
    <t xml:space="preserve">Nested ceiling, not cost estimate, appropriation, obligation or market forecast</t>
  </si>
  <si>
    <t xml:space="preserve">No rendering</t>
  </si>
  <si>
    <t xml:space="preserve">Exterior form remains held until physical requirements mature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</si>
</sst>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00"/>
    <numFmt numFmtId="166" formatCode="\$#,##0.00"/>
    <numFmt numFmtId="167" formatCode="#,##0.00"/>
    <numFmt numFmtId="168" formatCode="\$#,##0.000"/>
    <numFmt numFmtId="169" formatCode="0.0%"/>
    <numFmt numFmtId="170" formatCode="\$0.0"/>
    <numFmt numFmtId="171" formatCode="0%"/>
    <numFmt numFmtId="172" formatCode="#,##0.00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65D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9"/>
      <color rgb="FF000000"/>
      <name val="Arial"/>
      <family val="2"/>
    </font>
    <font>
      <sz val="6.75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FFF2CC"/>
        <bgColor rgb="FFFCE4D6"/>
      </patternFill>
    </fill>
    <fill>
      <patternFill patternType="solid">
        <fgColor rgb="FF595959"/>
        <bgColor rgb="FF548235"/>
      </patternFill>
    </fill>
    <fill>
      <patternFill patternType="solid">
        <fgColor rgb="FFE2F0D9"/>
        <bgColor rgb="FFD9EAF7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F75B5"/>
      </bottom>
      <diagonal/>
    </border>
    <border diagonalUp="false" diagonalDown="false">
      <left style="thin">
        <color rgb="FF2F75B5"/>
      </left>
      <right/>
      <top style="thin">
        <color rgb="FF2F75B5"/>
      </top>
      <bottom style="thin">
        <color rgb="FF2F75B5"/>
      </bottom>
      <diagonal/>
    </border>
    <border diagonalUp="false" diagonalDown="false">
      <left/>
      <right/>
      <top style="thin">
        <color rgb="FF2F75B5"/>
      </top>
      <bottom style="thin">
        <color rgb="FF2F75B5"/>
      </bottom>
      <diagonal/>
    </border>
    <border diagonalUp="false" diagonalDown="false">
      <left/>
      <right style="thin">
        <color rgb="FF2F75B5"/>
      </right>
      <top style="thin">
        <color rgb="FF2F75B5"/>
      </top>
      <bottom style="thin">
        <color rgb="FF2F75B5"/>
      </bottom>
      <diagonal/>
    </border>
    <border diagonalUp="false" diagonalDown="false">
      <left style="medium">
        <color rgb="FFC59A2A"/>
      </left>
      <right style="medium">
        <color rgb="FFC59A2A"/>
      </right>
      <top style="medium">
        <color rgb="FFC59A2A"/>
      </top>
      <bottom style="medium">
        <color rgb="FFC59A2A"/>
      </bottom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8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11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5"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595959"/>
      </font>
      <fill>
        <patternFill>
          <bgColor rgb="FFFFF2CC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595959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95959"/>
      </font>
      <fill>
        <patternFill>
          <bgColor rgb="FFFFF2CC"/>
        </patternFill>
      </fill>
    </dxf>
    <dxf>
      <font>
        <b val="1"/>
        <color rgb="FF595959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95959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C59A2A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A0 public-method reservation (USD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"USD billions"</c:f>
              <c:strCache>
                <c:ptCount val="1"/>
                <c:pt idx="0">
                  <c:v>USD billions</c:v>
                </c:pt>
              </c:strCache>
            </c:strRef>
          </c:tx>
          <c:spPr>
            <a:solidFill>
              <a:srgbClr val="2F75B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Finance!$H$7:$H$14</c:f>
              <c:strCache>
                <c:ptCount val="8"/>
                <c:pt idx="0">
                  <c:v>Six public method packages</c:v>
                </c:pt>
                <c:pt idx="1">
                  <c:v>Twenty-four receiver-state lines</c:v>
                </c:pt>
                <c:pt idx="2">
                  <c:v>One hundred forty-four method realizations</c:v>
                </c:pt>
                <c:pt idx="3">
                  <c:v>One hundred forty-four calibration chains</c:v>
                </c:pt>
                <c:pt idx="4">
                  <c:v>Twenty-four reset and forensic cells</c:v>
                </c:pt>
                <c:pt idx="5">
                  <c:v>Rights, safety and accessibility fixtures</c:v>
                </c:pt>
                <c:pt idx="6">
                  <c:v>Evidence replay and cold-run capacity</c:v>
                </c:pt>
                <c:pt idx="7">
                  <c:v>Program uncertainty reserve</c:v>
                </c:pt>
              </c:strCache>
            </c:strRef>
          </c:cat>
          <c:val>
            <c:numRef>
              <c:f>Finance!$I$7:$I$14</c:f>
              <c:numCache>
                <c:formatCode>\$0.0</c:formatCode>
                <c:ptCount val="8"/>
                <c:pt idx="0">
                  <c:v>1.5</c:v>
                </c:pt>
                <c:pt idx="1">
                  <c:v>4.2</c:v>
                </c:pt>
                <c:pt idx="2">
                  <c:v>1.8</c:v>
                </c:pt>
                <c:pt idx="3">
                  <c:v>1.44</c:v>
                </c:pt>
                <c:pt idx="4">
                  <c:v>1.2</c:v>
                </c:pt>
                <c:pt idx="5">
                  <c:v>0.72</c:v>
                </c:pt>
                <c:pt idx="6">
                  <c:v>0.54</c:v>
                </c:pt>
                <c:pt idx="7">
                  <c:v>0.6</c:v>
                </c:pt>
              </c:numCache>
            </c:numRef>
          </c:val>
        </c:ser>
        <c:gapWidth val="150"/>
        <c:overlap val="0"/>
        <c:axId val="86042761"/>
        <c:axId val="32352232"/>
      </c:barChart>
      <c:catAx>
        <c:axId val="8604276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2352232"/>
        <c:crosses val="autoZero"/>
        <c:auto val="1"/>
        <c:lblAlgn val="ctr"/>
        <c:lblOffset val="100"/>
        <c:noMultiLvlLbl val="0"/>
      </c:catAx>
      <c:valAx>
        <c:axId val="3235223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$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6042761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16</xdr:row>
      <xdr:rowOff>0</xdr:rowOff>
    </xdr:from>
    <xdr:to>
      <xdr:col>15</xdr:col>
      <xdr:colOff>610920</xdr:colOff>
      <xdr:row>32</xdr:row>
      <xdr:rowOff>190080</xdr:rowOff>
    </xdr:to>
    <xdr:graphicFrame>
      <xdr:nvGraphicFramePr>
        <xdr:cNvPr id="1" name="Chart"/>
        <xdr:cNvGraphicFramePr/>
      </xdr:nvGraphicFramePr>
      <xdr:xfrm>
        <a:off x="11184120" y="3312720"/>
        <a:ext cx="8509320" cy="335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12" min="8" style="0" width="14"/>
  </cols>
  <sheetData>
    <row r="2" customFormat="false" ht="24" hidden="false" customHeight="true" outlineLevel="0" collapsed="false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8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4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6"/>
    </row>
    <row r="7" customFormat="false" ht="15" hidden="false" customHeight="true" outlineLevel="0" collapsed="false">
      <c r="A7" s="7" t="s">
        <v>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8" t="s">
        <v>4</v>
      </c>
      <c r="B12" s="8" t="s">
        <v>5</v>
      </c>
      <c r="C12" s="8" t="s">
        <v>6</v>
      </c>
      <c r="D12" s="2"/>
      <c r="E12" s="8" t="s">
        <v>7</v>
      </c>
      <c r="F12" s="8" t="s">
        <v>5</v>
      </c>
      <c r="G12" s="8" t="s">
        <v>6</v>
      </c>
      <c r="H12" s="2"/>
      <c r="I12" s="2"/>
      <c r="J12" s="2"/>
      <c r="K12" s="2"/>
      <c r="L12" s="2"/>
    </row>
    <row r="13" customFormat="false" ht="15" hidden="false" customHeight="false" outlineLevel="0" collapsed="false">
      <c r="A13" s="9" t="s">
        <v>8</v>
      </c>
      <c r="B13" s="10" t="n">
        <f aca="false">COUNTIFS('Architecture Test'!O7:O11,"SELECT")</f>
        <v>1</v>
      </c>
      <c r="C13" s="9" t="s">
        <v>9</v>
      </c>
      <c r="D13" s="2"/>
      <c r="E13" s="9" t="s">
        <v>10</v>
      </c>
      <c r="F13" s="11" t="n">
        <f aca="false">Finance!B23</f>
        <v>27.5</v>
      </c>
      <c r="G13" s="9" t="s">
        <v>11</v>
      </c>
      <c r="H13" s="2"/>
      <c r="I13" s="2"/>
      <c r="J13" s="2"/>
      <c r="K13" s="2"/>
      <c r="L13" s="2"/>
    </row>
    <row r="14" customFormat="false" ht="15" hidden="false" customHeight="false" outlineLevel="0" collapsed="false">
      <c r="A14" s="9" t="s">
        <v>12</v>
      </c>
      <c r="B14" s="10" t="n">
        <f aca="false">COUNTA('A0 Packages'!A7:A12)</f>
        <v>6</v>
      </c>
      <c r="C14" s="9" t="s">
        <v>13</v>
      </c>
      <c r="D14" s="2"/>
      <c r="E14" s="9" t="s">
        <v>14</v>
      </c>
      <c r="F14" s="11" t="n">
        <f aca="false">Finance!B24</f>
        <v>14.3476512772823</v>
      </c>
      <c r="G14" s="9" t="s">
        <v>11</v>
      </c>
      <c r="H14" s="2"/>
      <c r="I14" s="2"/>
      <c r="J14" s="2"/>
      <c r="K14" s="2"/>
      <c r="L14" s="2"/>
    </row>
    <row r="15" customFormat="false" ht="15" hidden="false" customHeight="false" outlineLevel="0" collapsed="false">
      <c r="A15" s="9" t="s">
        <v>15</v>
      </c>
      <c r="B15" s="10" t="n">
        <f aca="false">COUNTA('Receiver States'!A7:A30)</f>
        <v>24</v>
      </c>
      <c r="C15" s="9" t="s">
        <v>16</v>
      </c>
      <c r="D15" s="2"/>
      <c r="E15" s="9" t="s">
        <v>17</v>
      </c>
      <c r="F15" s="11" t="n">
        <f aca="false">Finance!B25</f>
        <v>13.1523487227177</v>
      </c>
      <c r="G15" s="9" t="s">
        <v>11</v>
      </c>
      <c r="H15" s="2"/>
      <c r="I15" s="2"/>
      <c r="J15" s="2"/>
      <c r="K15" s="2"/>
      <c r="L15" s="2"/>
    </row>
    <row r="16" customFormat="false" ht="15" hidden="false" customHeight="false" outlineLevel="0" collapsed="false">
      <c r="A16" s="9" t="s">
        <v>18</v>
      </c>
      <c r="B16" s="10" t="n">
        <f aca="false">COUNTA('Public Methods'!A7:A78)</f>
        <v>72</v>
      </c>
      <c r="C16" s="9" t="s">
        <v>19</v>
      </c>
      <c r="D16" s="2"/>
      <c r="E16" s="9" t="s">
        <v>20</v>
      </c>
      <c r="F16" s="11" t="n">
        <f aca="false">Finance!D15</f>
        <v>12</v>
      </c>
      <c r="G16" s="9" t="s">
        <v>11</v>
      </c>
      <c r="H16" s="2"/>
      <c r="I16" s="2"/>
      <c r="J16" s="2"/>
      <c r="K16" s="2"/>
      <c r="L16" s="2"/>
    </row>
    <row r="17" customFormat="false" ht="15" hidden="false" customHeight="false" outlineLevel="0" collapsed="false">
      <c r="A17" s="9" t="s">
        <v>21</v>
      </c>
      <c r="B17" s="10" t="n">
        <f aca="false">SUM('Public Methods'!M7:M78)</f>
        <v>144</v>
      </c>
      <c r="C17" s="9" t="s">
        <v>22</v>
      </c>
      <c r="D17" s="2"/>
      <c r="E17" s="9" t="s">
        <v>23</v>
      </c>
      <c r="F17" s="11" t="n">
        <f aca="false">Finance!D19</f>
        <v>7.17382563864113</v>
      </c>
      <c r="G17" s="9" t="s">
        <v>11</v>
      </c>
      <c r="H17" s="2"/>
      <c r="I17" s="2"/>
      <c r="J17" s="2"/>
      <c r="K17" s="2"/>
      <c r="L17" s="2"/>
    </row>
    <row r="18" customFormat="false" ht="15" hidden="false" customHeight="false" outlineLevel="0" collapsed="false">
      <c r="A18" s="9" t="s">
        <v>24</v>
      </c>
      <c r="B18" s="10" t="n">
        <f aca="false">COUNTA('A1 Releases'!A7:A30)</f>
        <v>24</v>
      </c>
      <c r="C18" s="9" t="s">
        <v>25</v>
      </c>
      <c r="D18" s="2"/>
      <c r="E18" s="9" t="s">
        <v>26</v>
      </c>
      <c r="F18" s="11" t="n">
        <f aca="false">Finance!D20</f>
        <v>7.17382563864113</v>
      </c>
      <c r="G18" s="9" t="s">
        <v>11</v>
      </c>
      <c r="H18" s="2"/>
      <c r="I18" s="2"/>
      <c r="J18" s="2"/>
      <c r="K18" s="2"/>
      <c r="L18" s="2"/>
    </row>
    <row r="19" customFormat="false" ht="15" hidden="false" customHeight="false" outlineLevel="0" collapsed="false">
      <c r="A19" s="9" t="s">
        <v>27</v>
      </c>
      <c r="B19" s="10" t="n">
        <f aca="false">COUNTA('Ancestry Firewall'!A7:A174)</f>
        <v>168</v>
      </c>
      <c r="C19" s="9" t="s">
        <v>28</v>
      </c>
      <c r="D19" s="2"/>
      <c r="E19" s="9" t="s">
        <v>29</v>
      </c>
      <c r="F19" s="11" t="n">
        <f aca="false">Finance!E21</f>
        <v>0</v>
      </c>
      <c r="G19" s="9" t="s">
        <v>11</v>
      </c>
      <c r="H19" s="2"/>
      <c r="I19" s="2"/>
      <c r="J19" s="2"/>
      <c r="K19" s="2"/>
      <c r="L19" s="2"/>
    </row>
    <row r="20" customFormat="false" ht="15" hidden="false" customHeight="false" outlineLevel="0" collapsed="false">
      <c r="A20" s="9" t="s">
        <v>30</v>
      </c>
      <c r="B20" s="10" t="n">
        <f aca="false">COUNTA('Experiment Plan'!A7:A294)</f>
        <v>288</v>
      </c>
      <c r="C20" s="9" t="s">
        <v>31</v>
      </c>
      <c r="D20" s="2"/>
      <c r="E20" s="9" t="s">
        <v>32</v>
      </c>
      <c r="F20" s="11" t="n">
        <f aca="false">Finance!E22</f>
        <v>0</v>
      </c>
      <c r="G20" s="9" t="s">
        <v>11</v>
      </c>
      <c r="H20" s="2"/>
      <c r="I20" s="2"/>
      <c r="J20" s="2"/>
      <c r="K20" s="2"/>
      <c r="L20" s="2"/>
    </row>
    <row r="21" customFormat="false" ht="15" hidden="false" customHeight="false" outlineLevel="0" collapsed="false">
      <c r="A21" s="9" t="s">
        <v>33</v>
      </c>
      <c r="B21" s="10" t="n">
        <f aca="false">SUM('Experiment Plan'!K7:K294)</f>
        <v>1152</v>
      </c>
      <c r="C21" s="9" t="s">
        <v>34</v>
      </c>
      <c r="D21" s="2"/>
      <c r="E21" s="9" t="s">
        <v>35</v>
      </c>
      <c r="F21" s="10" t="n">
        <f aca="false">SUM('Experiment Plan'!M7:M294)</f>
        <v>0</v>
      </c>
      <c r="G21" s="9" t="s">
        <v>34</v>
      </c>
      <c r="H21" s="2"/>
      <c r="I21" s="2"/>
      <c r="J21" s="2"/>
      <c r="K21" s="2"/>
      <c r="L21" s="2"/>
    </row>
    <row r="22" customFormat="false" ht="15" hidden="false" customHeight="false" outlineLevel="0" collapsed="false">
      <c r="A22" s="9" t="s">
        <v>36</v>
      </c>
      <c r="B22" s="10" t="n">
        <f aca="false">COUNTA('Public Seams'!A7:A18)</f>
        <v>12</v>
      </c>
      <c r="C22" s="9" t="s">
        <v>37</v>
      </c>
      <c r="D22" s="2"/>
      <c r="E22" s="9" t="s">
        <v>38</v>
      </c>
      <c r="F22" s="10" t="n">
        <f aca="false">SUM('A1 Releases'!P7:P30)</f>
        <v>0</v>
      </c>
      <c r="G22" s="9" t="s">
        <v>39</v>
      </c>
      <c r="H22" s="2"/>
      <c r="I22" s="2"/>
      <c r="J22" s="2"/>
      <c r="K22" s="2"/>
      <c r="L22" s="2"/>
    </row>
    <row r="23" customFormat="false" ht="15" hidden="false" customHeight="false" outlineLevel="0" collapsed="false">
      <c r="A23" s="9" t="s">
        <v>40</v>
      </c>
      <c r="B23" s="10" t="n">
        <f aca="false">COUNTIFS('A1 Releases'!M7:M30,"&lt;&gt;UNASSIGNED")</f>
        <v>0</v>
      </c>
      <c r="C23" s="9" t="s">
        <v>41</v>
      </c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9" t="s">
        <v>42</v>
      </c>
      <c r="B24" s="10" t="n">
        <f aca="false">SUM('A1 Releases'!Q7:Q30)</f>
        <v>0</v>
      </c>
      <c r="C24" s="9" t="s">
        <v>11</v>
      </c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4" t="s">
        <v>43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</row>
    <row r="27" customFormat="false" ht="15" hidden="false" customHeight="true" outlineLevel="0" collapsed="false">
      <c r="A27" s="12" t="s">
        <v>44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</sheetData>
  <mergeCells count="2">
    <mergeCell ref="A7:L10"/>
    <mergeCell ref="A27:L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13" min="2" style="0" width="16"/>
    <col collapsed="false" customWidth="true" hidden="false" outlineLevel="0" max="15" min="14" style="0" width="13"/>
    <col collapsed="false" customWidth="true" hidden="false" outlineLevel="0" max="16" min="16" style="0" width="65"/>
  </cols>
  <sheetData>
    <row r="2" customFormat="false" ht="24" hidden="false" customHeight="true" outlineLevel="0" collapsed="false">
      <c r="A2" s="1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 t="s">
        <v>46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23.85" hidden="false" customHeight="false" outlineLevel="0" collapsed="false">
      <c r="A6" s="8" t="s">
        <v>47</v>
      </c>
      <c r="B6" s="8" t="s">
        <v>48</v>
      </c>
      <c r="C6" s="8" t="s">
        <v>49</v>
      </c>
      <c r="D6" s="8" t="s">
        <v>50</v>
      </c>
      <c r="E6" s="8" t="s">
        <v>51</v>
      </c>
      <c r="F6" s="8" t="s">
        <v>52</v>
      </c>
      <c r="G6" s="8" t="s">
        <v>53</v>
      </c>
      <c r="H6" s="8" t="s">
        <v>54</v>
      </c>
      <c r="I6" s="8" t="s">
        <v>55</v>
      </c>
      <c r="J6" s="8" t="s">
        <v>56</v>
      </c>
      <c r="K6" s="8" t="s">
        <v>57</v>
      </c>
      <c r="L6" s="8" t="s">
        <v>58</v>
      </c>
      <c r="M6" s="8" t="s">
        <v>59</v>
      </c>
      <c r="N6" s="8" t="s">
        <v>60</v>
      </c>
      <c r="O6" s="8" t="s">
        <v>61</v>
      </c>
      <c r="P6" s="8" t="s">
        <v>62</v>
      </c>
    </row>
    <row r="7" customFormat="false" ht="35.05" hidden="false" customHeight="false" outlineLevel="0" collapsed="false">
      <c r="A7" s="13" t="s">
        <v>63</v>
      </c>
      <c r="B7" s="13" t="n">
        <v>1</v>
      </c>
      <c r="C7" s="13" t="n">
        <v>1</v>
      </c>
      <c r="D7" s="13" t="n">
        <v>1</v>
      </c>
      <c r="E7" s="13" t="n">
        <v>1</v>
      </c>
      <c r="F7" s="13" t="n">
        <v>1</v>
      </c>
      <c r="G7" s="13" t="n">
        <v>1</v>
      </c>
      <c r="H7" s="13" t="n">
        <v>1</v>
      </c>
      <c r="I7" s="13" t="n">
        <v>1</v>
      </c>
      <c r="J7" s="13" t="n">
        <v>1</v>
      </c>
      <c r="K7" s="13" t="n">
        <v>1</v>
      </c>
      <c r="L7" s="13" t="n">
        <v>1</v>
      </c>
      <c r="M7" s="13" t="n">
        <v>1</v>
      </c>
      <c r="N7" s="13" t="n">
        <f aca="false">SUM(B7:M7)</f>
        <v>12</v>
      </c>
      <c r="O7" s="13" t="str">
        <f aca="false">IF(N7=12,"SELECT","REJECT")</f>
        <v>SELECT</v>
      </c>
      <c r="P7" s="13" t="s">
        <v>64</v>
      </c>
    </row>
    <row r="8" customFormat="false" ht="23.85" hidden="false" customHeight="false" outlineLevel="0" collapsed="false">
      <c r="A8" s="9" t="s">
        <v>65</v>
      </c>
      <c r="B8" s="9" t="n">
        <v>1</v>
      </c>
      <c r="C8" s="9" t="n">
        <v>1</v>
      </c>
      <c r="D8" s="9" t="n">
        <v>1</v>
      </c>
      <c r="E8" s="9" t="n">
        <v>0</v>
      </c>
      <c r="F8" s="9" t="n">
        <v>0</v>
      </c>
      <c r="G8" s="9" t="n">
        <v>1</v>
      </c>
      <c r="H8" s="9" t="n">
        <v>1</v>
      </c>
      <c r="I8" s="9" t="n">
        <v>1</v>
      </c>
      <c r="J8" s="9" t="n">
        <v>1</v>
      </c>
      <c r="K8" s="9" t="n">
        <v>0</v>
      </c>
      <c r="L8" s="9" t="n">
        <v>1</v>
      </c>
      <c r="M8" s="9" t="n">
        <v>1</v>
      </c>
      <c r="N8" s="9" t="n">
        <f aca="false">SUM(B8:M8)</f>
        <v>9</v>
      </c>
      <c r="O8" s="9" t="str">
        <f aca="false">IF(N8=12,"SELECT","REJECT")</f>
        <v>REJECT</v>
      </c>
      <c r="P8" s="9" t="s">
        <v>66</v>
      </c>
    </row>
    <row r="9" customFormat="false" ht="23.85" hidden="false" customHeight="false" outlineLevel="0" collapsed="false">
      <c r="A9" s="9" t="s">
        <v>67</v>
      </c>
      <c r="B9" s="9" t="n">
        <v>1</v>
      </c>
      <c r="C9" s="9" t="n">
        <v>1</v>
      </c>
      <c r="D9" s="9" t="n">
        <v>1</v>
      </c>
      <c r="E9" s="9" t="n">
        <v>0</v>
      </c>
      <c r="F9" s="9" t="n">
        <v>1</v>
      </c>
      <c r="G9" s="9" t="n">
        <v>0</v>
      </c>
      <c r="H9" s="9" t="n">
        <v>1</v>
      </c>
      <c r="I9" s="9" t="n">
        <v>1</v>
      </c>
      <c r="J9" s="9" t="n">
        <v>0</v>
      </c>
      <c r="K9" s="9" t="n">
        <v>0</v>
      </c>
      <c r="L9" s="9" t="n">
        <v>1</v>
      </c>
      <c r="M9" s="9" t="n">
        <v>1</v>
      </c>
      <c r="N9" s="9" t="n">
        <f aca="false">SUM(B9:M9)</f>
        <v>8</v>
      </c>
      <c r="O9" s="9" t="str">
        <f aca="false">IF(N9=12,"SELECT","REJECT")</f>
        <v>REJECT</v>
      </c>
      <c r="P9" s="9" t="s">
        <v>68</v>
      </c>
    </row>
    <row r="10" customFormat="false" ht="23.85" hidden="false" customHeight="false" outlineLevel="0" collapsed="false">
      <c r="A10" s="9" t="s">
        <v>69</v>
      </c>
      <c r="B10" s="9" t="n">
        <v>0</v>
      </c>
      <c r="C10" s="9" t="n">
        <v>1</v>
      </c>
      <c r="D10" s="9" t="n">
        <v>1</v>
      </c>
      <c r="E10" s="9" t="n">
        <v>1</v>
      </c>
      <c r="F10" s="9" t="n">
        <v>1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f aca="false">SUM(B10:M10)</f>
        <v>5</v>
      </c>
      <c r="O10" s="9" t="str">
        <f aca="false">IF(N10=12,"SELECT","REJECT")</f>
        <v>REJECT</v>
      </c>
      <c r="P10" s="9" t="s">
        <v>70</v>
      </c>
    </row>
    <row r="11" customFormat="false" ht="23.85" hidden="false" customHeight="false" outlineLevel="0" collapsed="false">
      <c r="A11" s="9" t="s">
        <v>71</v>
      </c>
      <c r="B11" s="9" t="n">
        <v>1</v>
      </c>
      <c r="C11" s="9" t="n">
        <v>1</v>
      </c>
      <c r="D11" s="9" t="n">
        <v>0</v>
      </c>
      <c r="E11" s="9" t="n">
        <v>1</v>
      </c>
      <c r="F11" s="9" t="n">
        <v>1</v>
      </c>
      <c r="G11" s="9" t="n">
        <v>1</v>
      </c>
      <c r="H11" s="9" t="n">
        <v>1</v>
      </c>
      <c r="I11" s="9" t="n">
        <v>1</v>
      </c>
      <c r="J11" s="9" t="n">
        <v>1</v>
      </c>
      <c r="K11" s="9" t="n">
        <v>1</v>
      </c>
      <c r="L11" s="9" t="n">
        <v>1</v>
      </c>
      <c r="M11" s="9" t="n">
        <v>1</v>
      </c>
      <c r="N11" s="9" t="n">
        <f aca="false">SUM(B11:M11)</f>
        <v>11</v>
      </c>
      <c r="O11" s="9" t="str">
        <f aca="false">IF(N11=12,"SELECT","REJECT")</f>
        <v>REJECT</v>
      </c>
      <c r="P11" s="9" t="s">
        <v>72</v>
      </c>
    </row>
  </sheetData>
  <conditionalFormatting sqref="O7:O11">
    <cfRule type="containsText" priority="2" operator="containsText" aboveAverage="0" equalAverage="0" bottom="0" percent="0" rank="0" text="REJECT" dxfId="0">
      <formula>NOT(ISERROR(SEARCH("REJECT",O7)))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31"/>
    <col collapsed="false" customWidth="true" hidden="false" outlineLevel="0" max="6" min="6" style="0" width="56"/>
    <col collapsed="false" customWidth="true" hidden="false" outlineLevel="0" max="7" min="7" style="0" width="16"/>
    <col collapsed="false" customWidth="true" hidden="false" outlineLevel="0" max="8" min="8" style="0" width="23"/>
    <col collapsed="false" customWidth="true" hidden="false" outlineLevel="0" max="16" min="9" style="0" width="18"/>
    <col collapsed="false" customWidth="true" hidden="false" outlineLevel="0" max="17" min="17" style="0" width="58"/>
  </cols>
  <sheetData>
    <row r="2" customFormat="false" ht="24" hidden="false" customHeight="true" outlineLevel="0" collapsed="false">
      <c r="A2" s="1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8" hidden="false" customHeight="true" outlineLevel="0" collapsed="false">
      <c r="A3" s="3" t="s">
        <v>74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23.85" hidden="false" customHeight="false" outlineLevel="0" collapsed="false">
      <c r="A6" s="8" t="s">
        <v>75</v>
      </c>
      <c r="B6" s="8" t="s">
        <v>76</v>
      </c>
      <c r="C6" s="8" t="s">
        <v>77</v>
      </c>
      <c r="D6" s="8" t="s">
        <v>78</v>
      </c>
      <c r="E6" s="8" t="s">
        <v>79</v>
      </c>
      <c r="F6" s="8" t="s">
        <v>80</v>
      </c>
      <c r="G6" s="8" t="s">
        <v>81</v>
      </c>
      <c r="H6" s="8" t="s">
        <v>6</v>
      </c>
      <c r="I6" s="8" t="s">
        <v>82</v>
      </c>
      <c r="J6" s="8" t="s">
        <v>15</v>
      </c>
      <c r="K6" s="8" t="s">
        <v>83</v>
      </c>
      <c r="L6" s="8" t="s">
        <v>84</v>
      </c>
      <c r="M6" s="8" t="s">
        <v>85</v>
      </c>
      <c r="N6" s="8" t="s">
        <v>86</v>
      </c>
      <c r="O6" s="8" t="s">
        <v>87</v>
      </c>
      <c r="P6" s="8" t="s">
        <v>88</v>
      </c>
      <c r="Q6" s="8" t="s">
        <v>89</v>
      </c>
    </row>
    <row r="7" customFormat="false" ht="23.85" hidden="false" customHeight="false" outlineLevel="0" collapsed="false">
      <c r="A7" s="9" t="s">
        <v>90</v>
      </c>
      <c r="B7" s="9" t="s">
        <v>91</v>
      </c>
      <c r="C7" s="9" t="s">
        <v>92</v>
      </c>
      <c r="D7" s="9" t="s">
        <v>93</v>
      </c>
      <c r="E7" s="9" t="s">
        <v>94</v>
      </c>
      <c r="F7" s="9" t="s">
        <v>95</v>
      </c>
      <c r="G7" s="14" t="n">
        <v>5630</v>
      </c>
      <c r="H7" s="9" t="s">
        <v>96</v>
      </c>
      <c r="I7" s="9" t="n">
        <v>8</v>
      </c>
      <c r="J7" s="9" t="n">
        <v>4</v>
      </c>
      <c r="K7" s="9" t="n">
        <v>12</v>
      </c>
      <c r="L7" s="9" t="n">
        <v>2</v>
      </c>
      <c r="M7" s="9" t="n">
        <v>192</v>
      </c>
      <c r="N7" s="9" t="s">
        <v>97</v>
      </c>
      <c r="O7" s="9" t="n">
        <v>0</v>
      </c>
      <c r="P7" s="9" t="n">
        <v>0</v>
      </c>
      <c r="Q7" s="9" t="s">
        <v>98</v>
      </c>
    </row>
    <row r="8" customFormat="false" ht="23.85" hidden="false" customHeight="false" outlineLevel="0" collapsed="false">
      <c r="A8" s="9" t="s">
        <v>99</v>
      </c>
      <c r="B8" s="9" t="s">
        <v>91</v>
      </c>
      <c r="C8" s="9" t="s">
        <v>100</v>
      </c>
      <c r="D8" s="9" t="s">
        <v>101</v>
      </c>
      <c r="E8" s="9" t="s">
        <v>102</v>
      </c>
      <c r="F8" s="9" t="s">
        <v>103</v>
      </c>
      <c r="G8" s="14" t="n">
        <v>105000</v>
      </c>
      <c r="H8" s="9" t="s">
        <v>104</v>
      </c>
      <c r="I8" s="9" t="n">
        <v>8</v>
      </c>
      <c r="J8" s="9" t="n">
        <v>4</v>
      </c>
      <c r="K8" s="9" t="n">
        <v>12</v>
      </c>
      <c r="L8" s="9" t="n">
        <v>2</v>
      </c>
      <c r="M8" s="9" t="n">
        <v>192</v>
      </c>
      <c r="N8" s="9" t="s">
        <v>97</v>
      </c>
      <c r="O8" s="9" t="n">
        <v>0</v>
      </c>
      <c r="P8" s="9" t="n">
        <v>0</v>
      </c>
      <c r="Q8" s="9" t="s">
        <v>105</v>
      </c>
    </row>
    <row r="9" customFormat="false" ht="23.85" hidden="false" customHeight="false" outlineLevel="0" collapsed="false">
      <c r="A9" s="9" t="s">
        <v>106</v>
      </c>
      <c r="B9" s="9" t="s">
        <v>91</v>
      </c>
      <c r="C9" s="9" t="s">
        <v>107</v>
      </c>
      <c r="D9" s="9" t="s">
        <v>108</v>
      </c>
      <c r="E9" s="9" t="s">
        <v>109</v>
      </c>
      <c r="F9" s="9" t="s">
        <v>110</v>
      </c>
      <c r="G9" s="14" t="n">
        <v>1</v>
      </c>
      <c r="H9" s="9" t="s">
        <v>111</v>
      </c>
      <c r="I9" s="9" t="n">
        <v>8</v>
      </c>
      <c r="J9" s="9" t="n">
        <v>4</v>
      </c>
      <c r="K9" s="9" t="n">
        <v>12</v>
      </c>
      <c r="L9" s="9" t="n">
        <v>2</v>
      </c>
      <c r="M9" s="9" t="n">
        <v>192</v>
      </c>
      <c r="N9" s="9" t="s">
        <v>97</v>
      </c>
      <c r="O9" s="9" t="n">
        <v>0</v>
      </c>
      <c r="P9" s="9" t="n">
        <v>0</v>
      </c>
      <c r="Q9" s="9" t="s">
        <v>112</v>
      </c>
    </row>
    <row r="10" customFormat="false" ht="23.85" hidden="false" customHeight="false" outlineLevel="0" collapsed="false">
      <c r="A10" s="9" t="s">
        <v>113</v>
      </c>
      <c r="B10" s="9" t="s">
        <v>91</v>
      </c>
      <c r="C10" s="9" t="s">
        <v>114</v>
      </c>
      <c r="D10" s="9" t="s">
        <v>115</v>
      </c>
      <c r="E10" s="9" t="s">
        <v>116</v>
      </c>
      <c r="F10" s="9" t="s">
        <v>117</v>
      </c>
      <c r="G10" s="14" t="n">
        <v>2000000</v>
      </c>
      <c r="H10" s="9" t="s">
        <v>118</v>
      </c>
      <c r="I10" s="9" t="n">
        <v>8</v>
      </c>
      <c r="J10" s="9" t="n">
        <v>4</v>
      </c>
      <c r="K10" s="9" t="n">
        <v>12</v>
      </c>
      <c r="L10" s="9" t="n">
        <v>2</v>
      </c>
      <c r="M10" s="9" t="n">
        <v>192</v>
      </c>
      <c r="N10" s="9" t="s">
        <v>97</v>
      </c>
      <c r="O10" s="9" t="n">
        <v>0</v>
      </c>
      <c r="P10" s="9" t="n">
        <v>0</v>
      </c>
      <c r="Q10" s="9" t="s">
        <v>119</v>
      </c>
    </row>
    <row r="11" customFormat="false" ht="23.85" hidden="false" customHeight="false" outlineLevel="0" collapsed="false">
      <c r="A11" s="9" t="s">
        <v>120</v>
      </c>
      <c r="B11" s="9" t="s">
        <v>91</v>
      </c>
      <c r="C11" s="9" t="s">
        <v>121</v>
      </c>
      <c r="D11" s="9" t="s">
        <v>122</v>
      </c>
      <c r="E11" s="9" t="s">
        <v>123</v>
      </c>
      <c r="F11" s="9" t="s">
        <v>124</v>
      </c>
      <c r="G11" s="14" t="n">
        <v>100000</v>
      </c>
      <c r="H11" s="9" t="s">
        <v>125</v>
      </c>
      <c r="I11" s="9" t="n">
        <v>8</v>
      </c>
      <c r="J11" s="9" t="n">
        <v>4</v>
      </c>
      <c r="K11" s="9" t="n">
        <v>12</v>
      </c>
      <c r="L11" s="9" t="n">
        <v>2</v>
      </c>
      <c r="M11" s="9" t="n">
        <v>192</v>
      </c>
      <c r="N11" s="9" t="s">
        <v>97</v>
      </c>
      <c r="O11" s="9" t="n">
        <v>0</v>
      </c>
      <c r="P11" s="9" t="n">
        <v>0</v>
      </c>
      <c r="Q11" s="9" t="s">
        <v>126</v>
      </c>
    </row>
    <row r="12" customFormat="false" ht="23.85" hidden="false" customHeight="false" outlineLevel="0" collapsed="false">
      <c r="A12" s="9" t="s">
        <v>127</v>
      </c>
      <c r="B12" s="9" t="s">
        <v>91</v>
      </c>
      <c r="C12" s="9" t="s">
        <v>128</v>
      </c>
      <c r="D12" s="9" t="s">
        <v>129</v>
      </c>
      <c r="E12" s="9" t="s">
        <v>130</v>
      </c>
      <c r="F12" s="9" t="s">
        <v>131</v>
      </c>
      <c r="G12" s="14" t="n">
        <v>99</v>
      </c>
      <c r="H12" s="9" t="s">
        <v>132</v>
      </c>
      <c r="I12" s="9" t="n">
        <v>8</v>
      </c>
      <c r="J12" s="9" t="n">
        <v>4</v>
      </c>
      <c r="K12" s="9" t="n">
        <v>12</v>
      </c>
      <c r="L12" s="9" t="n">
        <v>2</v>
      </c>
      <c r="M12" s="9" t="n">
        <v>192</v>
      </c>
      <c r="N12" s="9" t="s">
        <v>97</v>
      </c>
      <c r="O12" s="9" t="n">
        <v>0</v>
      </c>
      <c r="P12" s="9" t="n">
        <v>0</v>
      </c>
      <c r="Q12" s="9" t="s">
        <v>133</v>
      </c>
    </row>
  </sheetData>
  <conditionalFormatting sqref="N7:N12">
    <cfRule type="containsText" priority="2" operator="containsText" aboveAverage="0" equalAverage="0" bottom="0" percent="0" rank="0" text="FROZEN" dxfId="1">
      <formula>NOT(ISERROR(SEARCH("FROZEN",N7)))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7" min="4" style="0" width="54"/>
    <col collapsed="false" customWidth="true" hidden="false" outlineLevel="0" max="9" min="8" style="0" width="20"/>
  </cols>
  <sheetData>
    <row r="2" customFormat="false" ht="24" hidden="false" customHeight="true" outlineLevel="0" collapsed="false">
      <c r="A2" s="1" t="s">
        <v>134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3" t="s">
        <v>135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23.85" hidden="false" customHeight="false" outlineLevel="0" collapsed="false">
      <c r="A6" s="8" t="s">
        <v>77</v>
      </c>
      <c r="B6" s="8" t="s">
        <v>136</v>
      </c>
      <c r="C6" s="8" t="s">
        <v>137</v>
      </c>
      <c r="D6" s="8" t="s">
        <v>138</v>
      </c>
      <c r="E6" s="8" t="s">
        <v>139</v>
      </c>
      <c r="F6" s="8" t="s">
        <v>140</v>
      </c>
      <c r="G6" s="8" t="s">
        <v>141</v>
      </c>
      <c r="H6" s="8" t="s">
        <v>142</v>
      </c>
      <c r="I6" s="8" t="s">
        <v>143</v>
      </c>
    </row>
    <row r="7" customFormat="false" ht="15" hidden="false" customHeight="false" outlineLevel="0" collapsed="false">
      <c r="A7" s="9" t="s">
        <v>92</v>
      </c>
      <c r="B7" s="9" t="s">
        <v>144</v>
      </c>
      <c r="C7" s="9" t="s">
        <v>145</v>
      </c>
      <c r="D7" s="9" t="s">
        <v>146</v>
      </c>
      <c r="E7" s="9" t="s">
        <v>147</v>
      </c>
      <c r="F7" s="9" t="s">
        <v>148</v>
      </c>
      <c r="G7" s="9" t="s">
        <v>149</v>
      </c>
      <c r="H7" s="9" t="s">
        <v>150</v>
      </c>
      <c r="I7" s="9" t="n">
        <v>0</v>
      </c>
    </row>
    <row r="8" customFormat="false" ht="15" hidden="false" customHeight="false" outlineLevel="0" collapsed="false">
      <c r="A8" s="9" t="s">
        <v>92</v>
      </c>
      <c r="B8" s="9" t="s">
        <v>151</v>
      </c>
      <c r="C8" s="9" t="s">
        <v>152</v>
      </c>
      <c r="D8" s="9" t="s">
        <v>153</v>
      </c>
      <c r="E8" s="9" t="s">
        <v>154</v>
      </c>
      <c r="F8" s="9" t="s">
        <v>155</v>
      </c>
      <c r="G8" s="9" t="s">
        <v>156</v>
      </c>
      <c r="H8" s="9" t="s">
        <v>150</v>
      </c>
      <c r="I8" s="9" t="n">
        <v>0</v>
      </c>
    </row>
    <row r="9" customFormat="false" ht="15" hidden="false" customHeight="false" outlineLevel="0" collapsed="false">
      <c r="A9" s="9" t="s">
        <v>92</v>
      </c>
      <c r="B9" s="9" t="s">
        <v>157</v>
      </c>
      <c r="C9" s="9" t="s">
        <v>158</v>
      </c>
      <c r="D9" s="9" t="s">
        <v>159</v>
      </c>
      <c r="E9" s="9" t="s">
        <v>160</v>
      </c>
      <c r="F9" s="9" t="s">
        <v>161</v>
      </c>
      <c r="G9" s="9" t="s">
        <v>162</v>
      </c>
      <c r="H9" s="9" t="s">
        <v>150</v>
      </c>
      <c r="I9" s="9" t="n">
        <v>0</v>
      </c>
    </row>
    <row r="10" customFormat="false" ht="15" hidden="false" customHeight="false" outlineLevel="0" collapsed="false">
      <c r="A10" s="9" t="s">
        <v>92</v>
      </c>
      <c r="B10" s="9" t="s">
        <v>163</v>
      </c>
      <c r="C10" s="9" t="s">
        <v>164</v>
      </c>
      <c r="D10" s="9" t="s">
        <v>165</v>
      </c>
      <c r="E10" s="9" t="s">
        <v>166</v>
      </c>
      <c r="F10" s="9" t="s">
        <v>167</v>
      </c>
      <c r="G10" s="9" t="s">
        <v>168</v>
      </c>
      <c r="H10" s="9" t="s">
        <v>150</v>
      </c>
      <c r="I10" s="9" t="n">
        <v>0</v>
      </c>
    </row>
    <row r="11" customFormat="false" ht="15" hidden="false" customHeight="false" outlineLevel="0" collapsed="false">
      <c r="A11" s="9" t="s">
        <v>100</v>
      </c>
      <c r="B11" s="9" t="s">
        <v>169</v>
      </c>
      <c r="C11" s="9" t="s">
        <v>170</v>
      </c>
      <c r="D11" s="9" t="s">
        <v>171</v>
      </c>
      <c r="E11" s="9" t="s">
        <v>172</v>
      </c>
      <c r="F11" s="9" t="s">
        <v>173</v>
      </c>
      <c r="G11" s="9" t="s">
        <v>174</v>
      </c>
      <c r="H11" s="9" t="s">
        <v>150</v>
      </c>
      <c r="I11" s="9" t="n">
        <v>0</v>
      </c>
    </row>
    <row r="12" customFormat="false" ht="15" hidden="false" customHeight="false" outlineLevel="0" collapsed="false">
      <c r="A12" s="9" t="s">
        <v>100</v>
      </c>
      <c r="B12" s="9" t="s">
        <v>175</v>
      </c>
      <c r="C12" s="9" t="s">
        <v>176</v>
      </c>
      <c r="D12" s="9" t="s">
        <v>177</v>
      </c>
      <c r="E12" s="9" t="s">
        <v>178</v>
      </c>
      <c r="F12" s="9" t="s">
        <v>179</v>
      </c>
      <c r="G12" s="9" t="s">
        <v>180</v>
      </c>
      <c r="H12" s="9" t="s">
        <v>150</v>
      </c>
      <c r="I12" s="9" t="n">
        <v>0</v>
      </c>
    </row>
    <row r="13" customFormat="false" ht="15" hidden="false" customHeight="false" outlineLevel="0" collapsed="false">
      <c r="A13" s="9" t="s">
        <v>100</v>
      </c>
      <c r="B13" s="9" t="s">
        <v>181</v>
      </c>
      <c r="C13" s="9" t="s">
        <v>182</v>
      </c>
      <c r="D13" s="9" t="s">
        <v>183</v>
      </c>
      <c r="E13" s="9" t="s">
        <v>184</v>
      </c>
      <c r="F13" s="9" t="s">
        <v>185</v>
      </c>
      <c r="G13" s="9" t="s">
        <v>186</v>
      </c>
      <c r="H13" s="9" t="s">
        <v>150</v>
      </c>
      <c r="I13" s="9" t="n">
        <v>0</v>
      </c>
    </row>
    <row r="14" customFormat="false" ht="23.85" hidden="false" customHeight="false" outlineLevel="0" collapsed="false">
      <c r="A14" s="9" t="s">
        <v>100</v>
      </c>
      <c r="B14" s="9" t="s">
        <v>187</v>
      </c>
      <c r="C14" s="9" t="s">
        <v>188</v>
      </c>
      <c r="D14" s="9" t="s">
        <v>189</v>
      </c>
      <c r="E14" s="9" t="s">
        <v>190</v>
      </c>
      <c r="F14" s="9" t="s">
        <v>191</v>
      </c>
      <c r="G14" s="9" t="s">
        <v>192</v>
      </c>
      <c r="H14" s="9" t="s">
        <v>150</v>
      </c>
      <c r="I14" s="9" t="n">
        <v>0</v>
      </c>
    </row>
    <row r="15" customFormat="false" ht="15" hidden="false" customHeight="false" outlineLevel="0" collapsed="false">
      <c r="A15" s="9" t="s">
        <v>107</v>
      </c>
      <c r="B15" s="9" t="s">
        <v>193</v>
      </c>
      <c r="C15" s="9" t="s">
        <v>194</v>
      </c>
      <c r="D15" s="9" t="s">
        <v>195</v>
      </c>
      <c r="E15" s="9" t="s">
        <v>196</v>
      </c>
      <c r="F15" s="9" t="s">
        <v>197</v>
      </c>
      <c r="G15" s="9" t="s">
        <v>198</v>
      </c>
      <c r="H15" s="9" t="s">
        <v>150</v>
      </c>
      <c r="I15" s="9" t="n">
        <v>0</v>
      </c>
    </row>
    <row r="16" customFormat="false" ht="15" hidden="false" customHeight="false" outlineLevel="0" collapsed="false">
      <c r="A16" s="9" t="s">
        <v>107</v>
      </c>
      <c r="B16" s="9" t="s">
        <v>199</v>
      </c>
      <c r="C16" s="9" t="s">
        <v>200</v>
      </c>
      <c r="D16" s="9" t="s">
        <v>201</v>
      </c>
      <c r="E16" s="9" t="s">
        <v>202</v>
      </c>
      <c r="F16" s="9" t="s">
        <v>203</v>
      </c>
      <c r="G16" s="9" t="s">
        <v>204</v>
      </c>
      <c r="H16" s="9" t="s">
        <v>150</v>
      </c>
      <c r="I16" s="9" t="n">
        <v>0</v>
      </c>
    </row>
    <row r="17" customFormat="false" ht="15" hidden="false" customHeight="false" outlineLevel="0" collapsed="false">
      <c r="A17" s="9" t="s">
        <v>107</v>
      </c>
      <c r="B17" s="9" t="s">
        <v>205</v>
      </c>
      <c r="C17" s="9" t="s">
        <v>206</v>
      </c>
      <c r="D17" s="9" t="s">
        <v>207</v>
      </c>
      <c r="E17" s="9" t="s">
        <v>208</v>
      </c>
      <c r="F17" s="9" t="s">
        <v>209</v>
      </c>
      <c r="G17" s="9" t="s">
        <v>210</v>
      </c>
      <c r="H17" s="9" t="s">
        <v>150</v>
      </c>
      <c r="I17" s="9" t="n">
        <v>0</v>
      </c>
    </row>
    <row r="18" customFormat="false" ht="15" hidden="false" customHeight="false" outlineLevel="0" collapsed="false">
      <c r="A18" s="9" t="s">
        <v>107</v>
      </c>
      <c r="B18" s="9" t="s">
        <v>211</v>
      </c>
      <c r="C18" s="9" t="s">
        <v>212</v>
      </c>
      <c r="D18" s="9" t="s">
        <v>213</v>
      </c>
      <c r="E18" s="9" t="s">
        <v>214</v>
      </c>
      <c r="F18" s="9" t="s">
        <v>215</v>
      </c>
      <c r="G18" s="9" t="s">
        <v>216</v>
      </c>
      <c r="H18" s="9" t="s">
        <v>150</v>
      </c>
      <c r="I18" s="9" t="n">
        <v>0</v>
      </c>
    </row>
    <row r="19" customFormat="false" ht="23.85" hidden="false" customHeight="false" outlineLevel="0" collapsed="false">
      <c r="A19" s="9" t="s">
        <v>114</v>
      </c>
      <c r="B19" s="9" t="s">
        <v>217</v>
      </c>
      <c r="C19" s="9" t="s">
        <v>218</v>
      </c>
      <c r="D19" s="9" t="s">
        <v>219</v>
      </c>
      <c r="E19" s="9" t="s">
        <v>220</v>
      </c>
      <c r="F19" s="9" t="s">
        <v>221</v>
      </c>
      <c r="G19" s="9" t="s">
        <v>222</v>
      </c>
      <c r="H19" s="9" t="s">
        <v>150</v>
      </c>
      <c r="I19" s="9" t="n">
        <v>0</v>
      </c>
    </row>
    <row r="20" customFormat="false" ht="15" hidden="false" customHeight="false" outlineLevel="0" collapsed="false">
      <c r="A20" s="9" t="s">
        <v>114</v>
      </c>
      <c r="B20" s="9" t="s">
        <v>223</v>
      </c>
      <c r="C20" s="9" t="s">
        <v>224</v>
      </c>
      <c r="D20" s="9" t="s">
        <v>225</v>
      </c>
      <c r="E20" s="9" t="s">
        <v>226</v>
      </c>
      <c r="F20" s="9" t="s">
        <v>227</v>
      </c>
      <c r="G20" s="9" t="s">
        <v>228</v>
      </c>
      <c r="H20" s="9" t="s">
        <v>150</v>
      </c>
      <c r="I20" s="9" t="n">
        <v>0</v>
      </c>
    </row>
    <row r="21" customFormat="false" ht="15" hidden="false" customHeight="false" outlineLevel="0" collapsed="false">
      <c r="A21" s="9" t="s">
        <v>114</v>
      </c>
      <c r="B21" s="9" t="s">
        <v>229</v>
      </c>
      <c r="C21" s="9" t="s">
        <v>230</v>
      </c>
      <c r="D21" s="9" t="s">
        <v>231</v>
      </c>
      <c r="E21" s="9" t="s">
        <v>232</v>
      </c>
      <c r="F21" s="9" t="s">
        <v>233</v>
      </c>
      <c r="G21" s="9" t="s">
        <v>234</v>
      </c>
      <c r="H21" s="9" t="s">
        <v>150</v>
      </c>
      <c r="I21" s="9" t="n">
        <v>0</v>
      </c>
    </row>
    <row r="22" customFormat="false" ht="23.85" hidden="false" customHeight="false" outlineLevel="0" collapsed="false">
      <c r="A22" s="9" t="s">
        <v>114</v>
      </c>
      <c r="B22" s="9" t="s">
        <v>235</v>
      </c>
      <c r="C22" s="9" t="s">
        <v>236</v>
      </c>
      <c r="D22" s="9" t="s">
        <v>237</v>
      </c>
      <c r="E22" s="9" t="s">
        <v>238</v>
      </c>
      <c r="F22" s="9" t="s">
        <v>239</v>
      </c>
      <c r="G22" s="9" t="s">
        <v>240</v>
      </c>
      <c r="H22" s="9" t="s">
        <v>150</v>
      </c>
      <c r="I22" s="9" t="n">
        <v>0</v>
      </c>
    </row>
    <row r="23" customFormat="false" ht="23.85" hidden="false" customHeight="false" outlineLevel="0" collapsed="false">
      <c r="A23" s="9" t="s">
        <v>121</v>
      </c>
      <c r="B23" s="9" t="s">
        <v>241</v>
      </c>
      <c r="C23" s="9" t="s">
        <v>242</v>
      </c>
      <c r="D23" s="9" t="s">
        <v>243</v>
      </c>
      <c r="E23" s="9" t="s">
        <v>244</v>
      </c>
      <c r="F23" s="9" t="s">
        <v>245</v>
      </c>
      <c r="G23" s="9" t="s">
        <v>246</v>
      </c>
      <c r="H23" s="9" t="s">
        <v>150</v>
      </c>
      <c r="I23" s="9" t="n">
        <v>0</v>
      </c>
    </row>
    <row r="24" customFormat="false" ht="23.85" hidden="false" customHeight="false" outlineLevel="0" collapsed="false">
      <c r="A24" s="9" t="s">
        <v>121</v>
      </c>
      <c r="B24" s="9" t="s">
        <v>247</v>
      </c>
      <c r="C24" s="9" t="s">
        <v>248</v>
      </c>
      <c r="D24" s="9" t="s">
        <v>249</v>
      </c>
      <c r="E24" s="9" t="s">
        <v>250</v>
      </c>
      <c r="F24" s="9" t="s">
        <v>251</v>
      </c>
      <c r="G24" s="9" t="s">
        <v>252</v>
      </c>
      <c r="H24" s="9" t="s">
        <v>150</v>
      </c>
      <c r="I24" s="9" t="n">
        <v>0</v>
      </c>
    </row>
    <row r="25" customFormat="false" ht="23.85" hidden="false" customHeight="false" outlineLevel="0" collapsed="false">
      <c r="A25" s="9" t="s">
        <v>121</v>
      </c>
      <c r="B25" s="9" t="s">
        <v>253</v>
      </c>
      <c r="C25" s="9" t="s">
        <v>254</v>
      </c>
      <c r="D25" s="9" t="s">
        <v>255</v>
      </c>
      <c r="E25" s="9" t="s">
        <v>256</v>
      </c>
      <c r="F25" s="9" t="s">
        <v>257</v>
      </c>
      <c r="G25" s="9" t="s">
        <v>258</v>
      </c>
      <c r="H25" s="9" t="s">
        <v>150</v>
      </c>
      <c r="I25" s="9" t="n">
        <v>0</v>
      </c>
    </row>
    <row r="26" customFormat="false" ht="23.85" hidden="false" customHeight="false" outlineLevel="0" collapsed="false">
      <c r="A26" s="9" t="s">
        <v>121</v>
      </c>
      <c r="B26" s="9" t="s">
        <v>259</v>
      </c>
      <c r="C26" s="9" t="s">
        <v>260</v>
      </c>
      <c r="D26" s="9" t="s">
        <v>261</v>
      </c>
      <c r="E26" s="9" t="s">
        <v>262</v>
      </c>
      <c r="F26" s="9" t="s">
        <v>263</v>
      </c>
      <c r="G26" s="9" t="s">
        <v>264</v>
      </c>
      <c r="H26" s="9" t="s">
        <v>150</v>
      </c>
      <c r="I26" s="9" t="n">
        <v>0</v>
      </c>
    </row>
    <row r="27" customFormat="false" ht="15" hidden="false" customHeight="false" outlineLevel="0" collapsed="false">
      <c r="A27" s="9" t="s">
        <v>128</v>
      </c>
      <c r="B27" s="9" t="s">
        <v>265</v>
      </c>
      <c r="C27" s="9" t="s">
        <v>266</v>
      </c>
      <c r="D27" s="9" t="s">
        <v>267</v>
      </c>
      <c r="E27" s="9" t="s">
        <v>268</v>
      </c>
      <c r="F27" s="9" t="s">
        <v>269</v>
      </c>
      <c r="G27" s="9" t="s">
        <v>270</v>
      </c>
      <c r="H27" s="9" t="s">
        <v>150</v>
      </c>
      <c r="I27" s="9" t="n">
        <v>0</v>
      </c>
    </row>
    <row r="28" customFormat="false" ht="23.85" hidden="false" customHeight="false" outlineLevel="0" collapsed="false">
      <c r="A28" s="9" t="s">
        <v>128</v>
      </c>
      <c r="B28" s="9" t="s">
        <v>271</v>
      </c>
      <c r="C28" s="9" t="s">
        <v>272</v>
      </c>
      <c r="D28" s="9" t="s">
        <v>273</v>
      </c>
      <c r="E28" s="9" t="s">
        <v>274</v>
      </c>
      <c r="F28" s="9" t="s">
        <v>275</v>
      </c>
      <c r="G28" s="9" t="s">
        <v>276</v>
      </c>
      <c r="H28" s="9" t="s">
        <v>150</v>
      </c>
      <c r="I28" s="9" t="n">
        <v>0</v>
      </c>
    </row>
    <row r="29" customFormat="false" ht="23.85" hidden="false" customHeight="false" outlineLevel="0" collapsed="false">
      <c r="A29" s="9" t="s">
        <v>128</v>
      </c>
      <c r="B29" s="9" t="s">
        <v>277</v>
      </c>
      <c r="C29" s="9" t="s">
        <v>278</v>
      </c>
      <c r="D29" s="9" t="s">
        <v>279</v>
      </c>
      <c r="E29" s="9" t="s">
        <v>280</v>
      </c>
      <c r="F29" s="9" t="s">
        <v>281</v>
      </c>
      <c r="G29" s="9" t="s">
        <v>282</v>
      </c>
      <c r="H29" s="9" t="s">
        <v>150</v>
      </c>
      <c r="I29" s="9" t="n">
        <v>0</v>
      </c>
    </row>
    <row r="30" customFormat="false" ht="23.85" hidden="false" customHeight="false" outlineLevel="0" collapsed="false">
      <c r="A30" s="9" t="s">
        <v>128</v>
      </c>
      <c r="B30" s="9" t="s">
        <v>283</v>
      </c>
      <c r="C30" s="9" t="s">
        <v>284</v>
      </c>
      <c r="D30" s="9" t="s">
        <v>285</v>
      </c>
      <c r="E30" s="9" t="s">
        <v>286</v>
      </c>
      <c r="F30" s="9" t="s">
        <v>287</v>
      </c>
      <c r="G30" s="9" t="s">
        <v>288</v>
      </c>
      <c r="H30" s="9" t="s">
        <v>150</v>
      </c>
      <c r="I30" s="9" t="n">
        <v>0</v>
      </c>
    </row>
  </sheetData>
  <conditionalFormatting sqref="H7:H30">
    <cfRule type="containsText" priority="2" operator="containsText" aboveAverage="0" equalAverage="0" bottom="0" percent="0" rank="0" text="SOURCE EMPTY" dxfId="2">
      <formula>NOT(ISERROR(SEARCH("SOURCE EMPTY",H7)))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5" min="5" style="0" width="25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12" min="8" style="0" width="53"/>
    <col collapsed="false" customWidth="true" hidden="false" outlineLevel="0" max="15" min="13" style="0" width="18"/>
  </cols>
  <sheetData>
    <row r="2" customFormat="false" ht="24" hidden="false" customHeight="true" outlineLevel="0" collapsed="false">
      <c r="A2" s="1" t="s">
        <v>289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8" hidden="false" customHeight="true" outlineLevel="0" collapsed="false">
      <c r="A3" s="3" t="s">
        <v>290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8" t="s">
        <v>291</v>
      </c>
      <c r="B6" s="8" t="s">
        <v>76</v>
      </c>
      <c r="C6" s="8" t="s">
        <v>77</v>
      </c>
      <c r="D6" s="8" t="s">
        <v>137</v>
      </c>
      <c r="E6" s="8" t="s">
        <v>292</v>
      </c>
      <c r="F6" s="8" t="s">
        <v>293</v>
      </c>
      <c r="G6" s="8" t="s">
        <v>294</v>
      </c>
      <c r="H6" s="8" t="s">
        <v>295</v>
      </c>
      <c r="I6" s="8" t="s">
        <v>138</v>
      </c>
      <c r="J6" s="8" t="s">
        <v>296</v>
      </c>
      <c r="K6" s="8" t="s">
        <v>297</v>
      </c>
      <c r="L6" s="8" t="s">
        <v>141</v>
      </c>
      <c r="M6" s="8" t="s">
        <v>298</v>
      </c>
      <c r="N6" s="8" t="s">
        <v>299</v>
      </c>
      <c r="O6" s="8" t="s">
        <v>86</v>
      </c>
    </row>
    <row r="7" customFormat="false" ht="23.85" hidden="false" customHeight="false" outlineLevel="0" collapsed="false">
      <c r="A7" s="9" t="s">
        <v>300</v>
      </c>
      <c r="B7" s="9" t="s">
        <v>91</v>
      </c>
      <c r="C7" s="9" t="s">
        <v>92</v>
      </c>
      <c r="D7" s="9" t="s">
        <v>144</v>
      </c>
      <c r="E7" s="9" t="s">
        <v>145</v>
      </c>
      <c r="F7" s="9" t="s">
        <v>301</v>
      </c>
      <c r="G7" s="9" t="s">
        <v>302</v>
      </c>
      <c r="H7" s="9" t="s">
        <v>303</v>
      </c>
      <c r="I7" s="9" t="s">
        <v>146</v>
      </c>
      <c r="J7" s="9" t="s">
        <v>147</v>
      </c>
      <c r="K7" s="9" t="s">
        <v>148</v>
      </c>
      <c r="L7" s="9" t="s">
        <v>149</v>
      </c>
      <c r="M7" s="10" t="n">
        <v>2</v>
      </c>
      <c r="N7" s="10" t="n">
        <v>0</v>
      </c>
      <c r="O7" s="9" t="s">
        <v>97</v>
      </c>
    </row>
    <row r="8" customFormat="false" ht="23.85" hidden="false" customHeight="false" outlineLevel="0" collapsed="false">
      <c r="A8" s="9" t="s">
        <v>304</v>
      </c>
      <c r="B8" s="9" t="s">
        <v>91</v>
      </c>
      <c r="C8" s="9" t="s">
        <v>92</v>
      </c>
      <c r="D8" s="9" t="s">
        <v>144</v>
      </c>
      <c r="E8" s="9" t="s">
        <v>145</v>
      </c>
      <c r="F8" s="9" t="s">
        <v>305</v>
      </c>
      <c r="G8" s="9" t="s">
        <v>306</v>
      </c>
      <c r="H8" s="9" t="s">
        <v>307</v>
      </c>
      <c r="I8" s="9" t="s">
        <v>146</v>
      </c>
      <c r="J8" s="9" t="s">
        <v>147</v>
      </c>
      <c r="K8" s="9" t="s">
        <v>148</v>
      </c>
      <c r="L8" s="9" t="s">
        <v>149</v>
      </c>
      <c r="M8" s="10" t="n">
        <v>2</v>
      </c>
      <c r="N8" s="10" t="n">
        <v>0</v>
      </c>
      <c r="O8" s="9" t="s">
        <v>97</v>
      </c>
    </row>
    <row r="9" customFormat="false" ht="23.85" hidden="false" customHeight="false" outlineLevel="0" collapsed="false">
      <c r="A9" s="9" t="s">
        <v>308</v>
      </c>
      <c r="B9" s="9" t="s">
        <v>91</v>
      </c>
      <c r="C9" s="9" t="s">
        <v>92</v>
      </c>
      <c r="D9" s="9" t="s">
        <v>144</v>
      </c>
      <c r="E9" s="9" t="s">
        <v>145</v>
      </c>
      <c r="F9" s="9" t="s">
        <v>309</v>
      </c>
      <c r="G9" s="9" t="s">
        <v>310</v>
      </c>
      <c r="H9" s="9" t="s">
        <v>311</v>
      </c>
      <c r="I9" s="9" t="s">
        <v>146</v>
      </c>
      <c r="J9" s="9" t="s">
        <v>147</v>
      </c>
      <c r="K9" s="9" t="s">
        <v>148</v>
      </c>
      <c r="L9" s="9" t="s">
        <v>149</v>
      </c>
      <c r="M9" s="10" t="n">
        <v>2</v>
      </c>
      <c r="N9" s="10" t="n">
        <v>0</v>
      </c>
      <c r="O9" s="9" t="s">
        <v>97</v>
      </c>
    </row>
    <row r="10" customFormat="false" ht="23.85" hidden="false" customHeight="false" outlineLevel="0" collapsed="false">
      <c r="A10" s="9" t="s">
        <v>312</v>
      </c>
      <c r="B10" s="9" t="s">
        <v>91</v>
      </c>
      <c r="C10" s="9" t="s">
        <v>92</v>
      </c>
      <c r="D10" s="9" t="s">
        <v>151</v>
      </c>
      <c r="E10" s="9" t="s">
        <v>152</v>
      </c>
      <c r="F10" s="9" t="s">
        <v>301</v>
      </c>
      <c r="G10" s="9" t="s">
        <v>302</v>
      </c>
      <c r="H10" s="9" t="s">
        <v>303</v>
      </c>
      <c r="I10" s="9" t="s">
        <v>153</v>
      </c>
      <c r="J10" s="9" t="s">
        <v>154</v>
      </c>
      <c r="K10" s="9" t="s">
        <v>155</v>
      </c>
      <c r="L10" s="9" t="s">
        <v>156</v>
      </c>
      <c r="M10" s="10" t="n">
        <v>2</v>
      </c>
      <c r="N10" s="10" t="n">
        <v>0</v>
      </c>
      <c r="O10" s="9" t="s">
        <v>97</v>
      </c>
    </row>
    <row r="11" customFormat="false" ht="23.85" hidden="false" customHeight="false" outlineLevel="0" collapsed="false">
      <c r="A11" s="9" t="s">
        <v>313</v>
      </c>
      <c r="B11" s="9" t="s">
        <v>91</v>
      </c>
      <c r="C11" s="9" t="s">
        <v>92</v>
      </c>
      <c r="D11" s="9" t="s">
        <v>151</v>
      </c>
      <c r="E11" s="9" t="s">
        <v>152</v>
      </c>
      <c r="F11" s="9" t="s">
        <v>305</v>
      </c>
      <c r="G11" s="9" t="s">
        <v>306</v>
      </c>
      <c r="H11" s="9" t="s">
        <v>307</v>
      </c>
      <c r="I11" s="9" t="s">
        <v>153</v>
      </c>
      <c r="J11" s="9" t="s">
        <v>154</v>
      </c>
      <c r="K11" s="9" t="s">
        <v>155</v>
      </c>
      <c r="L11" s="9" t="s">
        <v>156</v>
      </c>
      <c r="M11" s="10" t="n">
        <v>2</v>
      </c>
      <c r="N11" s="10" t="n">
        <v>0</v>
      </c>
      <c r="O11" s="9" t="s">
        <v>97</v>
      </c>
    </row>
    <row r="12" customFormat="false" ht="23.85" hidden="false" customHeight="false" outlineLevel="0" collapsed="false">
      <c r="A12" s="9" t="s">
        <v>314</v>
      </c>
      <c r="B12" s="9" t="s">
        <v>91</v>
      </c>
      <c r="C12" s="9" t="s">
        <v>92</v>
      </c>
      <c r="D12" s="9" t="s">
        <v>151</v>
      </c>
      <c r="E12" s="9" t="s">
        <v>152</v>
      </c>
      <c r="F12" s="9" t="s">
        <v>309</v>
      </c>
      <c r="G12" s="9" t="s">
        <v>310</v>
      </c>
      <c r="H12" s="9" t="s">
        <v>311</v>
      </c>
      <c r="I12" s="9" t="s">
        <v>153</v>
      </c>
      <c r="J12" s="9" t="s">
        <v>154</v>
      </c>
      <c r="K12" s="9" t="s">
        <v>155</v>
      </c>
      <c r="L12" s="9" t="s">
        <v>156</v>
      </c>
      <c r="M12" s="10" t="n">
        <v>2</v>
      </c>
      <c r="N12" s="10" t="n">
        <v>0</v>
      </c>
      <c r="O12" s="9" t="s">
        <v>97</v>
      </c>
    </row>
    <row r="13" customFormat="false" ht="23.85" hidden="false" customHeight="false" outlineLevel="0" collapsed="false">
      <c r="A13" s="9" t="s">
        <v>315</v>
      </c>
      <c r="B13" s="9" t="s">
        <v>91</v>
      </c>
      <c r="C13" s="9" t="s">
        <v>92</v>
      </c>
      <c r="D13" s="9" t="s">
        <v>157</v>
      </c>
      <c r="E13" s="9" t="s">
        <v>158</v>
      </c>
      <c r="F13" s="9" t="s">
        <v>301</v>
      </c>
      <c r="G13" s="9" t="s">
        <v>302</v>
      </c>
      <c r="H13" s="9" t="s">
        <v>303</v>
      </c>
      <c r="I13" s="9" t="s">
        <v>159</v>
      </c>
      <c r="J13" s="9" t="s">
        <v>160</v>
      </c>
      <c r="K13" s="9" t="s">
        <v>161</v>
      </c>
      <c r="L13" s="9" t="s">
        <v>162</v>
      </c>
      <c r="M13" s="10" t="n">
        <v>2</v>
      </c>
      <c r="N13" s="10" t="n">
        <v>0</v>
      </c>
      <c r="O13" s="9" t="s">
        <v>97</v>
      </c>
    </row>
    <row r="14" customFormat="false" ht="23.85" hidden="false" customHeight="false" outlineLevel="0" collapsed="false">
      <c r="A14" s="9" t="s">
        <v>316</v>
      </c>
      <c r="B14" s="9" t="s">
        <v>91</v>
      </c>
      <c r="C14" s="9" t="s">
        <v>92</v>
      </c>
      <c r="D14" s="9" t="s">
        <v>157</v>
      </c>
      <c r="E14" s="9" t="s">
        <v>158</v>
      </c>
      <c r="F14" s="9" t="s">
        <v>305</v>
      </c>
      <c r="G14" s="9" t="s">
        <v>306</v>
      </c>
      <c r="H14" s="9" t="s">
        <v>307</v>
      </c>
      <c r="I14" s="9" t="s">
        <v>159</v>
      </c>
      <c r="J14" s="9" t="s">
        <v>160</v>
      </c>
      <c r="K14" s="9" t="s">
        <v>161</v>
      </c>
      <c r="L14" s="9" t="s">
        <v>162</v>
      </c>
      <c r="M14" s="10" t="n">
        <v>2</v>
      </c>
      <c r="N14" s="10" t="n">
        <v>0</v>
      </c>
      <c r="O14" s="9" t="s">
        <v>97</v>
      </c>
    </row>
    <row r="15" customFormat="false" ht="23.85" hidden="false" customHeight="false" outlineLevel="0" collapsed="false">
      <c r="A15" s="9" t="s">
        <v>317</v>
      </c>
      <c r="B15" s="9" t="s">
        <v>91</v>
      </c>
      <c r="C15" s="9" t="s">
        <v>92</v>
      </c>
      <c r="D15" s="9" t="s">
        <v>157</v>
      </c>
      <c r="E15" s="9" t="s">
        <v>158</v>
      </c>
      <c r="F15" s="9" t="s">
        <v>309</v>
      </c>
      <c r="G15" s="9" t="s">
        <v>310</v>
      </c>
      <c r="H15" s="9" t="s">
        <v>311</v>
      </c>
      <c r="I15" s="9" t="s">
        <v>159</v>
      </c>
      <c r="J15" s="9" t="s">
        <v>160</v>
      </c>
      <c r="K15" s="9" t="s">
        <v>161</v>
      </c>
      <c r="L15" s="9" t="s">
        <v>162</v>
      </c>
      <c r="M15" s="10" t="n">
        <v>2</v>
      </c>
      <c r="N15" s="10" t="n">
        <v>0</v>
      </c>
      <c r="O15" s="9" t="s">
        <v>97</v>
      </c>
    </row>
    <row r="16" customFormat="false" ht="23.85" hidden="false" customHeight="false" outlineLevel="0" collapsed="false">
      <c r="A16" s="9" t="s">
        <v>318</v>
      </c>
      <c r="B16" s="9" t="s">
        <v>91</v>
      </c>
      <c r="C16" s="9" t="s">
        <v>92</v>
      </c>
      <c r="D16" s="9" t="s">
        <v>163</v>
      </c>
      <c r="E16" s="9" t="s">
        <v>164</v>
      </c>
      <c r="F16" s="9" t="s">
        <v>301</v>
      </c>
      <c r="G16" s="9" t="s">
        <v>302</v>
      </c>
      <c r="H16" s="9" t="s">
        <v>303</v>
      </c>
      <c r="I16" s="9" t="s">
        <v>165</v>
      </c>
      <c r="J16" s="9" t="s">
        <v>166</v>
      </c>
      <c r="K16" s="9" t="s">
        <v>167</v>
      </c>
      <c r="L16" s="9" t="s">
        <v>168</v>
      </c>
      <c r="M16" s="10" t="n">
        <v>2</v>
      </c>
      <c r="N16" s="10" t="n">
        <v>0</v>
      </c>
      <c r="O16" s="9" t="s">
        <v>97</v>
      </c>
    </row>
    <row r="17" customFormat="false" ht="23.85" hidden="false" customHeight="false" outlineLevel="0" collapsed="false">
      <c r="A17" s="9" t="s">
        <v>319</v>
      </c>
      <c r="B17" s="9" t="s">
        <v>91</v>
      </c>
      <c r="C17" s="9" t="s">
        <v>92</v>
      </c>
      <c r="D17" s="9" t="s">
        <v>163</v>
      </c>
      <c r="E17" s="9" t="s">
        <v>164</v>
      </c>
      <c r="F17" s="9" t="s">
        <v>305</v>
      </c>
      <c r="G17" s="9" t="s">
        <v>306</v>
      </c>
      <c r="H17" s="9" t="s">
        <v>307</v>
      </c>
      <c r="I17" s="9" t="s">
        <v>165</v>
      </c>
      <c r="J17" s="9" t="s">
        <v>166</v>
      </c>
      <c r="K17" s="9" t="s">
        <v>167</v>
      </c>
      <c r="L17" s="9" t="s">
        <v>168</v>
      </c>
      <c r="M17" s="10" t="n">
        <v>2</v>
      </c>
      <c r="N17" s="10" t="n">
        <v>0</v>
      </c>
      <c r="O17" s="9" t="s">
        <v>97</v>
      </c>
    </row>
    <row r="18" customFormat="false" ht="23.85" hidden="false" customHeight="false" outlineLevel="0" collapsed="false">
      <c r="A18" s="9" t="s">
        <v>320</v>
      </c>
      <c r="B18" s="9" t="s">
        <v>91</v>
      </c>
      <c r="C18" s="9" t="s">
        <v>92</v>
      </c>
      <c r="D18" s="9" t="s">
        <v>163</v>
      </c>
      <c r="E18" s="9" t="s">
        <v>164</v>
      </c>
      <c r="F18" s="9" t="s">
        <v>309</v>
      </c>
      <c r="G18" s="9" t="s">
        <v>310</v>
      </c>
      <c r="H18" s="9" t="s">
        <v>311</v>
      </c>
      <c r="I18" s="9" t="s">
        <v>165</v>
      </c>
      <c r="J18" s="9" t="s">
        <v>166</v>
      </c>
      <c r="K18" s="9" t="s">
        <v>167</v>
      </c>
      <c r="L18" s="9" t="s">
        <v>168</v>
      </c>
      <c r="M18" s="10" t="n">
        <v>2</v>
      </c>
      <c r="N18" s="10" t="n">
        <v>0</v>
      </c>
      <c r="O18" s="9" t="s">
        <v>97</v>
      </c>
    </row>
    <row r="19" customFormat="false" ht="23.85" hidden="false" customHeight="false" outlineLevel="0" collapsed="false">
      <c r="A19" s="9" t="s">
        <v>321</v>
      </c>
      <c r="B19" s="9" t="s">
        <v>91</v>
      </c>
      <c r="C19" s="9" t="s">
        <v>100</v>
      </c>
      <c r="D19" s="9" t="s">
        <v>169</v>
      </c>
      <c r="E19" s="9" t="s">
        <v>170</v>
      </c>
      <c r="F19" s="9" t="s">
        <v>301</v>
      </c>
      <c r="G19" s="9" t="s">
        <v>302</v>
      </c>
      <c r="H19" s="9" t="s">
        <v>303</v>
      </c>
      <c r="I19" s="9" t="s">
        <v>171</v>
      </c>
      <c r="J19" s="9" t="s">
        <v>172</v>
      </c>
      <c r="K19" s="9" t="s">
        <v>173</v>
      </c>
      <c r="L19" s="9" t="s">
        <v>174</v>
      </c>
      <c r="M19" s="10" t="n">
        <v>2</v>
      </c>
      <c r="N19" s="10" t="n">
        <v>0</v>
      </c>
      <c r="O19" s="9" t="s">
        <v>97</v>
      </c>
    </row>
    <row r="20" customFormat="false" ht="23.85" hidden="false" customHeight="false" outlineLevel="0" collapsed="false">
      <c r="A20" s="9" t="s">
        <v>322</v>
      </c>
      <c r="B20" s="9" t="s">
        <v>91</v>
      </c>
      <c r="C20" s="9" t="s">
        <v>100</v>
      </c>
      <c r="D20" s="9" t="s">
        <v>169</v>
      </c>
      <c r="E20" s="9" t="s">
        <v>170</v>
      </c>
      <c r="F20" s="9" t="s">
        <v>305</v>
      </c>
      <c r="G20" s="9" t="s">
        <v>306</v>
      </c>
      <c r="H20" s="9" t="s">
        <v>307</v>
      </c>
      <c r="I20" s="9" t="s">
        <v>171</v>
      </c>
      <c r="J20" s="9" t="s">
        <v>172</v>
      </c>
      <c r="K20" s="9" t="s">
        <v>173</v>
      </c>
      <c r="L20" s="9" t="s">
        <v>174</v>
      </c>
      <c r="M20" s="10" t="n">
        <v>2</v>
      </c>
      <c r="N20" s="10" t="n">
        <v>0</v>
      </c>
      <c r="O20" s="9" t="s">
        <v>97</v>
      </c>
    </row>
    <row r="21" customFormat="false" ht="23.85" hidden="false" customHeight="false" outlineLevel="0" collapsed="false">
      <c r="A21" s="9" t="s">
        <v>323</v>
      </c>
      <c r="B21" s="9" t="s">
        <v>91</v>
      </c>
      <c r="C21" s="9" t="s">
        <v>100</v>
      </c>
      <c r="D21" s="9" t="s">
        <v>169</v>
      </c>
      <c r="E21" s="9" t="s">
        <v>170</v>
      </c>
      <c r="F21" s="9" t="s">
        <v>309</v>
      </c>
      <c r="G21" s="9" t="s">
        <v>310</v>
      </c>
      <c r="H21" s="9" t="s">
        <v>311</v>
      </c>
      <c r="I21" s="9" t="s">
        <v>171</v>
      </c>
      <c r="J21" s="9" t="s">
        <v>172</v>
      </c>
      <c r="K21" s="9" t="s">
        <v>173</v>
      </c>
      <c r="L21" s="9" t="s">
        <v>174</v>
      </c>
      <c r="M21" s="10" t="n">
        <v>2</v>
      </c>
      <c r="N21" s="10" t="n">
        <v>0</v>
      </c>
      <c r="O21" s="9" t="s">
        <v>97</v>
      </c>
    </row>
    <row r="22" customFormat="false" ht="23.85" hidden="false" customHeight="false" outlineLevel="0" collapsed="false">
      <c r="A22" s="9" t="s">
        <v>324</v>
      </c>
      <c r="B22" s="9" t="s">
        <v>91</v>
      </c>
      <c r="C22" s="9" t="s">
        <v>100</v>
      </c>
      <c r="D22" s="9" t="s">
        <v>175</v>
      </c>
      <c r="E22" s="9" t="s">
        <v>176</v>
      </c>
      <c r="F22" s="9" t="s">
        <v>301</v>
      </c>
      <c r="G22" s="9" t="s">
        <v>302</v>
      </c>
      <c r="H22" s="9" t="s">
        <v>303</v>
      </c>
      <c r="I22" s="9" t="s">
        <v>177</v>
      </c>
      <c r="J22" s="9" t="s">
        <v>178</v>
      </c>
      <c r="K22" s="9" t="s">
        <v>179</v>
      </c>
      <c r="L22" s="9" t="s">
        <v>180</v>
      </c>
      <c r="M22" s="10" t="n">
        <v>2</v>
      </c>
      <c r="N22" s="10" t="n">
        <v>0</v>
      </c>
      <c r="O22" s="9" t="s">
        <v>97</v>
      </c>
    </row>
    <row r="23" customFormat="false" ht="23.85" hidden="false" customHeight="false" outlineLevel="0" collapsed="false">
      <c r="A23" s="9" t="s">
        <v>325</v>
      </c>
      <c r="B23" s="9" t="s">
        <v>91</v>
      </c>
      <c r="C23" s="9" t="s">
        <v>100</v>
      </c>
      <c r="D23" s="9" t="s">
        <v>175</v>
      </c>
      <c r="E23" s="9" t="s">
        <v>176</v>
      </c>
      <c r="F23" s="9" t="s">
        <v>305</v>
      </c>
      <c r="G23" s="9" t="s">
        <v>306</v>
      </c>
      <c r="H23" s="9" t="s">
        <v>307</v>
      </c>
      <c r="I23" s="9" t="s">
        <v>177</v>
      </c>
      <c r="J23" s="9" t="s">
        <v>178</v>
      </c>
      <c r="K23" s="9" t="s">
        <v>179</v>
      </c>
      <c r="L23" s="9" t="s">
        <v>180</v>
      </c>
      <c r="M23" s="10" t="n">
        <v>2</v>
      </c>
      <c r="N23" s="10" t="n">
        <v>0</v>
      </c>
      <c r="O23" s="9" t="s">
        <v>97</v>
      </c>
    </row>
    <row r="24" customFormat="false" ht="23.85" hidden="false" customHeight="false" outlineLevel="0" collapsed="false">
      <c r="A24" s="9" t="s">
        <v>326</v>
      </c>
      <c r="B24" s="9" t="s">
        <v>91</v>
      </c>
      <c r="C24" s="9" t="s">
        <v>100</v>
      </c>
      <c r="D24" s="9" t="s">
        <v>175</v>
      </c>
      <c r="E24" s="9" t="s">
        <v>176</v>
      </c>
      <c r="F24" s="9" t="s">
        <v>309</v>
      </c>
      <c r="G24" s="9" t="s">
        <v>310</v>
      </c>
      <c r="H24" s="9" t="s">
        <v>311</v>
      </c>
      <c r="I24" s="9" t="s">
        <v>177</v>
      </c>
      <c r="J24" s="9" t="s">
        <v>178</v>
      </c>
      <c r="K24" s="9" t="s">
        <v>179</v>
      </c>
      <c r="L24" s="9" t="s">
        <v>180</v>
      </c>
      <c r="M24" s="10" t="n">
        <v>2</v>
      </c>
      <c r="N24" s="10" t="n">
        <v>0</v>
      </c>
      <c r="O24" s="9" t="s">
        <v>97</v>
      </c>
    </row>
    <row r="25" customFormat="false" ht="23.85" hidden="false" customHeight="false" outlineLevel="0" collapsed="false">
      <c r="A25" s="9" t="s">
        <v>327</v>
      </c>
      <c r="B25" s="9" t="s">
        <v>91</v>
      </c>
      <c r="C25" s="9" t="s">
        <v>100</v>
      </c>
      <c r="D25" s="9" t="s">
        <v>181</v>
      </c>
      <c r="E25" s="9" t="s">
        <v>182</v>
      </c>
      <c r="F25" s="9" t="s">
        <v>301</v>
      </c>
      <c r="G25" s="9" t="s">
        <v>302</v>
      </c>
      <c r="H25" s="9" t="s">
        <v>303</v>
      </c>
      <c r="I25" s="9" t="s">
        <v>183</v>
      </c>
      <c r="J25" s="9" t="s">
        <v>184</v>
      </c>
      <c r="K25" s="9" t="s">
        <v>185</v>
      </c>
      <c r="L25" s="9" t="s">
        <v>186</v>
      </c>
      <c r="M25" s="10" t="n">
        <v>2</v>
      </c>
      <c r="N25" s="10" t="n">
        <v>0</v>
      </c>
      <c r="O25" s="9" t="s">
        <v>97</v>
      </c>
    </row>
    <row r="26" customFormat="false" ht="23.85" hidden="false" customHeight="false" outlineLevel="0" collapsed="false">
      <c r="A26" s="9" t="s">
        <v>328</v>
      </c>
      <c r="B26" s="9" t="s">
        <v>91</v>
      </c>
      <c r="C26" s="9" t="s">
        <v>100</v>
      </c>
      <c r="D26" s="9" t="s">
        <v>181</v>
      </c>
      <c r="E26" s="9" t="s">
        <v>182</v>
      </c>
      <c r="F26" s="9" t="s">
        <v>305</v>
      </c>
      <c r="G26" s="9" t="s">
        <v>306</v>
      </c>
      <c r="H26" s="9" t="s">
        <v>307</v>
      </c>
      <c r="I26" s="9" t="s">
        <v>183</v>
      </c>
      <c r="J26" s="9" t="s">
        <v>184</v>
      </c>
      <c r="K26" s="9" t="s">
        <v>185</v>
      </c>
      <c r="L26" s="9" t="s">
        <v>186</v>
      </c>
      <c r="M26" s="10" t="n">
        <v>2</v>
      </c>
      <c r="N26" s="10" t="n">
        <v>0</v>
      </c>
      <c r="O26" s="9" t="s">
        <v>97</v>
      </c>
    </row>
    <row r="27" customFormat="false" ht="23.85" hidden="false" customHeight="false" outlineLevel="0" collapsed="false">
      <c r="A27" s="9" t="s">
        <v>329</v>
      </c>
      <c r="B27" s="9" t="s">
        <v>91</v>
      </c>
      <c r="C27" s="9" t="s">
        <v>100</v>
      </c>
      <c r="D27" s="9" t="s">
        <v>181</v>
      </c>
      <c r="E27" s="9" t="s">
        <v>182</v>
      </c>
      <c r="F27" s="9" t="s">
        <v>309</v>
      </c>
      <c r="G27" s="9" t="s">
        <v>310</v>
      </c>
      <c r="H27" s="9" t="s">
        <v>311</v>
      </c>
      <c r="I27" s="9" t="s">
        <v>183</v>
      </c>
      <c r="J27" s="9" t="s">
        <v>184</v>
      </c>
      <c r="K27" s="9" t="s">
        <v>185</v>
      </c>
      <c r="L27" s="9" t="s">
        <v>186</v>
      </c>
      <c r="M27" s="10" t="n">
        <v>2</v>
      </c>
      <c r="N27" s="10" t="n">
        <v>0</v>
      </c>
      <c r="O27" s="9" t="s">
        <v>97</v>
      </c>
    </row>
    <row r="28" customFormat="false" ht="23.85" hidden="false" customHeight="false" outlineLevel="0" collapsed="false">
      <c r="A28" s="9" t="s">
        <v>330</v>
      </c>
      <c r="B28" s="9" t="s">
        <v>91</v>
      </c>
      <c r="C28" s="9" t="s">
        <v>100</v>
      </c>
      <c r="D28" s="9" t="s">
        <v>187</v>
      </c>
      <c r="E28" s="9" t="s">
        <v>188</v>
      </c>
      <c r="F28" s="9" t="s">
        <v>301</v>
      </c>
      <c r="G28" s="9" t="s">
        <v>302</v>
      </c>
      <c r="H28" s="9" t="s">
        <v>303</v>
      </c>
      <c r="I28" s="9" t="s">
        <v>189</v>
      </c>
      <c r="J28" s="9" t="s">
        <v>190</v>
      </c>
      <c r="K28" s="9" t="s">
        <v>191</v>
      </c>
      <c r="L28" s="9" t="s">
        <v>192</v>
      </c>
      <c r="M28" s="10" t="n">
        <v>2</v>
      </c>
      <c r="N28" s="10" t="n">
        <v>0</v>
      </c>
      <c r="O28" s="9" t="s">
        <v>97</v>
      </c>
    </row>
    <row r="29" customFormat="false" ht="23.85" hidden="false" customHeight="false" outlineLevel="0" collapsed="false">
      <c r="A29" s="9" t="s">
        <v>331</v>
      </c>
      <c r="B29" s="9" t="s">
        <v>91</v>
      </c>
      <c r="C29" s="9" t="s">
        <v>100</v>
      </c>
      <c r="D29" s="9" t="s">
        <v>187</v>
      </c>
      <c r="E29" s="9" t="s">
        <v>188</v>
      </c>
      <c r="F29" s="9" t="s">
        <v>305</v>
      </c>
      <c r="G29" s="9" t="s">
        <v>306</v>
      </c>
      <c r="H29" s="9" t="s">
        <v>307</v>
      </c>
      <c r="I29" s="9" t="s">
        <v>189</v>
      </c>
      <c r="J29" s="9" t="s">
        <v>190</v>
      </c>
      <c r="K29" s="9" t="s">
        <v>191</v>
      </c>
      <c r="L29" s="9" t="s">
        <v>192</v>
      </c>
      <c r="M29" s="10" t="n">
        <v>2</v>
      </c>
      <c r="N29" s="10" t="n">
        <v>0</v>
      </c>
      <c r="O29" s="9" t="s">
        <v>97</v>
      </c>
    </row>
    <row r="30" customFormat="false" ht="23.85" hidden="false" customHeight="false" outlineLevel="0" collapsed="false">
      <c r="A30" s="9" t="s">
        <v>332</v>
      </c>
      <c r="B30" s="9" t="s">
        <v>91</v>
      </c>
      <c r="C30" s="9" t="s">
        <v>100</v>
      </c>
      <c r="D30" s="9" t="s">
        <v>187</v>
      </c>
      <c r="E30" s="9" t="s">
        <v>188</v>
      </c>
      <c r="F30" s="9" t="s">
        <v>309</v>
      </c>
      <c r="G30" s="9" t="s">
        <v>310</v>
      </c>
      <c r="H30" s="9" t="s">
        <v>311</v>
      </c>
      <c r="I30" s="9" t="s">
        <v>189</v>
      </c>
      <c r="J30" s="9" t="s">
        <v>190</v>
      </c>
      <c r="K30" s="9" t="s">
        <v>191</v>
      </c>
      <c r="L30" s="9" t="s">
        <v>192</v>
      </c>
      <c r="M30" s="10" t="n">
        <v>2</v>
      </c>
      <c r="N30" s="10" t="n">
        <v>0</v>
      </c>
      <c r="O30" s="9" t="s">
        <v>97</v>
      </c>
    </row>
    <row r="31" customFormat="false" ht="23.85" hidden="false" customHeight="false" outlineLevel="0" collapsed="false">
      <c r="A31" s="9" t="s">
        <v>333</v>
      </c>
      <c r="B31" s="9" t="s">
        <v>91</v>
      </c>
      <c r="C31" s="9" t="s">
        <v>107</v>
      </c>
      <c r="D31" s="9" t="s">
        <v>193</v>
      </c>
      <c r="E31" s="9" t="s">
        <v>194</v>
      </c>
      <c r="F31" s="9" t="s">
        <v>301</v>
      </c>
      <c r="G31" s="9" t="s">
        <v>302</v>
      </c>
      <c r="H31" s="9" t="s">
        <v>303</v>
      </c>
      <c r="I31" s="9" t="s">
        <v>195</v>
      </c>
      <c r="J31" s="9" t="s">
        <v>196</v>
      </c>
      <c r="K31" s="9" t="s">
        <v>197</v>
      </c>
      <c r="L31" s="9" t="s">
        <v>198</v>
      </c>
      <c r="M31" s="10" t="n">
        <v>2</v>
      </c>
      <c r="N31" s="10" t="n">
        <v>0</v>
      </c>
      <c r="O31" s="9" t="s">
        <v>97</v>
      </c>
    </row>
    <row r="32" customFormat="false" ht="23.85" hidden="false" customHeight="false" outlineLevel="0" collapsed="false">
      <c r="A32" s="9" t="s">
        <v>334</v>
      </c>
      <c r="B32" s="9" t="s">
        <v>91</v>
      </c>
      <c r="C32" s="9" t="s">
        <v>107</v>
      </c>
      <c r="D32" s="9" t="s">
        <v>193</v>
      </c>
      <c r="E32" s="9" t="s">
        <v>194</v>
      </c>
      <c r="F32" s="9" t="s">
        <v>305</v>
      </c>
      <c r="G32" s="9" t="s">
        <v>306</v>
      </c>
      <c r="H32" s="9" t="s">
        <v>307</v>
      </c>
      <c r="I32" s="9" t="s">
        <v>195</v>
      </c>
      <c r="J32" s="9" t="s">
        <v>196</v>
      </c>
      <c r="K32" s="9" t="s">
        <v>197</v>
      </c>
      <c r="L32" s="9" t="s">
        <v>198</v>
      </c>
      <c r="M32" s="10" t="n">
        <v>2</v>
      </c>
      <c r="N32" s="10" t="n">
        <v>0</v>
      </c>
      <c r="O32" s="9" t="s">
        <v>97</v>
      </c>
    </row>
    <row r="33" customFormat="false" ht="23.85" hidden="false" customHeight="false" outlineLevel="0" collapsed="false">
      <c r="A33" s="9" t="s">
        <v>335</v>
      </c>
      <c r="B33" s="9" t="s">
        <v>91</v>
      </c>
      <c r="C33" s="9" t="s">
        <v>107</v>
      </c>
      <c r="D33" s="9" t="s">
        <v>193</v>
      </c>
      <c r="E33" s="9" t="s">
        <v>194</v>
      </c>
      <c r="F33" s="9" t="s">
        <v>309</v>
      </c>
      <c r="G33" s="9" t="s">
        <v>310</v>
      </c>
      <c r="H33" s="9" t="s">
        <v>311</v>
      </c>
      <c r="I33" s="9" t="s">
        <v>195</v>
      </c>
      <c r="J33" s="9" t="s">
        <v>196</v>
      </c>
      <c r="K33" s="9" t="s">
        <v>197</v>
      </c>
      <c r="L33" s="9" t="s">
        <v>198</v>
      </c>
      <c r="M33" s="10" t="n">
        <v>2</v>
      </c>
      <c r="N33" s="10" t="n">
        <v>0</v>
      </c>
      <c r="O33" s="9" t="s">
        <v>97</v>
      </c>
    </row>
    <row r="34" customFormat="false" ht="23.85" hidden="false" customHeight="false" outlineLevel="0" collapsed="false">
      <c r="A34" s="9" t="s">
        <v>336</v>
      </c>
      <c r="B34" s="9" t="s">
        <v>91</v>
      </c>
      <c r="C34" s="9" t="s">
        <v>107</v>
      </c>
      <c r="D34" s="9" t="s">
        <v>199</v>
      </c>
      <c r="E34" s="9" t="s">
        <v>200</v>
      </c>
      <c r="F34" s="9" t="s">
        <v>301</v>
      </c>
      <c r="G34" s="9" t="s">
        <v>302</v>
      </c>
      <c r="H34" s="9" t="s">
        <v>303</v>
      </c>
      <c r="I34" s="9" t="s">
        <v>201</v>
      </c>
      <c r="J34" s="9" t="s">
        <v>202</v>
      </c>
      <c r="K34" s="9" t="s">
        <v>203</v>
      </c>
      <c r="L34" s="9" t="s">
        <v>204</v>
      </c>
      <c r="M34" s="10" t="n">
        <v>2</v>
      </c>
      <c r="N34" s="10" t="n">
        <v>0</v>
      </c>
      <c r="O34" s="9" t="s">
        <v>97</v>
      </c>
    </row>
    <row r="35" customFormat="false" ht="23.85" hidden="false" customHeight="false" outlineLevel="0" collapsed="false">
      <c r="A35" s="9" t="s">
        <v>337</v>
      </c>
      <c r="B35" s="9" t="s">
        <v>91</v>
      </c>
      <c r="C35" s="9" t="s">
        <v>107</v>
      </c>
      <c r="D35" s="9" t="s">
        <v>199</v>
      </c>
      <c r="E35" s="9" t="s">
        <v>200</v>
      </c>
      <c r="F35" s="9" t="s">
        <v>305</v>
      </c>
      <c r="G35" s="9" t="s">
        <v>306</v>
      </c>
      <c r="H35" s="9" t="s">
        <v>307</v>
      </c>
      <c r="I35" s="9" t="s">
        <v>201</v>
      </c>
      <c r="J35" s="9" t="s">
        <v>202</v>
      </c>
      <c r="K35" s="9" t="s">
        <v>203</v>
      </c>
      <c r="L35" s="9" t="s">
        <v>204</v>
      </c>
      <c r="M35" s="10" t="n">
        <v>2</v>
      </c>
      <c r="N35" s="10" t="n">
        <v>0</v>
      </c>
      <c r="O35" s="9" t="s">
        <v>97</v>
      </c>
    </row>
    <row r="36" customFormat="false" ht="23.85" hidden="false" customHeight="false" outlineLevel="0" collapsed="false">
      <c r="A36" s="9" t="s">
        <v>338</v>
      </c>
      <c r="B36" s="9" t="s">
        <v>91</v>
      </c>
      <c r="C36" s="9" t="s">
        <v>107</v>
      </c>
      <c r="D36" s="9" t="s">
        <v>199</v>
      </c>
      <c r="E36" s="9" t="s">
        <v>200</v>
      </c>
      <c r="F36" s="9" t="s">
        <v>309</v>
      </c>
      <c r="G36" s="9" t="s">
        <v>310</v>
      </c>
      <c r="H36" s="9" t="s">
        <v>311</v>
      </c>
      <c r="I36" s="9" t="s">
        <v>201</v>
      </c>
      <c r="J36" s="9" t="s">
        <v>202</v>
      </c>
      <c r="K36" s="9" t="s">
        <v>203</v>
      </c>
      <c r="L36" s="9" t="s">
        <v>204</v>
      </c>
      <c r="M36" s="10" t="n">
        <v>2</v>
      </c>
      <c r="N36" s="10" t="n">
        <v>0</v>
      </c>
      <c r="O36" s="9" t="s">
        <v>97</v>
      </c>
    </row>
    <row r="37" customFormat="false" ht="23.85" hidden="false" customHeight="false" outlineLevel="0" collapsed="false">
      <c r="A37" s="9" t="s">
        <v>339</v>
      </c>
      <c r="B37" s="9" t="s">
        <v>91</v>
      </c>
      <c r="C37" s="9" t="s">
        <v>107</v>
      </c>
      <c r="D37" s="9" t="s">
        <v>205</v>
      </c>
      <c r="E37" s="9" t="s">
        <v>206</v>
      </c>
      <c r="F37" s="9" t="s">
        <v>301</v>
      </c>
      <c r="G37" s="9" t="s">
        <v>302</v>
      </c>
      <c r="H37" s="9" t="s">
        <v>303</v>
      </c>
      <c r="I37" s="9" t="s">
        <v>207</v>
      </c>
      <c r="J37" s="9" t="s">
        <v>208</v>
      </c>
      <c r="K37" s="9" t="s">
        <v>209</v>
      </c>
      <c r="L37" s="9" t="s">
        <v>210</v>
      </c>
      <c r="M37" s="10" t="n">
        <v>2</v>
      </c>
      <c r="N37" s="10" t="n">
        <v>0</v>
      </c>
      <c r="O37" s="9" t="s">
        <v>97</v>
      </c>
    </row>
    <row r="38" customFormat="false" ht="23.85" hidden="false" customHeight="false" outlineLevel="0" collapsed="false">
      <c r="A38" s="9" t="s">
        <v>340</v>
      </c>
      <c r="B38" s="9" t="s">
        <v>91</v>
      </c>
      <c r="C38" s="9" t="s">
        <v>107</v>
      </c>
      <c r="D38" s="9" t="s">
        <v>205</v>
      </c>
      <c r="E38" s="9" t="s">
        <v>206</v>
      </c>
      <c r="F38" s="9" t="s">
        <v>305</v>
      </c>
      <c r="G38" s="9" t="s">
        <v>306</v>
      </c>
      <c r="H38" s="9" t="s">
        <v>307</v>
      </c>
      <c r="I38" s="9" t="s">
        <v>207</v>
      </c>
      <c r="J38" s="9" t="s">
        <v>208</v>
      </c>
      <c r="K38" s="9" t="s">
        <v>209</v>
      </c>
      <c r="L38" s="9" t="s">
        <v>210</v>
      </c>
      <c r="M38" s="10" t="n">
        <v>2</v>
      </c>
      <c r="N38" s="10" t="n">
        <v>0</v>
      </c>
      <c r="O38" s="9" t="s">
        <v>97</v>
      </c>
    </row>
    <row r="39" customFormat="false" ht="23.85" hidden="false" customHeight="false" outlineLevel="0" collapsed="false">
      <c r="A39" s="9" t="s">
        <v>341</v>
      </c>
      <c r="B39" s="9" t="s">
        <v>91</v>
      </c>
      <c r="C39" s="9" t="s">
        <v>107</v>
      </c>
      <c r="D39" s="9" t="s">
        <v>205</v>
      </c>
      <c r="E39" s="9" t="s">
        <v>206</v>
      </c>
      <c r="F39" s="9" t="s">
        <v>309</v>
      </c>
      <c r="G39" s="9" t="s">
        <v>310</v>
      </c>
      <c r="H39" s="9" t="s">
        <v>311</v>
      </c>
      <c r="I39" s="9" t="s">
        <v>207</v>
      </c>
      <c r="J39" s="9" t="s">
        <v>208</v>
      </c>
      <c r="K39" s="9" t="s">
        <v>209</v>
      </c>
      <c r="L39" s="9" t="s">
        <v>210</v>
      </c>
      <c r="M39" s="10" t="n">
        <v>2</v>
      </c>
      <c r="N39" s="10" t="n">
        <v>0</v>
      </c>
      <c r="O39" s="9" t="s">
        <v>97</v>
      </c>
    </row>
    <row r="40" customFormat="false" ht="23.85" hidden="false" customHeight="false" outlineLevel="0" collapsed="false">
      <c r="A40" s="9" t="s">
        <v>342</v>
      </c>
      <c r="B40" s="9" t="s">
        <v>91</v>
      </c>
      <c r="C40" s="9" t="s">
        <v>107</v>
      </c>
      <c r="D40" s="9" t="s">
        <v>211</v>
      </c>
      <c r="E40" s="9" t="s">
        <v>212</v>
      </c>
      <c r="F40" s="9" t="s">
        <v>301</v>
      </c>
      <c r="G40" s="9" t="s">
        <v>302</v>
      </c>
      <c r="H40" s="9" t="s">
        <v>303</v>
      </c>
      <c r="I40" s="9" t="s">
        <v>213</v>
      </c>
      <c r="J40" s="9" t="s">
        <v>214</v>
      </c>
      <c r="K40" s="9" t="s">
        <v>215</v>
      </c>
      <c r="L40" s="9" t="s">
        <v>216</v>
      </c>
      <c r="M40" s="10" t="n">
        <v>2</v>
      </c>
      <c r="N40" s="10" t="n">
        <v>0</v>
      </c>
      <c r="O40" s="9" t="s">
        <v>97</v>
      </c>
    </row>
    <row r="41" customFormat="false" ht="23.85" hidden="false" customHeight="false" outlineLevel="0" collapsed="false">
      <c r="A41" s="9" t="s">
        <v>343</v>
      </c>
      <c r="B41" s="9" t="s">
        <v>91</v>
      </c>
      <c r="C41" s="9" t="s">
        <v>107</v>
      </c>
      <c r="D41" s="9" t="s">
        <v>211</v>
      </c>
      <c r="E41" s="9" t="s">
        <v>212</v>
      </c>
      <c r="F41" s="9" t="s">
        <v>305</v>
      </c>
      <c r="G41" s="9" t="s">
        <v>306</v>
      </c>
      <c r="H41" s="9" t="s">
        <v>307</v>
      </c>
      <c r="I41" s="9" t="s">
        <v>213</v>
      </c>
      <c r="J41" s="9" t="s">
        <v>214</v>
      </c>
      <c r="K41" s="9" t="s">
        <v>215</v>
      </c>
      <c r="L41" s="9" t="s">
        <v>216</v>
      </c>
      <c r="M41" s="10" t="n">
        <v>2</v>
      </c>
      <c r="N41" s="10" t="n">
        <v>0</v>
      </c>
      <c r="O41" s="9" t="s">
        <v>97</v>
      </c>
    </row>
    <row r="42" customFormat="false" ht="23.85" hidden="false" customHeight="false" outlineLevel="0" collapsed="false">
      <c r="A42" s="9" t="s">
        <v>344</v>
      </c>
      <c r="B42" s="9" t="s">
        <v>91</v>
      </c>
      <c r="C42" s="9" t="s">
        <v>107</v>
      </c>
      <c r="D42" s="9" t="s">
        <v>211</v>
      </c>
      <c r="E42" s="9" t="s">
        <v>212</v>
      </c>
      <c r="F42" s="9" t="s">
        <v>309</v>
      </c>
      <c r="G42" s="9" t="s">
        <v>310</v>
      </c>
      <c r="H42" s="9" t="s">
        <v>311</v>
      </c>
      <c r="I42" s="9" t="s">
        <v>213</v>
      </c>
      <c r="J42" s="9" t="s">
        <v>214</v>
      </c>
      <c r="K42" s="9" t="s">
        <v>215</v>
      </c>
      <c r="L42" s="9" t="s">
        <v>216</v>
      </c>
      <c r="M42" s="10" t="n">
        <v>2</v>
      </c>
      <c r="N42" s="10" t="n">
        <v>0</v>
      </c>
      <c r="O42" s="9" t="s">
        <v>97</v>
      </c>
    </row>
    <row r="43" customFormat="false" ht="23.85" hidden="false" customHeight="false" outlineLevel="0" collapsed="false">
      <c r="A43" s="9" t="s">
        <v>345</v>
      </c>
      <c r="B43" s="9" t="s">
        <v>91</v>
      </c>
      <c r="C43" s="9" t="s">
        <v>114</v>
      </c>
      <c r="D43" s="9" t="s">
        <v>217</v>
      </c>
      <c r="E43" s="9" t="s">
        <v>218</v>
      </c>
      <c r="F43" s="9" t="s">
        <v>301</v>
      </c>
      <c r="G43" s="9" t="s">
        <v>302</v>
      </c>
      <c r="H43" s="9" t="s">
        <v>303</v>
      </c>
      <c r="I43" s="9" t="s">
        <v>219</v>
      </c>
      <c r="J43" s="9" t="s">
        <v>220</v>
      </c>
      <c r="K43" s="9" t="s">
        <v>221</v>
      </c>
      <c r="L43" s="9" t="s">
        <v>222</v>
      </c>
      <c r="M43" s="10" t="n">
        <v>2</v>
      </c>
      <c r="N43" s="10" t="n">
        <v>0</v>
      </c>
      <c r="O43" s="9" t="s">
        <v>97</v>
      </c>
    </row>
    <row r="44" customFormat="false" ht="23.85" hidden="false" customHeight="false" outlineLevel="0" collapsed="false">
      <c r="A44" s="9" t="s">
        <v>346</v>
      </c>
      <c r="B44" s="9" t="s">
        <v>91</v>
      </c>
      <c r="C44" s="9" t="s">
        <v>114</v>
      </c>
      <c r="D44" s="9" t="s">
        <v>217</v>
      </c>
      <c r="E44" s="9" t="s">
        <v>218</v>
      </c>
      <c r="F44" s="9" t="s">
        <v>305</v>
      </c>
      <c r="G44" s="9" t="s">
        <v>306</v>
      </c>
      <c r="H44" s="9" t="s">
        <v>307</v>
      </c>
      <c r="I44" s="9" t="s">
        <v>219</v>
      </c>
      <c r="J44" s="9" t="s">
        <v>220</v>
      </c>
      <c r="K44" s="9" t="s">
        <v>221</v>
      </c>
      <c r="L44" s="9" t="s">
        <v>222</v>
      </c>
      <c r="M44" s="10" t="n">
        <v>2</v>
      </c>
      <c r="N44" s="10" t="n">
        <v>0</v>
      </c>
      <c r="O44" s="9" t="s">
        <v>97</v>
      </c>
    </row>
    <row r="45" customFormat="false" ht="23.85" hidden="false" customHeight="false" outlineLevel="0" collapsed="false">
      <c r="A45" s="9" t="s">
        <v>347</v>
      </c>
      <c r="B45" s="9" t="s">
        <v>91</v>
      </c>
      <c r="C45" s="9" t="s">
        <v>114</v>
      </c>
      <c r="D45" s="9" t="s">
        <v>217</v>
      </c>
      <c r="E45" s="9" t="s">
        <v>218</v>
      </c>
      <c r="F45" s="9" t="s">
        <v>309</v>
      </c>
      <c r="G45" s="9" t="s">
        <v>310</v>
      </c>
      <c r="H45" s="9" t="s">
        <v>311</v>
      </c>
      <c r="I45" s="9" t="s">
        <v>219</v>
      </c>
      <c r="J45" s="9" t="s">
        <v>220</v>
      </c>
      <c r="K45" s="9" t="s">
        <v>221</v>
      </c>
      <c r="L45" s="9" t="s">
        <v>222</v>
      </c>
      <c r="M45" s="10" t="n">
        <v>2</v>
      </c>
      <c r="N45" s="10" t="n">
        <v>0</v>
      </c>
      <c r="O45" s="9" t="s">
        <v>97</v>
      </c>
    </row>
    <row r="46" customFormat="false" ht="23.85" hidden="false" customHeight="false" outlineLevel="0" collapsed="false">
      <c r="A46" s="9" t="s">
        <v>348</v>
      </c>
      <c r="B46" s="9" t="s">
        <v>91</v>
      </c>
      <c r="C46" s="9" t="s">
        <v>114</v>
      </c>
      <c r="D46" s="9" t="s">
        <v>223</v>
      </c>
      <c r="E46" s="9" t="s">
        <v>224</v>
      </c>
      <c r="F46" s="9" t="s">
        <v>301</v>
      </c>
      <c r="G46" s="9" t="s">
        <v>302</v>
      </c>
      <c r="H46" s="9" t="s">
        <v>303</v>
      </c>
      <c r="I46" s="9" t="s">
        <v>225</v>
      </c>
      <c r="J46" s="9" t="s">
        <v>226</v>
      </c>
      <c r="K46" s="9" t="s">
        <v>227</v>
      </c>
      <c r="L46" s="9" t="s">
        <v>228</v>
      </c>
      <c r="M46" s="10" t="n">
        <v>2</v>
      </c>
      <c r="N46" s="10" t="n">
        <v>0</v>
      </c>
      <c r="O46" s="9" t="s">
        <v>97</v>
      </c>
    </row>
    <row r="47" customFormat="false" ht="23.85" hidden="false" customHeight="false" outlineLevel="0" collapsed="false">
      <c r="A47" s="9" t="s">
        <v>349</v>
      </c>
      <c r="B47" s="9" t="s">
        <v>91</v>
      </c>
      <c r="C47" s="9" t="s">
        <v>114</v>
      </c>
      <c r="D47" s="9" t="s">
        <v>223</v>
      </c>
      <c r="E47" s="9" t="s">
        <v>224</v>
      </c>
      <c r="F47" s="9" t="s">
        <v>305</v>
      </c>
      <c r="G47" s="9" t="s">
        <v>306</v>
      </c>
      <c r="H47" s="9" t="s">
        <v>307</v>
      </c>
      <c r="I47" s="9" t="s">
        <v>225</v>
      </c>
      <c r="J47" s="9" t="s">
        <v>226</v>
      </c>
      <c r="K47" s="9" t="s">
        <v>227</v>
      </c>
      <c r="L47" s="9" t="s">
        <v>228</v>
      </c>
      <c r="M47" s="10" t="n">
        <v>2</v>
      </c>
      <c r="N47" s="10" t="n">
        <v>0</v>
      </c>
      <c r="O47" s="9" t="s">
        <v>97</v>
      </c>
    </row>
    <row r="48" customFormat="false" ht="23.85" hidden="false" customHeight="false" outlineLevel="0" collapsed="false">
      <c r="A48" s="9" t="s">
        <v>350</v>
      </c>
      <c r="B48" s="9" t="s">
        <v>91</v>
      </c>
      <c r="C48" s="9" t="s">
        <v>114</v>
      </c>
      <c r="D48" s="9" t="s">
        <v>223</v>
      </c>
      <c r="E48" s="9" t="s">
        <v>224</v>
      </c>
      <c r="F48" s="9" t="s">
        <v>309</v>
      </c>
      <c r="G48" s="9" t="s">
        <v>310</v>
      </c>
      <c r="H48" s="9" t="s">
        <v>311</v>
      </c>
      <c r="I48" s="9" t="s">
        <v>225</v>
      </c>
      <c r="J48" s="9" t="s">
        <v>226</v>
      </c>
      <c r="K48" s="9" t="s">
        <v>227</v>
      </c>
      <c r="L48" s="9" t="s">
        <v>228</v>
      </c>
      <c r="M48" s="10" t="n">
        <v>2</v>
      </c>
      <c r="N48" s="10" t="n">
        <v>0</v>
      </c>
      <c r="O48" s="9" t="s">
        <v>97</v>
      </c>
    </row>
    <row r="49" customFormat="false" ht="23.85" hidden="false" customHeight="false" outlineLevel="0" collapsed="false">
      <c r="A49" s="9" t="s">
        <v>351</v>
      </c>
      <c r="B49" s="9" t="s">
        <v>91</v>
      </c>
      <c r="C49" s="9" t="s">
        <v>114</v>
      </c>
      <c r="D49" s="9" t="s">
        <v>229</v>
      </c>
      <c r="E49" s="9" t="s">
        <v>230</v>
      </c>
      <c r="F49" s="9" t="s">
        <v>301</v>
      </c>
      <c r="G49" s="9" t="s">
        <v>302</v>
      </c>
      <c r="H49" s="9" t="s">
        <v>303</v>
      </c>
      <c r="I49" s="9" t="s">
        <v>231</v>
      </c>
      <c r="J49" s="9" t="s">
        <v>232</v>
      </c>
      <c r="K49" s="9" t="s">
        <v>233</v>
      </c>
      <c r="L49" s="9" t="s">
        <v>234</v>
      </c>
      <c r="M49" s="10" t="n">
        <v>2</v>
      </c>
      <c r="N49" s="10" t="n">
        <v>0</v>
      </c>
      <c r="O49" s="9" t="s">
        <v>97</v>
      </c>
    </row>
    <row r="50" customFormat="false" ht="23.85" hidden="false" customHeight="false" outlineLevel="0" collapsed="false">
      <c r="A50" s="9" t="s">
        <v>352</v>
      </c>
      <c r="B50" s="9" t="s">
        <v>91</v>
      </c>
      <c r="C50" s="9" t="s">
        <v>114</v>
      </c>
      <c r="D50" s="9" t="s">
        <v>229</v>
      </c>
      <c r="E50" s="9" t="s">
        <v>230</v>
      </c>
      <c r="F50" s="9" t="s">
        <v>305</v>
      </c>
      <c r="G50" s="9" t="s">
        <v>306</v>
      </c>
      <c r="H50" s="9" t="s">
        <v>307</v>
      </c>
      <c r="I50" s="9" t="s">
        <v>231</v>
      </c>
      <c r="J50" s="9" t="s">
        <v>232</v>
      </c>
      <c r="K50" s="9" t="s">
        <v>233</v>
      </c>
      <c r="L50" s="9" t="s">
        <v>234</v>
      </c>
      <c r="M50" s="10" t="n">
        <v>2</v>
      </c>
      <c r="N50" s="10" t="n">
        <v>0</v>
      </c>
      <c r="O50" s="9" t="s">
        <v>97</v>
      </c>
    </row>
    <row r="51" customFormat="false" ht="23.85" hidden="false" customHeight="false" outlineLevel="0" collapsed="false">
      <c r="A51" s="9" t="s">
        <v>353</v>
      </c>
      <c r="B51" s="9" t="s">
        <v>91</v>
      </c>
      <c r="C51" s="9" t="s">
        <v>114</v>
      </c>
      <c r="D51" s="9" t="s">
        <v>229</v>
      </c>
      <c r="E51" s="9" t="s">
        <v>230</v>
      </c>
      <c r="F51" s="9" t="s">
        <v>309</v>
      </c>
      <c r="G51" s="9" t="s">
        <v>310</v>
      </c>
      <c r="H51" s="9" t="s">
        <v>311</v>
      </c>
      <c r="I51" s="9" t="s">
        <v>231</v>
      </c>
      <c r="J51" s="9" t="s">
        <v>232</v>
      </c>
      <c r="K51" s="9" t="s">
        <v>233</v>
      </c>
      <c r="L51" s="9" t="s">
        <v>234</v>
      </c>
      <c r="M51" s="10" t="n">
        <v>2</v>
      </c>
      <c r="N51" s="10" t="n">
        <v>0</v>
      </c>
      <c r="O51" s="9" t="s">
        <v>97</v>
      </c>
    </row>
    <row r="52" customFormat="false" ht="23.85" hidden="false" customHeight="false" outlineLevel="0" collapsed="false">
      <c r="A52" s="9" t="s">
        <v>354</v>
      </c>
      <c r="B52" s="9" t="s">
        <v>91</v>
      </c>
      <c r="C52" s="9" t="s">
        <v>114</v>
      </c>
      <c r="D52" s="9" t="s">
        <v>235</v>
      </c>
      <c r="E52" s="9" t="s">
        <v>236</v>
      </c>
      <c r="F52" s="9" t="s">
        <v>301</v>
      </c>
      <c r="G52" s="9" t="s">
        <v>302</v>
      </c>
      <c r="H52" s="9" t="s">
        <v>303</v>
      </c>
      <c r="I52" s="9" t="s">
        <v>237</v>
      </c>
      <c r="J52" s="9" t="s">
        <v>238</v>
      </c>
      <c r="K52" s="9" t="s">
        <v>239</v>
      </c>
      <c r="L52" s="9" t="s">
        <v>240</v>
      </c>
      <c r="M52" s="10" t="n">
        <v>2</v>
      </c>
      <c r="N52" s="10" t="n">
        <v>0</v>
      </c>
      <c r="O52" s="9" t="s">
        <v>97</v>
      </c>
    </row>
    <row r="53" customFormat="false" ht="23.85" hidden="false" customHeight="false" outlineLevel="0" collapsed="false">
      <c r="A53" s="9" t="s">
        <v>355</v>
      </c>
      <c r="B53" s="9" t="s">
        <v>91</v>
      </c>
      <c r="C53" s="9" t="s">
        <v>114</v>
      </c>
      <c r="D53" s="9" t="s">
        <v>235</v>
      </c>
      <c r="E53" s="9" t="s">
        <v>236</v>
      </c>
      <c r="F53" s="9" t="s">
        <v>305</v>
      </c>
      <c r="G53" s="9" t="s">
        <v>306</v>
      </c>
      <c r="H53" s="9" t="s">
        <v>307</v>
      </c>
      <c r="I53" s="9" t="s">
        <v>237</v>
      </c>
      <c r="J53" s="9" t="s">
        <v>238</v>
      </c>
      <c r="K53" s="9" t="s">
        <v>239</v>
      </c>
      <c r="L53" s="9" t="s">
        <v>240</v>
      </c>
      <c r="M53" s="10" t="n">
        <v>2</v>
      </c>
      <c r="N53" s="10" t="n">
        <v>0</v>
      </c>
      <c r="O53" s="9" t="s">
        <v>97</v>
      </c>
    </row>
    <row r="54" customFormat="false" ht="23.85" hidden="false" customHeight="false" outlineLevel="0" collapsed="false">
      <c r="A54" s="9" t="s">
        <v>356</v>
      </c>
      <c r="B54" s="9" t="s">
        <v>91</v>
      </c>
      <c r="C54" s="9" t="s">
        <v>114</v>
      </c>
      <c r="D54" s="9" t="s">
        <v>235</v>
      </c>
      <c r="E54" s="9" t="s">
        <v>236</v>
      </c>
      <c r="F54" s="9" t="s">
        <v>309</v>
      </c>
      <c r="G54" s="9" t="s">
        <v>310</v>
      </c>
      <c r="H54" s="9" t="s">
        <v>311</v>
      </c>
      <c r="I54" s="9" t="s">
        <v>237</v>
      </c>
      <c r="J54" s="9" t="s">
        <v>238</v>
      </c>
      <c r="K54" s="9" t="s">
        <v>239</v>
      </c>
      <c r="L54" s="9" t="s">
        <v>240</v>
      </c>
      <c r="M54" s="10" t="n">
        <v>2</v>
      </c>
      <c r="N54" s="10" t="n">
        <v>0</v>
      </c>
      <c r="O54" s="9" t="s">
        <v>97</v>
      </c>
    </row>
    <row r="55" customFormat="false" ht="23.85" hidden="false" customHeight="false" outlineLevel="0" collapsed="false">
      <c r="A55" s="9" t="s">
        <v>357</v>
      </c>
      <c r="B55" s="9" t="s">
        <v>91</v>
      </c>
      <c r="C55" s="9" t="s">
        <v>121</v>
      </c>
      <c r="D55" s="9" t="s">
        <v>241</v>
      </c>
      <c r="E55" s="9" t="s">
        <v>242</v>
      </c>
      <c r="F55" s="9" t="s">
        <v>301</v>
      </c>
      <c r="G55" s="9" t="s">
        <v>302</v>
      </c>
      <c r="H55" s="9" t="s">
        <v>303</v>
      </c>
      <c r="I55" s="9" t="s">
        <v>243</v>
      </c>
      <c r="J55" s="9" t="s">
        <v>244</v>
      </c>
      <c r="K55" s="9" t="s">
        <v>245</v>
      </c>
      <c r="L55" s="9" t="s">
        <v>246</v>
      </c>
      <c r="M55" s="10" t="n">
        <v>2</v>
      </c>
      <c r="N55" s="10" t="n">
        <v>0</v>
      </c>
      <c r="O55" s="9" t="s">
        <v>97</v>
      </c>
    </row>
    <row r="56" customFormat="false" ht="23.85" hidden="false" customHeight="false" outlineLevel="0" collapsed="false">
      <c r="A56" s="9" t="s">
        <v>358</v>
      </c>
      <c r="B56" s="9" t="s">
        <v>91</v>
      </c>
      <c r="C56" s="9" t="s">
        <v>121</v>
      </c>
      <c r="D56" s="9" t="s">
        <v>241</v>
      </c>
      <c r="E56" s="9" t="s">
        <v>242</v>
      </c>
      <c r="F56" s="9" t="s">
        <v>305</v>
      </c>
      <c r="G56" s="9" t="s">
        <v>306</v>
      </c>
      <c r="H56" s="9" t="s">
        <v>307</v>
      </c>
      <c r="I56" s="9" t="s">
        <v>243</v>
      </c>
      <c r="J56" s="9" t="s">
        <v>244</v>
      </c>
      <c r="K56" s="9" t="s">
        <v>245</v>
      </c>
      <c r="L56" s="9" t="s">
        <v>246</v>
      </c>
      <c r="M56" s="10" t="n">
        <v>2</v>
      </c>
      <c r="N56" s="10" t="n">
        <v>0</v>
      </c>
      <c r="O56" s="9" t="s">
        <v>97</v>
      </c>
    </row>
    <row r="57" customFormat="false" ht="23.85" hidden="false" customHeight="false" outlineLevel="0" collapsed="false">
      <c r="A57" s="9" t="s">
        <v>359</v>
      </c>
      <c r="B57" s="9" t="s">
        <v>91</v>
      </c>
      <c r="C57" s="9" t="s">
        <v>121</v>
      </c>
      <c r="D57" s="9" t="s">
        <v>241</v>
      </c>
      <c r="E57" s="9" t="s">
        <v>242</v>
      </c>
      <c r="F57" s="9" t="s">
        <v>309</v>
      </c>
      <c r="G57" s="9" t="s">
        <v>310</v>
      </c>
      <c r="H57" s="9" t="s">
        <v>311</v>
      </c>
      <c r="I57" s="9" t="s">
        <v>243</v>
      </c>
      <c r="J57" s="9" t="s">
        <v>244</v>
      </c>
      <c r="K57" s="9" t="s">
        <v>245</v>
      </c>
      <c r="L57" s="9" t="s">
        <v>246</v>
      </c>
      <c r="M57" s="10" t="n">
        <v>2</v>
      </c>
      <c r="N57" s="10" t="n">
        <v>0</v>
      </c>
      <c r="O57" s="9" t="s">
        <v>97</v>
      </c>
    </row>
    <row r="58" customFormat="false" ht="23.85" hidden="false" customHeight="false" outlineLevel="0" collapsed="false">
      <c r="A58" s="9" t="s">
        <v>360</v>
      </c>
      <c r="B58" s="9" t="s">
        <v>91</v>
      </c>
      <c r="C58" s="9" t="s">
        <v>121</v>
      </c>
      <c r="D58" s="9" t="s">
        <v>247</v>
      </c>
      <c r="E58" s="9" t="s">
        <v>248</v>
      </c>
      <c r="F58" s="9" t="s">
        <v>301</v>
      </c>
      <c r="G58" s="9" t="s">
        <v>302</v>
      </c>
      <c r="H58" s="9" t="s">
        <v>303</v>
      </c>
      <c r="I58" s="9" t="s">
        <v>249</v>
      </c>
      <c r="J58" s="9" t="s">
        <v>250</v>
      </c>
      <c r="K58" s="9" t="s">
        <v>251</v>
      </c>
      <c r="L58" s="9" t="s">
        <v>252</v>
      </c>
      <c r="M58" s="10" t="n">
        <v>2</v>
      </c>
      <c r="N58" s="10" t="n">
        <v>0</v>
      </c>
      <c r="O58" s="9" t="s">
        <v>97</v>
      </c>
    </row>
    <row r="59" customFormat="false" ht="23.85" hidden="false" customHeight="false" outlineLevel="0" collapsed="false">
      <c r="A59" s="9" t="s">
        <v>361</v>
      </c>
      <c r="B59" s="9" t="s">
        <v>91</v>
      </c>
      <c r="C59" s="9" t="s">
        <v>121</v>
      </c>
      <c r="D59" s="9" t="s">
        <v>247</v>
      </c>
      <c r="E59" s="9" t="s">
        <v>248</v>
      </c>
      <c r="F59" s="9" t="s">
        <v>305</v>
      </c>
      <c r="G59" s="9" t="s">
        <v>306</v>
      </c>
      <c r="H59" s="9" t="s">
        <v>307</v>
      </c>
      <c r="I59" s="9" t="s">
        <v>249</v>
      </c>
      <c r="J59" s="9" t="s">
        <v>250</v>
      </c>
      <c r="K59" s="9" t="s">
        <v>251</v>
      </c>
      <c r="L59" s="9" t="s">
        <v>252</v>
      </c>
      <c r="M59" s="10" t="n">
        <v>2</v>
      </c>
      <c r="N59" s="10" t="n">
        <v>0</v>
      </c>
      <c r="O59" s="9" t="s">
        <v>97</v>
      </c>
    </row>
    <row r="60" customFormat="false" ht="23.85" hidden="false" customHeight="false" outlineLevel="0" collapsed="false">
      <c r="A60" s="9" t="s">
        <v>362</v>
      </c>
      <c r="B60" s="9" t="s">
        <v>91</v>
      </c>
      <c r="C60" s="9" t="s">
        <v>121</v>
      </c>
      <c r="D60" s="9" t="s">
        <v>247</v>
      </c>
      <c r="E60" s="9" t="s">
        <v>248</v>
      </c>
      <c r="F60" s="9" t="s">
        <v>309</v>
      </c>
      <c r="G60" s="9" t="s">
        <v>310</v>
      </c>
      <c r="H60" s="9" t="s">
        <v>311</v>
      </c>
      <c r="I60" s="9" t="s">
        <v>249</v>
      </c>
      <c r="J60" s="9" t="s">
        <v>250</v>
      </c>
      <c r="K60" s="9" t="s">
        <v>251</v>
      </c>
      <c r="L60" s="9" t="s">
        <v>252</v>
      </c>
      <c r="M60" s="10" t="n">
        <v>2</v>
      </c>
      <c r="N60" s="10" t="n">
        <v>0</v>
      </c>
      <c r="O60" s="9" t="s">
        <v>97</v>
      </c>
    </row>
    <row r="61" customFormat="false" ht="23.85" hidden="false" customHeight="false" outlineLevel="0" collapsed="false">
      <c r="A61" s="9" t="s">
        <v>363</v>
      </c>
      <c r="B61" s="9" t="s">
        <v>91</v>
      </c>
      <c r="C61" s="9" t="s">
        <v>121</v>
      </c>
      <c r="D61" s="9" t="s">
        <v>253</v>
      </c>
      <c r="E61" s="9" t="s">
        <v>254</v>
      </c>
      <c r="F61" s="9" t="s">
        <v>301</v>
      </c>
      <c r="G61" s="9" t="s">
        <v>302</v>
      </c>
      <c r="H61" s="9" t="s">
        <v>303</v>
      </c>
      <c r="I61" s="9" t="s">
        <v>255</v>
      </c>
      <c r="J61" s="9" t="s">
        <v>256</v>
      </c>
      <c r="K61" s="9" t="s">
        <v>257</v>
      </c>
      <c r="L61" s="9" t="s">
        <v>258</v>
      </c>
      <c r="M61" s="10" t="n">
        <v>2</v>
      </c>
      <c r="N61" s="10" t="n">
        <v>0</v>
      </c>
      <c r="O61" s="9" t="s">
        <v>97</v>
      </c>
    </row>
    <row r="62" customFormat="false" ht="23.85" hidden="false" customHeight="false" outlineLevel="0" collapsed="false">
      <c r="A62" s="9" t="s">
        <v>364</v>
      </c>
      <c r="B62" s="9" t="s">
        <v>91</v>
      </c>
      <c r="C62" s="9" t="s">
        <v>121</v>
      </c>
      <c r="D62" s="9" t="s">
        <v>253</v>
      </c>
      <c r="E62" s="9" t="s">
        <v>254</v>
      </c>
      <c r="F62" s="9" t="s">
        <v>305</v>
      </c>
      <c r="G62" s="9" t="s">
        <v>306</v>
      </c>
      <c r="H62" s="9" t="s">
        <v>307</v>
      </c>
      <c r="I62" s="9" t="s">
        <v>255</v>
      </c>
      <c r="J62" s="9" t="s">
        <v>256</v>
      </c>
      <c r="K62" s="9" t="s">
        <v>257</v>
      </c>
      <c r="L62" s="9" t="s">
        <v>258</v>
      </c>
      <c r="M62" s="10" t="n">
        <v>2</v>
      </c>
      <c r="N62" s="10" t="n">
        <v>0</v>
      </c>
      <c r="O62" s="9" t="s">
        <v>97</v>
      </c>
    </row>
    <row r="63" customFormat="false" ht="23.85" hidden="false" customHeight="false" outlineLevel="0" collapsed="false">
      <c r="A63" s="9" t="s">
        <v>365</v>
      </c>
      <c r="B63" s="9" t="s">
        <v>91</v>
      </c>
      <c r="C63" s="9" t="s">
        <v>121</v>
      </c>
      <c r="D63" s="9" t="s">
        <v>253</v>
      </c>
      <c r="E63" s="9" t="s">
        <v>254</v>
      </c>
      <c r="F63" s="9" t="s">
        <v>309</v>
      </c>
      <c r="G63" s="9" t="s">
        <v>310</v>
      </c>
      <c r="H63" s="9" t="s">
        <v>311</v>
      </c>
      <c r="I63" s="9" t="s">
        <v>255</v>
      </c>
      <c r="J63" s="9" t="s">
        <v>256</v>
      </c>
      <c r="K63" s="9" t="s">
        <v>257</v>
      </c>
      <c r="L63" s="9" t="s">
        <v>258</v>
      </c>
      <c r="M63" s="10" t="n">
        <v>2</v>
      </c>
      <c r="N63" s="10" t="n">
        <v>0</v>
      </c>
      <c r="O63" s="9" t="s">
        <v>97</v>
      </c>
    </row>
    <row r="64" customFormat="false" ht="23.85" hidden="false" customHeight="false" outlineLevel="0" collapsed="false">
      <c r="A64" s="9" t="s">
        <v>366</v>
      </c>
      <c r="B64" s="9" t="s">
        <v>91</v>
      </c>
      <c r="C64" s="9" t="s">
        <v>121</v>
      </c>
      <c r="D64" s="9" t="s">
        <v>259</v>
      </c>
      <c r="E64" s="9" t="s">
        <v>260</v>
      </c>
      <c r="F64" s="9" t="s">
        <v>301</v>
      </c>
      <c r="G64" s="9" t="s">
        <v>302</v>
      </c>
      <c r="H64" s="9" t="s">
        <v>303</v>
      </c>
      <c r="I64" s="9" t="s">
        <v>261</v>
      </c>
      <c r="J64" s="9" t="s">
        <v>262</v>
      </c>
      <c r="K64" s="9" t="s">
        <v>263</v>
      </c>
      <c r="L64" s="9" t="s">
        <v>264</v>
      </c>
      <c r="M64" s="10" t="n">
        <v>2</v>
      </c>
      <c r="N64" s="10" t="n">
        <v>0</v>
      </c>
      <c r="O64" s="9" t="s">
        <v>97</v>
      </c>
    </row>
    <row r="65" customFormat="false" ht="23.85" hidden="false" customHeight="false" outlineLevel="0" collapsed="false">
      <c r="A65" s="9" t="s">
        <v>367</v>
      </c>
      <c r="B65" s="9" t="s">
        <v>91</v>
      </c>
      <c r="C65" s="9" t="s">
        <v>121</v>
      </c>
      <c r="D65" s="9" t="s">
        <v>259</v>
      </c>
      <c r="E65" s="9" t="s">
        <v>260</v>
      </c>
      <c r="F65" s="9" t="s">
        <v>305</v>
      </c>
      <c r="G65" s="9" t="s">
        <v>306</v>
      </c>
      <c r="H65" s="9" t="s">
        <v>307</v>
      </c>
      <c r="I65" s="9" t="s">
        <v>261</v>
      </c>
      <c r="J65" s="9" t="s">
        <v>262</v>
      </c>
      <c r="K65" s="9" t="s">
        <v>263</v>
      </c>
      <c r="L65" s="9" t="s">
        <v>264</v>
      </c>
      <c r="M65" s="10" t="n">
        <v>2</v>
      </c>
      <c r="N65" s="10" t="n">
        <v>0</v>
      </c>
      <c r="O65" s="9" t="s">
        <v>97</v>
      </c>
    </row>
    <row r="66" customFormat="false" ht="23.85" hidden="false" customHeight="false" outlineLevel="0" collapsed="false">
      <c r="A66" s="9" t="s">
        <v>368</v>
      </c>
      <c r="B66" s="9" t="s">
        <v>91</v>
      </c>
      <c r="C66" s="9" t="s">
        <v>121</v>
      </c>
      <c r="D66" s="9" t="s">
        <v>259</v>
      </c>
      <c r="E66" s="9" t="s">
        <v>260</v>
      </c>
      <c r="F66" s="9" t="s">
        <v>309</v>
      </c>
      <c r="G66" s="9" t="s">
        <v>310</v>
      </c>
      <c r="H66" s="9" t="s">
        <v>311</v>
      </c>
      <c r="I66" s="9" t="s">
        <v>261</v>
      </c>
      <c r="J66" s="9" t="s">
        <v>262</v>
      </c>
      <c r="K66" s="9" t="s">
        <v>263</v>
      </c>
      <c r="L66" s="9" t="s">
        <v>264</v>
      </c>
      <c r="M66" s="10" t="n">
        <v>2</v>
      </c>
      <c r="N66" s="10" t="n">
        <v>0</v>
      </c>
      <c r="O66" s="9" t="s">
        <v>97</v>
      </c>
    </row>
    <row r="67" customFormat="false" ht="23.85" hidden="false" customHeight="false" outlineLevel="0" collapsed="false">
      <c r="A67" s="9" t="s">
        <v>369</v>
      </c>
      <c r="B67" s="9" t="s">
        <v>91</v>
      </c>
      <c r="C67" s="9" t="s">
        <v>128</v>
      </c>
      <c r="D67" s="9" t="s">
        <v>265</v>
      </c>
      <c r="E67" s="9" t="s">
        <v>266</v>
      </c>
      <c r="F67" s="9" t="s">
        <v>301</v>
      </c>
      <c r="G67" s="9" t="s">
        <v>302</v>
      </c>
      <c r="H67" s="9" t="s">
        <v>303</v>
      </c>
      <c r="I67" s="9" t="s">
        <v>267</v>
      </c>
      <c r="J67" s="9" t="s">
        <v>268</v>
      </c>
      <c r="K67" s="9" t="s">
        <v>269</v>
      </c>
      <c r="L67" s="9" t="s">
        <v>270</v>
      </c>
      <c r="M67" s="10" t="n">
        <v>2</v>
      </c>
      <c r="N67" s="10" t="n">
        <v>0</v>
      </c>
      <c r="O67" s="9" t="s">
        <v>97</v>
      </c>
    </row>
    <row r="68" customFormat="false" ht="23.85" hidden="false" customHeight="false" outlineLevel="0" collapsed="false">
      <c r="A68" s="9" t="s">
        <v>370</v>
      </c>
      <c r="B68" s="9" t="s">
        <v>91</v>
      </c>
      <c r="C68" s="9" t="s">
        <v>128</v>
      </c>
      <c r="D68" s="9" t="s">
        <v>265</v>
      </c>
      <c r="E68" s="9" t="s">
        <v>266</v>
      </c>
      <c r="F68" s="9" t="s">
        <v>305</v>
      </c>
      <c r="G68" s="9" t="s">
        <v>306</v>
      </c>
      <c r="H68" s="9" t="s">
        <v>307</v>
      </c>
      <c r="I68" s="9" t="s">
        <v>267</v>
      </c>
      <c r="J68" s="9" t="s">
        <v>268</v>
      </c>
      <c r="K68" s="9" t="s">
        <v>269</v>
      </c>
      <c r="L68" s="9" t="s">
        <v>270</v>
      </c>
      <c r="M68" s="10" t="n">
        <v>2</v>
      </c>
      <c r="N68" s="10" t="n">
        <v>0</v>
      </c>
      <c r="O68" s="9" t="s">
        <v>97</v>
      </c>
    </row>
    <row r="69" customFormat="false" ht="23.85" hidden="false" customHeight="false" outlineLevel="0" collapsed="false">
      <c r="A69" s="9" t="s">
        <v>371</v>
      </c>
      <c r="B69" s="9" t="s">
        <v>91</v>
      </c>
      <c r="C69" s="9" t="s">
        <v>128</v>
      </c>
      <c r="D69" s="9" t="s">
        <v>265</v>
      </c>
      <c r="E69" s="9" t="s">
        <v>266</v>
      </c>
      <c r="F69" s="9" t="s">
        <v>309</v>
      </c>
      <c r="G69" s="9" t="s">
        <v>310</v>
      </c>
      <c r="H69" s="9" t="s">
        <v>311</v>
      </c>
      <c r="I69" s="9" t="s">
        <v>267</v>
      </c>
      <c r="J69" s="9" t="s">
        <v>268</v>
      </c>
      <c r="K69" s="9" t="s">
        <v>269</v>
      </c>
      <c r="L69" s="9" t="s">
        <v>270</v>
      </c>
      <c r="M69" s="10" t="n">
        <v>2</v>
      </c>
      <c r="N69" s="10" t="n">
        <v>0</v>
      </c>
      <c r="O69" s="9" t="s">
        <v>97</v>
      </c>
    </row>
    <row r="70" customFormat="false" ht="23.85" hidden="false" customHeight="false" outlineLevel="0" collapsed="false">
      <c r="A70" s="9" t="s">
        <v>372</v>
      </c>
      <c r="B70" s="9" t="s">
        <v>91</v>
      </c>
      <c r="C70" s="9" t="s">
        <v>128</v>
      </c>
      <c r="D70" s="9" t="s">
        <v>271</v>
      </c>
      <c r="E70" s="9" t="s">
        <v>272</v>
      </c>
      <c r="F70" s="9" t="s">
        <v>301</v>
      </c>
      <c r="G70" s="9" t="s">
        <v>302</v>
      </c>
      <c r="H70" s="9" t="s">
        <v>303</v>
      </c>
      <c r="I70" s="9" t="s">
        <v>273</v>
      </c>
      <c r="J70" s="9" t="s">
        <v>274</v>
      </c>
      <c r="K70" s="9" t="s">
        <v>275</v>
      </c>
      <c r="L70" s="9" t="s">
        <v>276</v>
      </c>
      <c r="M70" s="10" t="n">
        <v>2</v>
      </c>
      <c r="N70" s="10" t="n">
        <v>0</v>
      </c>
      <c r="O70" s="9" t="s">
        <v>97</v>
      </c>
    </row>
    <row r="71" customFormat="false" ht="23.85" hidden="false" customHeight="false" outlineLevel="0" collapsed="false">
      <c r="A71" s="9" t="s">
        <v>373</v>
      </c>
      <c r="B71" s="9" t="s">
        <v>91</v>
      </c>
      <c r="C71" s="9" t="s">
        <v>128</v>
      </c>
      <c r="D71" s="9" t="s">
        <v>271</v>
      </c>
      <c r="E71" s="9" t="s">
        <v>272</v>
      </c>
      <c r="F71" s="9" t="s">
        <v>305</v>
      </c>
      <c r="G71" s="9" t="s">
        <v>306</v>
      </c>
      <c r="H71" s="9" t="s">
        <v>307</v>
      </c>
      <c r="I71" s="9" t="s">
        <v>273</v>
      </c>
      <c r="J71" s="9" t="s">
        <v>274</v>
      </c>
      <c r="K71" s="9" t="s">
        <v>275</v>
      </c>
      <c r="L71" s="9" t="s">
        <v>276</v>
      </c>
      <c r="M71" s="10" t="n">
        <v>2</v>
      </c>
      <c r="N71" s="10" t="n">
        <v>0</v>
      </c>
      <c r="O71" s="9" t="s">
        <v>97</v>
      </c>
    </row>
    <row r="72" customFormat="false" ht="23.85" hidden="false" customHeight="false" outlineLevel="0" collapsed="false">
      <c r="A72" s="9" t="s">
        <v>374</v>
      </c>
      <c r="B72" s="9" t="s">
        <v>91</v>
      </c>
      <c r="C72" s="9" t="s">
        <v>128</v>
      </c>
      <c r="D72" s="9" t="s">
        <v>271</v>
      </c>
      <c r="E72" s="9" t="s">
        <v>272</v>
      </c>
      <c r="F72" s="9" t="s">
        <v>309</v>
      </c>
      <c r="G72" s="9" t="s">
        <v>310</v>
      </c>
      <c r="H72" s="9" t="s">
        <v>311</v>
      </c>
      <c r="I72" s="9" t="s">
        <v>273</v>
      </c>
      <c r="J72" s="9" t="s">
        <v>274</v>
      </c>
      <c r="K72" s="9" t="s">
        <v>275</v>
      </c>
      <c r="L72" s="9" t="s">
        <v>276</v>
      </c>
      <c r="M72" s="10" t="n">
        <v>2</v>
      </c>
      <c r="N72" s="10" t="n">
        <v>0</v>
      </c>
      <c r="O72" s="9" t="s">
        <v>97</v>
      </c>
    </row>
    <row r="73" customFormat="false" ht="23.85" hidden="false" customHeight="false" outlineLevel="0" collapsed="false">
      <c r="A73" s="9" t="s">
        <v>375</v>
      </c>
      <c r="B73" s="9" t="s">
        <v>91</v>
      </c>
      <c r="C73" s="9" t="s">
        <v>128</v>
      </c>
      <c r="D73" s="9" t="s">
        <v>277</v>
      </c>
      <c r="E73" s="9" t="s">
        <v>278</v>
      </c>
      <c r="F73" s="9" t="s">
        <v>301</v>
      </c>
      <c r="G73" s="9" t="s">
        <v>302</v>
      </c>
      <c r="H73" s="9" t="s">
        <v>303</v>
      </c>
      <c r="I73" s="9" t="s">
        <v>279</v>
      </c>
      <c r="J73" s="9" t="s">
        <v>280</v>
      </c>
      <c r="K73" s="9" t="s">
        <v>281</v>
      </c>
      <c r="L73" s="9" t="s">
        <v>282</v>
      </c>
      <c r="M73" s="10" t="n">
        <v>2</v>
      </c>
      <c r="N73" s="10" t="n">
        <v>0</v>
      </c>
      <c r="O73" s="9" t="s">
        <v>97</v>
      </c>
    </row>
    <row r="74" customFormat="false" ht="23.85" hidden="false" customHeight="false" outlineLevel="0" collapsed="false">
      <c r="A74" s="9" t="s">
        <v>376</v>
      </c>
      <c r="B74" s="9" t="s">
        <v>91</v>
      </c>
      <c r="C74" s="9" t="s">
        <v>128</v>
      </c>
      <c r="D74" s="9" t="s">
        <v>277</v>
      </c>
      <c r="E74" s="9" t="s">
        <v>278</v>
      </c>
      <c r="F74" s="9" t="s">
        <v>305</v>
      </c>
      <c r="G74" s="9" t="s">
        <v>306</v>
      </c>
      <c r="H74" s="9" t="s">
        <v>307</v>
      </c>
      <c r="I74" s="9" t="s">
        <v>279</v>
      </c>
      <c r="J74" s="9" t="s">
        <v>280</v>
      </c>
      <c r="K74" s="9" t="s">
        <v>281</v>
      </c>
      <c r="L74" s="9" t="s">
        <v>282</v>
      </c>
      <c r="M74" s="10" t="n">
        <v>2</v>
      </c>
      <c r="N74" s="10" t="n">
        <v>0</v>
      </c>
      <c r="O74" s="9" t="s">
        <v>97</v>
      </c>
    </row>
    <row r="75" customFormat="false" ht="23.85" hidden="false" customHeight="false" outlineLevel="0" collapsed="false">
      <c r="A75" s="9" t="s">
        <v>377</v>
      </c>
      <c r="B75" s="9" t="s">
        <v>91</v>
      </c>
      <c r="C75" s="9" t="s">
        <v>128</v>
      </c>
      <c r="D75" s="9" t="s">
        <v>277</v>
      </c>
      <c r="E75" s="9" t="s">
        <v>278</v>
      </c>
      <c r="F75" s="9" t="s">
        <v>309</v>
      </c>
      <c r="G75" s="9" t="s">
        <v>310</v>
      </c>
      <c r="H75" s="9" t="s">
        <v>311</v>
      </c>
      <c r="I75" s="9" t="s">
        <v>279</v>
      </c>
      <c r="J75" s="9" t="s">
        <v>280</v>
      </c>
      <c r="K75" s="9" t="s">
        <v>281</v>
      </c>
      <c r="L75" s="9" t="s">
        <v>282</v>
      </c>
      <c r="M75" s="10" t="n">
        <v>2</v>
      </c>
      <c r="N75" s="10" t="n">
        <v>0</v>
      </c>
      <c r="O75" s="9" t="s">
        <v>97</v>
      </c>
    </row>
    <row r="76" customFormat="false" ht="23.85" hidden="false" customHeight="false" outlineLevel="0" collapsed="false">
      <c r="A76" s="9" t="s">
        <v>378</v>
      </c>
      <c r="B76" s="9" t="s">
        <v>91</v>
      </c>
      <c r="C76" s="9" t="s">
        <v>128</v>
      </c>
      <c r="D76" s="9" t="s">
        <v>283</v>
      </c>
      <c r="E76" s="9" t="s">
        <v>284</v>
      </c>
      <c r="F76" s="9" t="s">
        <v>301</v>
      </c>
      <c r="G76" s="9" t="s">
        <v>302</v>
      </c>
      <c r="H76" s="9" t="s">
        <v>303</v>
      </c>
      <c r="I76" s="9" t="s">
        <v>285</v>
      </c>
      <c r="J76" s="9" t="s">
        <v>286</v>
      </c>
      <c r="K76" s="9" t="s">
        <v>287</v>
      </c>
      <c r="L76" s="9" t="s">
        <v>288</v>
      </c>
      <c r="M76" s="10" t="n">
        <v>2</v>
      </c>
      <c r="N76" s="10" t="n">
        <v>0</v>
      </c>
      <c r="O76" s="9" t="s">
        <v>97</v>
      </c>
    </row>
    <row r="77" customFormat="false" ht="23.85" hidden="false" customHeight="false" outlineLevel="0" collapsed="false">
      <c r="A77" s="9" t="s">
        <v>379</v>
      </c>
      <c r="B77" s="9" t="s">
        <v>91</v>
      </c>
      <c r="C77" s="9" t="s">
        <v>128</v>
      </c>
      <c r="D77" s="9" t="s">
        <v>283</v>
      </c>
      <c r="E77" s="9" t="s">
        <v>284</v>
      </c>
      <c r="F77" s="9" t="s">
        <v>305</v>
      </c>
      <c r="G77" s="9" t="s">
        <v>306</v>
      </c>
      <c r="H77" s="9" t="s">
        <v>307</v>
      </c>
      <c r="I77" s="9" t="s">
        <v>285</v>
      </c>
      <c r="J77" s="9" t="s">
        <v>286</v>
      </c>
      <c r="K77" s="9" t="s">
        <v>287</v>
      </c>
      <c r="L77" s="9" t="s">
        <v>288</v>
      </c>
      <c r="M77" s="10" t="n">
        <v>2</v>
      </c>
      <c r="N77" s="10" t="n">
        <v>0</v>
      </c>
      <c r="O77" s="9" t="s">
        <v>97</v>
      </c>
    </row>
    <row r="78" customFormat="false" ht="23.85" hidden="false" customHeight="false" outlineLevel="0" collapsed="false">
      <c r="A78" s="9" t="s">
        <v>380</v>
      </c>
      <c r="B78" s="9" t="s">
        <v>91</v>
      </c>
      <c r="C78" s="9" t="s">
        <v>128</v>
      </c>
      <c r="D78" s="9" t="s">
        <v>283</v>
      </c>
      <c r="E78" s="9" t="s">
        <v>284</v>
      </c>
      <c r="F78" s="9" t="s">
        <v>309</v>
      </c>
      <c r="G78" s="9" t="s">
        <v>310</v>
      </c>
      <c r="H78" s="9" t="s">
        <v>311</v>
      </c>
      <c r="I78" s="9" t="s">
        <v>285</v>
      </c>
      <c r="J78" s="9" t="s">
        <v>286</v>
      </c>
      <c r="K78" s="9" t="s">
        <v>287</v>
      </c>
      <c r="L78" s="9" t="s">
        <v>288</v>
      </c>
      <c r="M78" s="10" t="n">
        <v>2</v>
      </c>
      <c r="N78" s="10" t="n">
        <v>0</v>
      </c>
      <c r="O78" s="9" t="s">
        <v>97</v>
      </c>
    </row>
  </sheetData>
  <conditionalFormatting sqref="O7:O78">
    <cfRule type="containsText" priority="2" operator="containsText" aboveAverage="0" equalAverage="0" bottom="0" percent="0" rank="0" text="FROZEN" dxfId="3">
      <formula>NOT(ISERROR(SEARCH("FROZEN",O7)))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30"/>
    <col collapsed="false" customWidth="true" hidden="false" outlineLevel="0" max="6" min="6" style="0" width="61"/>
    <col collapsed="false" customWidth="true" hidden="false" outlineLevel="0" max="11" min="7" style="0" width="18"/>
    <col collapsed="false" customWidth="true" hidden="false" outlineLevel="0" max="12" min="12" style="0" width="22"/>
    <col collapsed="false" customWidth="true" hidden="false" outlineLevel="0" max="14" min="13" style="0" width="20"/>
    <col collapsed="false" customWidth="true" hidden="false" outlineLevel="0" max="17" min="15" style="0" width="18"/>
    <col collapsed="false" customWidth="true" hidden="false" outlineLevel="0" max="18" min="18" style="0" width="58"/>
  </cols>
  <sheetData>
    <row r="2" customFormat="false" ht="24" hidden="false" customHeight="true" outlineLevel="0" collapsed="false">
      <c r="A2" s="1" t="s">
        <v>381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8" hidden="false" customHeight="true" outlineLevel="0" collapsed="false">
      <c r="A3" s="3" t="s">
        <v>382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customFormat="false" ht="15" hidden="false" customHeight="false" outlineLevel="0" collapsed="false">
      <c r="A6" s="8" t="s">
        <v>383</v>
      </c>
      <c r="B6" s="8" t="s">
        <v>384</v>
      </c>
      <c r="C6" s="8" t="s">
        <v>77</v>
      </c>
      <c r="D6" s="8" t="s">
        <v>79</v>
      </c>
      <c r="E6" s="8" t="s">
        <v>385</v>
      </c>
      <c r="F6" s="8" t="s">
        <v>386</v>
      </c>
      <c r="G6" s="8" t="s">
        <v>387</v>
      </c>
      <c r="H6" s="8" t="s">
        <v>83</v>
      </c>
      <c r="I6" s="8" t="s">
        <v>388</v>
      </c>
      <c r="J6" s="8" t="s">
        <v>389</v>
      </c>
      <c r="K6" s="8" t="s">
        <v>390</v>
      </c>
      <c r="L6" s="8" t="s">
        <v>391</v>
      </c>
      <c r="M6" s="8" t="s">
        <v>392</v>
      </c>
      <c r="N6" s="8" t="s">
        <v>393</v>
      </c>
      <c r="O6" s="8" t="s">
        <v>394</v>
      </c>
      <c r="P6" s="8" t="s">
        <v>88</v>
      </c>
      <c r="Q6" s="8" t="s">
        <v>42</v>
      </c>
      <c r="R6" s="8" t="s">
        <v>395</v>
      </c>
    </row>
    <row r="7" customFormat="false" ht="15" hidden="false" customHeight="false" outlineLevel="0" collapsed="false">
      <c r="A7" s="9" t="s">
        <v>396</v>
      </c>
      <c r="B7" s="9" t="s">
        <v>397</v>
      </c>
      <c r="C7" s="9" t="s">
        <v>92</v>
      </c>
      <c r="D7" s="9" t="s">
        <v>94</v>
      </c>
      <c r="E7" s="9" t="s">
        <v>398</v>
      </c>
      <c r="F7" s="9" t="s">
        <v>399</v>
      </c>
      <c r="G7" s="9" t="s">
        <v>91</v>
      </c>
      <c r="H7" s="9" t="n">
        <v>12</v>
      </c>
      <c r="I7" s="9" t="n">
        <v>2</v>
      </c>
      <c r="J7" s="9" t="n">
        <v>48</v>
      </c>
      <c r="K7" s="9" t="n">
        <v>7</v>
      </c>
      <c r="L7" s="9" t="s">
        <v>400</v>
      </c>
      <c r="M7" s="9" t="s">
        <v>401</v>
      </c>
      <c r="N7" s="9" t="s">
        <v>402</v>
      </c>
      <c r="O7" s="9" t="n">
        <v>0</v>
      </c>
      <c r="P7" s="9" t="n">
        <v>0</v>
      </c>
      <c r="Q7" s="9" t="n">
        <v>0</v>
      </c>
      <c r="R7" s="9" t="s">
        <v>98</v>
      </c>
    </row>
    <row r="8" customFormat="false" ht="15" hidden="false" customHeight="false" outlineLevel="0" collapsed="false">
      <c r="A8" s="9" t="s">
        <v>403</v>
      </c>
      <c r="B8" s="9" t="s">
        <v>404</v>
      </c>
      <c r="C8" s="9" t="s">
        <v>92</v>
      </c>
      <c r="D8" s="9" t="s">
        <v>94</v>
      </c>
      <c r="E8" s="9" t="s">
        <v>405</v>
      </c>
      <c r="F8" s="9" t="s">
        <v>406</v>
      </c>
      <c r="G8" s="9" t="s">
        <v>91</v>
      </c>
      <c r="H8" s="9" t="n">
        <v>12</v>
      </c>
      <c r="I8" s="9" t="n">
        <v>2</v>
      </c>
      <c r="J8" s="9" t="n">
        <v>48</v>
      </c>
      <c r="K8" s="9" t="n">
        <v>7</v>
      </c>
      <c r="L8" s="9" t="s">
        <v>400</v>
      </c>
      <c r="M8" s="9" t="s">
        <v>401</v>
      </c>
      <c r="N8" s="9" t="s">
        <v>402</v>
      </c>
      <c r="O8" s="9" t="n">
        <v>0</v>
      </c>
      <c r="P8" s="9" t="n">
        <v>0</v>
      </c>
      <c r="Q8" s="9" t="n">
        <v>0</v>
      </c>
      <c r="R8" s="9" t="s">
        <v>98</v>
      </c>
    </row>
    <row r="9" customFormat="false" ht="15" hidden="false" customHeight="false" outlineLevel="0" collapsed="false">
      <c r="A9" s="9" t="s">
        <v>407</v>
      </c>
      <c r="B9" s="9" t="s">
        <v>408</v>
      </c>
      <c r="C9" s="9" t="s">
        <v>92</v>
      </c>
      <c r="D9" s="9" t="s">
        <v>94</v>
      </c>
      <c r="E9" s="9" t="s">
        <v>409</v>
      </c>
      <c r="F9" s="9" t="s">
        <v>410</v>
      </c>
      <c r="G9" s="9" t="s">
        <v>91</v>
      </c>
      <c r="H9" s="9" t="n">
        <v>12</v>
      </c>
      <c r="I9" s="9" t="n">
        <v>2</v>
      </c>
      <c r="J9" s="9" t="n">
        <v>48</v>
      </c>
      <c r="K9" s="9" t="n">
        <v>7</v>
      </c>
      <c r="L9" s="9" t="s">
        <v>400</v>
      </c>
      <c r="M9" s="9" t="s">
        <v>401</v>
      </c>
      <c r="N9" s="9" t="s">
        <v>402</v>
      </c>
      <c r="O9" s="9" t="n">
        <v>0</v>
      </c>
      <c r="P9" s="9" t="n">
        <v>0</v>
      </c>
      <c r="Q9" s="9" t="n">
        <v>0</v>
      </c>
      <c r="R9" s="9" t="s">
        <v>98</v>
      </c>
    </row>
    <row r="10" customFormat="false" ht="15" hidden="false" customHeight="false" outlineLevel="0" collapsed="false">
      <c r="A10" s="9" t="s">
        <v>411</v>
      </c>
      <c r="B10" s="9" t="s">
        <v>412</v>
      </c>
      <c r="C10" s="9" t="s">
        <v>92</v>
      </c>
      <c r="D10" s="9" t="s">
        <v>94</v>
      </c>
      <c r="E10" s="9" t="s">
        <v>413</v>
      </c>
      <c r="F10" s="9" t="s">
        <v>414</v>
      </c>
      <c r="G10" s="9" t="s">
        <v>91</v>
      </c>
      <c r="H10" s="9" t="n">
        <v>12</v>
      </c>
      <c r="I10" s="9" t="n">
        <v>2</v>
      </c>
      <c r="J10" s="9" t="n">
        <v>48</v>
      </c>
      <c r="K10" s="9" t="n">
        <v>7</v>
      </c>
      <c r="L10" s="9" t="s">
        <v>400</v>
      </c>
      <c r="M10" s="9" t="s">
        <v>401</v>
      </c>
      <c r="N10" s="9" t="s">
        <v>402</v>
      </c>
      <c r="O10" s="9" t="n">
        <v>0</v>
      </c>
      <c r="P10" s="9" t="n">
        <v>0</v>
      </c>
      <c r="Q10" s="9" t="n">
        <v>0</v>
      </c>
      <c r="R10" s="9" t="s">
        <v>98</v>
      </c>
    </row>
    <row r="11" customFormat="false" ht="23.85" hidden="false" customHeight="false" outlineLevel="0" collapsed="false">
      <c r="A11" s="9" t="s">
        <v>415</v>
      </c>
      <c r="B11" s="9" t="s">
        <v>416</v>
      </c>
      <c r="C11" s="9" t="s">
        <v>100</v>
      </c>
      <c r="D11" s="9" t="s">
        <v>102</v>
      </c>
      <c r="E11" s="9" t="s">
        <v>417</v>
      </c>
      <c r="F11" s="9" t="s">
        <v>418</v>
      </c>
      <c r="G11" s="9" t="s">
        <v>91</v>
      </c>
      <c r="H11" s="9" t="n">
        <v>12</v>
      </c>
      <c r="I11" s="9" t="n">
        <v>2</v>
      </c>
      <c r="J11" s="9" t="n">
        <v>48</v>
      </c>
      <c r="K11" s="9" t="n">
        <v>7</v>
      </c>
      <c r="L11" s="9" t="s">
        <v>400</v>
      </c>
      <c r="M11" s="9" t="s">
        <v>401</v>
      </c>
      <c r="N11" s="9" t="s">
        <v>402</v>
      </c>
      <c r="O11" s="9" t="n">
        <v>0</v>
      </c>
      <c r="P11" s="9" t="n">
        <v>0</v>
      </c>
      <c r="Q11" s="9" t="n">
        <v>0</v>
      </c>
      <c r="R11" s="9" t="s">
        <v>105</v>
      </c>
    </row>
    <row r="12" customFormat="false" ht="23.85" hidden="false" customHeight="false" outlineLevel="0" collapsed="false">
      <c r="A12" s="9" t="s">
        <v>419</v>
      </c>
      <c r="B12" s="9" t="s">
        <v>420</v>
      </c>
      <c r="C12" s="9" t="s">
        <v>100</v>
      </c>
      <c r="D12" s="9" t="s">
        <v>102</v>
      </c>
      <c r="E12" s="9" t="s">
        <v>421</v>
      </c>
      <c r="F12" s="9" t="s">
        <v>422</v>
      </c>
      <c r="G12" s="9" t="s">
        <v>91</v>
      </c>
      <c r="H12" s="9" t="n">
        <v>12</v>
      </c>
      <c r="I12" s="9" t="n">
        <v>2</v>
      </c>
      <c r="J12" s="9" t="n">
        <v>48</v>
      </c>
      <c r="K12" s="9" t="n">
        <v>7</v>
      </c>
      <c r="L12" s="9" t="s">
        <v>400</v>
      </c>
      <c r="M12" s="9" t="s">
        <v>401</v>
      </c>
      <c r="N12" s="9" t="s">
        <v>402</v>
      </c>
      <c r="O12" s="9" t="n">
        <v>0</v>
      </c>
      <c r="P12" s="9" t="n">
        <v>0</v>
      </c>
      <c r="Q12" s="9" t="n">
        <v>0</v>
      </c>
      <c r="R12" s="9" t="s">
        <v>105</v>
      </c>
    </row>
    <row r="13" customFormat="false" ht="23.85" hidden="false" customHeight="false" outlineLevel="0" collapsed="false">
      <c r="A13" s="9" t="s">
        <v>423</v>
      </c>
      <c r="B13" s="9" t="s">
        <v>424</v>
      </c>
      <c r="C13" s="9" t="s">
        <v>100</v>
      </c>
      <c r="D13" s="9" t="s">
        <v>102</v>
      </c>
      <c r="E13" s="9" t="s">
        <v>425</v>
      </c>
      <c r="F13" s="9" t="s">
        <v>426</v>
      </c>
      <c r="G13" s="9" t="s">
        <v>91</v>
      </c>
      <c r="H13" s="9" t="n">
        <v>12</v>
      </c>
      <c r="I13" s="9" t="n">
        <v>2</v>
      </c>
      <c r="J13" s="9" t="n">
        <v>48</v>
      </c>
      <c r="K13" s="9" t="n">
        <v>7</v>
      </c>
      <c r="L13" s="9" t="s">
        <v>400</v>
      </c>
      <c r="M13" s="9" t="s">
        <v>401</v>
      </c>
      <c r="N13" s="9" t="s">
        <v>402</v>
      </c>
      <c r="O13" s="9" t="n">
        <v>0</v>
      </c>
      <c r="P13" s="9" t="n">
        <v>0</v>
      </c>
      <c r="Q13" s="9" t="n">
        <v>0</v>
      </c>
      <c r="R13" s="9" t="s">
        <v>105</v>
      </c>
    </row>
    <row r="14" customFormat="false" ht="23.85" hidden="false" customHeight="false" outlineLevel="0" collapsed="false">
      <c r="A14" s="9" t="s">
        <v>427</v>
      </c>
      <c r="B14" s="9" t="s">
        <v>428</v>
      </c>
      <c r="C14" s="9" t="s">
        <v>100</v>
      </c>
      <c r="D14" s="9" t="s">
        <v>102</v>
      </c>
      <c r="E14" s="9" t="s">
        <v>429</v>
      </c>
      <c r="F14" s="9" t="s">
        <v>430</v>
      </c>
      <c r="G14" s="9" t="s">
        <v>91</v>
      </c>
      <c r="H14" s="9" t="n">
        <v>12</v>
      </c>
      <c r="I14" s="9" t="n">
        <v>2</v>
      </c>
      <c r="J14" s="9" t="n">
        <v>48</v>
      </c>
      <c r="K14" s="9" t="n">
        <v>7</v>
      </c>
      <c r="L14" s="9" t="s">
        <v>400</v>
      </c>
      <c r="M14" s="9" t="s">
        <v>401</v>
      </c>
      <c r="N14" s="9" t="s">
        <v>402</v>
      </c>
      <c r="O14" s="9" t="n">
        <v>0</v>
      </c>
      <c r="P14" s="9" t="n">
        <v>0</v>
      </c>
      <c r="Q14" s="9" t="n">
        <v>0</v>
      </c>
      <c r="R14" s="9" t="s">
        <v>105</v>
      </c>
    </row>
    <row r="15" customFormat="false" ht="23.85" hidden="false" customHeight="false" outlineLevel="0" collapsed="false">
      <c r="A15" s="9" t="s">
        <v>431</v>
      </c>
      <c r="B15" s="9" t="s">
        <v>432</v>
      </c>
      <c r="C15" s="9" t="s">
        <v>107</v>
      </c>
      <c r="D15" s="9" t="s">
        <v>109</v>
      </c>
      <c r="E15" s="9" t="s">
        <v>433</v>
      </c>
      <c r="F15" s="9" t="s">
        <v>434</v>
      </c>
      <c r="G15" s="9" t="s">
        <v>91</v>
      </c>
      <c r="H15" s="9" t="n">
        <v>12</v>
      </c>
      <c r="I15" s="9" t="n">
        <v>2</v>
      </c>
      <c r="J15" s="9" t="n">
        <v>48</v>
      </c>
      <c r="K15" s="9" t="n">
        <v>7</v>
      </c>
      <c r="L15" s="9" t="s">
        <v>400</v>
      </c>
      <c r="M15" s="9" t="s">
        <v>401</v>
      </c>
      <c r="N15" s="9" t="s">
        <v>402</v>
      </c>
      <c r="O15" s="9" t="n">
        <v>0</v>
      </c>
      <c r="P15" s="9" t="n">
        <v>0</v>
      </c>
      <c r="Q15" s="9" t="n">
        <v>0</v>
      </c>
      <c r="R15" s="9" t="s">
        <v>112</v>
      </c>
    </row>
    <row r="16" customFormat="false" ht="23.85" hidden="false" customHeight="false" outlineLevel="0" collapsed="false">
      <c r="A16" s="9" t="s">
        <v>435</v>
      </c>
      <c r="B16" s="9" t="s">
        <v>436</v>
      </c>
      <c r="C16" s="9" t="s">
        <v>107</v>
      </c>
      <c r="D16" s="9" t="s">
        <v>109</v>
      </c>
      <c r="E16" s="9" t="s">
        <v>437</v>
      </c>
      <c r="F16" s="9" t="s">
        <v>438</v>
      </c>
      <c r="G16" s="9" t="s">
        <v>91</v>
      </c>
      <c r="H16" s="9" t="n">
        <v>12</v>
      </c>
      <c r="I16" s="9" t="n">
        <v>2</v>
      </c>
      <c r="J16" s="9" t="n">
        <v>48</v>
      </c>
      <c r="K16" s="9" t="n">
        <v>7</v>
      </c>
      <c r="L16" s="9" t="s">
        <v>400</v>
      </c>
      <c r="M16" s="9" t="s">
        <v>401</v>
      </c>
      <c r="N16" s="9" t="s">
        <v>402</v>
      </c>
      <c r="O16" s="9" t="n">
        <v>0</v>
      </c>
      <c r="P16" s="9" t="n">
        <v>0</v>
      </c>
      <c r="Q16" s="9" t="n">
        <v>0</v>
      </c>
      <c r="R16" s="9" t="s">
        <v>112</v>
      </c>
    </row>
    <row r="17" customFormat="false" ht="23.85" hidden="false" customHeight="false" outlineLevel="0" collapsed="false">
      <c r="A17" s="9" t="s">
        <v>439</v>
      </c>
      <c r="B17" s="9" t="s">
        <v>440</v>
      </c>
      <c r="C17" s="9" t="s">
        <v>107</v>
      </c>
      <c r="D17" s="9" t="s">
        <v>109</v>
      </c>
      <c r="E17" s="9" t="s">
        <v>441</v>
      </c>
      <c r="F17" s="9" t="s">
        <v>442</v>
      </c>
      <c r="G17" s="9" t="s">
        <v>91</v>
      </c>
      <c r="H17" s="9" t="n">
        <v>12</v>
      </c>
      <c r="I17" s="9" t="n">
        <v>2</v>
      </c>
      <c r="J17" s="9" t="n">
        <v>48</v>
      </c>
      <c r="K17" s="9" t="n">
        <v>7</v>
      </c>
      <c r="L17" s="9" t="s">
        <v>400</v>
      </c>
      <c r="M17" s="9" t="s">
        <v>401</v>
      </c>
      <c r="N17" s="9" t="s">
        <v>402</v>
      </c>
      <c r="O17" s="9" t="n">
        <v>0</v>
      </c>
      <c r="P17" s="9" t="n">
        <v>0</v>
      </c>
      <c r="Q17" s="9" t="n">
        <v>0</v>
      </c>
      <c r="R17" s="9" t="s">
        <v>112</v>
      </c>
    </row>
    <row r="18" customFormat="false" ht="23.85" hidden="false" customHeight="false" outlineLevel="0" collapsed="false">
      <c r="A18" s="9" t="s">
        <v>443</v>
      </c>
      <c r="B18" s="9" t="s">
        <v>444</v>
      </c>
      <c r="C18" s="9" t="s">
        <v>107</v>
      </c>
      <c r="D18" s="9" t="s">
        <v>109</v>
      </c>
      <c r="E18" s="9" t="s">
        <v>445</v>
      </c>
      <c r="F18" s="9" t="s">
        <v>446</v>
      </c>
      <c r="G18" s="9" t="s">
        <v>91</v>
      </c>
      <c r="H18" s="9" t="n">
        <v>12</v>
      </c>
      <c r="I18" s="9" t="n">
        <v>2</v>
      </c>
      <c r="J18" s="9" t="n">
        <v>48</v>
      </c>
      <c r="K18" s="9" t="n">
        <v>7</v>
      </c>
      <c r="L18" s="9" t="s">
        <v>400</v>
      </c>
      <c r="M18" s="9" t="s">
        <v>401</v>
      </c>
      <c r="N18" s="9" t="s">
        <v>402</v>
      </c>
      <c r="O18" s="9" t="n">
        <v>0</v>
      </c>
      <c r="P18" s="9" t="n">
        <v>0</v>
      </c>
      <c r="Q18" s="9" t="n">
        <v>0</v>
      </c>
      <c r="R18" s="9" t="s">
        <v>112</v>
      </c>
    </row>
    <row r="19" customFormat="false" ht="23.85" hidden="false" customHeight="false" outlineLevel="0" collapsed="false">
      <c r="A19" s="9" t="s">
        <v>447</v>
      </c>
      <c r="B19" s="9" t="s">
        <v>448</v>
      </c>
      <c r="C19" s="9" t="s">
        <v>114</v>
      </c>
      <c r="D19" s="9" t="s">
        <v>116</v>
      </c>
      <c r="E19" s="9" t="s">
        <v>449</v>
      </c>
      <c r="F19" s="9" t="s">
        <v>450</v>
      </c>
      <c r="G19" s="9" t="s">
        <v>91</v>
      </c>
      <c r="H19" s="9" t="n">
        <v>12</v>
      </c>
      <c r="I19" s="9" t="n">
        <v>2</v>
      </c>
      <c r="J19" s="9" t="n">
        <v>48</v>
      </c>
      <c r="K19" s="9" t="n">
        <v>7</v>
      </c>
      <c r="L19" s="9" t="s">
        <v>400</v>
      </c>
      <c r="M19" s="9" t="s">
        <v>401</v>
      </c>
      <c r="N19" s="9" t="s">
        <v>402</v>
      </c>
      <c r="O19" s="9" t="n">
        <v>0</v>
      </c>
      <c r="P19" s="9" t="n">
        <v>0</v>
      </c>
      <c r="Q19" s="9" t="n">
        <v>0</v>
      </c>
      <c r="R19" s="9" t="s">
        <v>119</v>
      </c>
    </row>
    <row r="20" customFormat="false" ht="23.85" hidden="false" customHeight="false" outlineLevel="0" collapsed="false">
      <c r="A20" s="9" t="s">
        <v>451</v>
      </c>
      <c r="B20" s="9" t="s">
        <v>452</v>
      </c>
      <c r="C20" s="9" t="s">
        <v>114</v>
      </c>
      <c r="D20" s="9" t="s">
        <v>116</v>
      </c>
      <c r="E20" s="9" t="s">
        <v>453</v>
      </c>
      <c r="F20" s="9" t="s">
        <v>454</v>
      </c>
      <c r="G20" s="9" t="s">
        <v>91</v>
      </c>
      <c r="H20" s="9" t="n">
        <v>12</v>
      </c>
      <c r="I20" s="9" t="n">
        <v>2</v>
      </c>
      <c r="J20" s="9" t="n">
        <v>48</v>
      </c>
      <c r="K20" s="9" t="n">
        <v>7</v>
      </c>
      <c r="L20" s="9" t="s">
        <v>400</v>
      </c>
      <c r="M20" s="9" t="s">
        <v>401</v>
      </c>
      <c r="N20" s="9" t="s">
        <v>402</v>
      </c>
      <c r="O20" s="9" t="n">
        <v>0</v>
      </c>
      <c r="P20" s="9" t="n">
        <v>0</v>
      </c>
      <c r="Q20" s="9" t="n">
        <v>0</v>
      </c>
      <c r="R20" s="9" t="s">
        <v>119</v>
      </c>
    </row>
    <row r="21" customFormat="false" ht="23.85" hidden="false" customHeight="false" outlineLevel="0" collapsed="false">
      <c r="A21" s="9" t="s">
        <v>455</v>
      </c>
      <c r="B21" s="9" t="s">
        <v>456</v>
      </c>
      <c r="C21" s="9" t="s">
        <v>114</v>
      </c>
      <c r="D21" s="9" t="s">
        <v>116</v>
      </c>
      <c r="E21" s="9" t="s">
        <v>457</v>
      </c>
      <c r="F21" s="9" t="s">
        <v>458</v>
      </c>
      <c r="G21" s="9" t="s">
        <v>91</v>
      </c>
      <c r="H21" s="9" t="n">
        <v>12</v>
      </c>
      <c r="I21" s="9" t="n">
        <v>2</v>
      </c>
      <c r="J21" s="9" t="n">
        <v>48</v>
      </c>
      <c r="K21" s="9" t="n">
        <v>7</v>
      </c>
      <c r="L21" s="9" t="s">
        <v>400</v>
      </c>
      <c r="M21" s="9" t="s">
        <v>401</v>
      </c>
      <c r="N21" s="9" t="s">
        <v>402</v>
      </c>
      <c r="O21" s="9" t="n">
        <v>0</v>
      </c>
      <c r="P21" s="9" t="n">
        <v>0</v>
      </c>
      <c r="Q21" s="9" t="n">
        <v>0</v>
      </c>
      <c r="R21" s="9" t="s">
        <v>119</v>
      </c>
    </row>
    <row r="22" customFormat="false" ht="23.85" hidden="false" customHeight="false" outlineLevel="0" collapsed="false">
      <c r="A22" s="9" t="s">
        <v>459</v>
      </c>
      <c r="B22" s="9" t="s">
        <v>460</v>
      </c>
      <c r="C22" s="9" t="s">
        <v>114</v>
      </c>
      <c r="D22" s="9" t="s">
        <v>116</v>
      </c>
      <c r="E22" s="9" t="s">
        <v>461</v>
      </c>
      <c r="F22" s="9" t="s">
        <v>462</v>
      </c>
      <c r="G22" s="9" t="s">
        <v>91</v>
      </c>
      <c r="H22" s="9" t="n">
        <v>12</v>
      </c>
      <c r="I22" s="9" t="n">
        <v>2</v>
      </c>
      <c r="J22" s="9" t="n">
        <v>48</v>
      </c>
      <c r="K22" s="9" t="n">
        <v>7</v>
      </c>
      <c r="L22" s="9" t="s">
        <v>400</v>
      </c>
      <c r="M22" s="9" t="s">
        <v>401</v>
      </c>
      <c r="N22" s="9" t="s">
        <v>402</v>
      </c>
      <c r="O22" s="9" t="n">
        <v>0</v>
      </c>
      <c r="P22" s="9" t="n">
        <v>0</v>
      </c>
      <c r="Q22" s="9" t="n">
        <v>0</v>
      </c>
      <c r="R22" s="9" t="s">
        <v>119</v>
      </c>
    </row>
    <row r="23" customFormat="false" ht="15" hidden="false" customHeight="false" outlineLevel="0" collapsed="false">
      <c r="A23" s="9" t="s">
        <v>463</v>
      </c>
      <c r="B23" s="9" t="s">
        <v>464</v>
      </c>
      <c r="C23" s="9" t="s">
        <v>121</v>
      </c>
      <c r="D23" s="9" t="s">
        <v>123</v>
      </c>
      <c r="E23" s="9" t="s">
        <v>465</v>
      </c>
      <c r="F23" s="9" t="s">
        <v>466</v>
      </c>
      <c r="G23" s="9" t="s">
        <v>91</v>
      </c>
      <c r="H23" s="9" t="n">
        <v>12</v>
      </c>
      <c r="I23" s="9" t="n">
        <v>2</v>
      </c>
      <c r="J23" s="9" t="n">
        <v>48</v>
      </c>
      <c r="K23" s="9" t="n">
        <v>7</v>
      </c>
      <c r="L23" s="9" t="s">
        <v>400</v>
      </c>
      <c r="M23" s="9" t="s">
        <v>401</v>
      </c>
      <c r="N23" s="9" t="s">
        <v>402</v>
      </c>
      <c r="O23" s="9" t="n">
        <v>0</v>
      </c>
      <c r="P23" s="9" t="n">
        <v>0</v>
      </c>
      <c r="Q23" s="9" t="n">
        <v>0</v>
      </c>
      <c r="R23" s="9" t="s">
        <v>126</v>
      </c>
    </row>
    <row r="24" customFormat="false" ht="23.85" hidden="false" customHeight="false" outlineLevel="0" collapsed="false">
      <c r="A24" s="9" t="s">
        <v>467</v>
      </c>
      <c r="B24" s="9" t="s">
        <v>468</v>
      </c>
      <c r="C24" s="9" t="s">
        <v>121</v>
      </c>
      <c r="D24" s="9" t="s">
        <v>123</v>
      </c>
      <c r="E24" s="9" t="s">
        <v>469</v>
      </c>
      <c r="F24" s="9" t="s">
        <v>470</v>
      </c>
      <c r="G24" s="9" t="s">
        <v>91</v>
      </c>
      <c r="H24" s="9" t="n">
        <v>12</v>
      </c>
      <c r="I24" s="9" t="n">
        <v>2</v>
      </c>
      <c r="J24" s="9" t="n">
        <v>48</v>
      </c>
      <c r="K24" s="9" t="n">
        <v>7</v>
      </c>
      <c r="L24" s="9" t="s">
        <v>400</v>
      </c>
      <c r="M24" s="9" t="s">
        <v>401</v>
      </c>
      <c r="N24" s="9" t="s">
        <v>402</v>
      </c>
      <c r="O24" s="9" t="n">
        <v>0</v>
      </c>
      <c r="P24" s="9" t="n">
        <v>0</v>
      </c>
      <c r="Q24" s="9" t="n">
        <v>0</v>
      </c>
      <c r="R24" s="9" t="s">
        <v>126</v>
      </c>
    </row>
    <row r="25" customFormat="false" ht="15" hidden="false" customHeight="false" outlineLevel="0" collapsed="false">
      <c r="A25" s="9" t="s">
        <v>471</v>
      </c>
      <c r="B25" s="9" t="s">
        <v>472</v>
      </c>
      <c r="C25" s="9" t="s">
        <v>121</v>
      </c>
      <c r="D25" s="9" t="s">
        <v>123</v>
      </c>
      <c r="E25" s="9" t="s">
        <v>473</v>
      </c>
      <c r="F25" s="9" t="s">
        <v>474</v>
      </c>
      <c r="G25" s="9" t="s">
        <v>91</v>
      </c>
      <c r="H25" s="9" t="n">
        <v>12</v>
      </c>
      <c r="I25" s="9" t="n">
        <v>2</v>
      </c>
      <c r="J25" s="9" t="n">
        <v>48</v>
      </c>
      <c r="K25" s="9" t="n">
        <v>7</v>
      </c>
      <c r="L25" s="9" t="s">
        <v>400</v>
      </c>
      <c r="M25" s="9" t="s">
        <v>401</v>
      </c>
      <c r="N25" s="9" t="s">
        <v>402</v>
      </c>
      <c r="O25" s="9" t="n">
        <v>0</v>
      </c>
      <c r="P25" s="9" t="n">
        <v>0</v>
      </c>
      <c r="Q25" s="9" t="n">
        <v>0</v>
      </c>
      <c r="R25" s="9" t="s">
        <v>126</v>
      </c>
    </row>
    <row r="26" customFormat="false" ht="15" hidden="false" customHeight="false" outlineLevel="0" collapsed="false">
      <c r="A26" s="9" t="s">
        <v>475</v>
      </c>
      <c r="B26" s="9" t="s">
        <v>476</v>
      </c>
      <c r="C26" s="9" t="s">
        <v>121</v>
      </c>
      <c r="D26" s="9" t="s">
        <v>123</v>
      </c>
      <c r="E26" s="9" t="s">
        <v>477</v>
      </c>
      <c r="F26" s="9" t="s">
        <v>478</v>
      </c>
      <c r="G26" s="9" t="s">
        <v>91</v>
      </c>
      <c r="H26" s="9" t="n">
        <v>12</v>
      </c>
      <c r="I26" s="9" t="n">
        <v>2</v>
      </c>
      <c r="J26" s="9" t="n">
        <v>48</v>
      </c>
      <c r="K26" s="9" t="n">
        <v>7</v>
      </c>
      <c r="L26" s="9" t="s">
        <v>400</v>
      </c>
      <c r="M26" s="9" t="s">
        <v>401</v>
      </c>
      <c r="N26" s="9" t="s">
        <v>402</v>
      </c>
      <c r="O26" s="9" t="n">
        <v>0</v>
      </c>
      <c r="P26" s="9" t="n">
        <v>0</v>
      </c>
      <c r="Q26" s="9" t="n">
        <v>0</v>
      </c>
      <c r="R26" s="9" t="s">
        <v>126</v>
      </c>
    </row>
    <row r="27" customFormat="false" ht="23.85" hidden="false" customHeight="false" outlineLevel="0" collapsed="false">
      <c r="A27" s="9" t="s">
        <v>479</v>
      </c>
      <c r="B27" s="9" t="s">
        <v>480</v>
      </c>
      <c r="C27" s="9" t="s">
        <v>128</v>
      </c>
      <c r="D27" s="9" t="s">
        <v>130</v>
      </c>
      <c r="E27" s="9" t="s">
        <v>481</v>
      </c>
      <c r="F27" s="9" t="s">
        <v>482</v>
      </c>
      <c r="G27" s="9" t="s">
        <v>91</v>
      </c>
      <c r="H27" s="9" t="n">
        <v>12</v>
      </c>
      <c r="I27" s="9" t="n">
        <v>2</v>
      </c>
      <c r="J27" s="9" t="n">
        <v>48</v>
      </c>
      <c r="K27" s="9" t="n">
        <v>7</v>
      </c>
      <c r="L27" s="9" t="s">
        <v>400</v>
      </c>
      <c r="M27" s="9" t="s">
        <v>401</v>
      </c>
      <c r="N27" s="9" t="s">
        <v>402</v>
      </c>
      <c r="O27" s="9" t="n">
        <v>0</v>
      </c>
      <c r="P27" s="9" t="n">
        <v>0</v>
      </c>
      <c r="Q27" s="9" t="n">
        <v>0</v>
      </c>
      <c r="R27" s="9" t="s">
        <v>133</v>
      </c>
    </row>
    <row r="28" customFormat="false" ht="23.85" hidden="false" customHeight="false" outlineLevel="0" collapsed="false">
      <c r="A28" s="9" t="s">
        <v>483</v>
      </c>
      <c r="B28" s="9" t="s">
        <v>484</v>
      </c>
      <c r="C28" s="9" t="s">
        <v>128</v>
      </c>
      <c r="D28" s="9" t="s">
        <v>130</v>
      </c>
      <c r="E28" s="9" t="s">
        <v>485</v>
      </c>
      <c r="F28" s="9" t="s">
        <v>486</v>
      </c>
      <c r="G28" s="9" t="s">
        <v>91</v>
      </c>
      <c r="H28" s="9" t="n">
        <v>12</v>
      </c>
      <c r="I28" s="9" t="n">
        <v>2</v>
      </c>
      <c r="J28" s="9" t="n">
        <v>48</v>
      </c>
      <c r="K28" s="9" t="n">
        <v>7</v>
      </c>
      <c r="L28" s="9" t="s">
        <v>400</v>
      </c>
      <c r="M28" s="9" t="s">
        <v>401</v>
      </c>
      <c r="N28" s="9" t="s">
        <v>402</v>
      </c>
      <c r="O28" s="9" t="n">
        <v>0</v>
      </c>
      <c r="P28" s="9" t="n">
        <v>0</v>
      </c>
      <c r="Q28" s="9" t="n">
        <v>0</v>
      </c>
      <c r="R28" s="9" t="s">
        <v>133</v>
      </c>
    </row>
    <row r="29" customFormat="false" ht="23.85" hidden="false" customHeight="false" outlineLevel="0" collapsed="false">
      <c r="A29" s="9" t="s">
        <v>487</v>
      </c>
      <c r="B29" s="9" t="s">
        <v>488</v>
      </c>
      <c r="C29" s="9" t="s">
        <v>128</v>
      </c>
      <c r="D29" s="9" t="s">
        <v>130</v>
      </c>
      <c r="E29" s="9" t="s">
        <v>489</v>
      </c>
      <c r="F29" s="9" t="s">
        <v>490</v>
      </c>
      <c r="G29" s="9" t="s">
        <v>91</v>
      </c>
      <c r="H29" s="9" t="n">
        <v>12</v>
      </c>
      <c r="I29" s="9" t="n">
        <v>2</v>
      </c>
      <c r="J29" s="9" t="n">
        <v>48</v>
      </c>
      <c r="K29" s="9" t="n">
        <v>7</v>
      </c>
      <c r="L29" s="9" t="s">
        <v>400</v>
      </c>
      <c r="M29" s="9" t="s">
        <v>401</v>
      </c>
      <c r="N29" s="9" t="s">
        <v>402</v>
      </c>
      <c r="O29" s="9" t="n">
        <v>0</v>
      </c>
      <c r="P29" s="9" t="n">
        <v>0</v>
      </c>
      <c r="Q29" s="9" t="n">
        <v>0</v>
      </c>
      <c r="R29" s="9" t="s">
        <v>133</v>
      </c>
    </row>
    <row r="30" customFormat="false" ht="23.85" hidden="false" customHeight="false" outlineLevel="0" collapsed="false">
      <c r="A30" s="9" t="s">
        <v>491</v>
      </c>
      <c r="B30" s="9" t="s">
        <v>492</v>
      </c>
      <c r="C30" s="9" t="s">
        <v>128</v>
      </c>
      <c r="D30" s="9" t="s">
        <v>130</v>
      </c>
      <c r="E30" s="9" t="s">
        <v>493</v>
      </c>
      <c r="F30" s="9" t="s">
        <v>494</v>
      </c>
      <c r="G30" s="9" t="s">
        <v>91</v>
      </c>
      <c r="H30" s="9" t="n">
        <v>12</v>
      </c>
      <c r="I30" s="9" t="n">
        <v>2</v>
      </c>
      <c r="J30" s="9" t="n">
        <v>48</v>
      </c>
      <c r="K30" s="9" t="n">
        <v>7</v>
      </c>
      <c r="L30" s="9" t="s">
        <v>400</v>
      </c>
      <c r="M30" s="9" t="s">
        <v>401</v>
      </c>
      <c r="N30" s="9" t="s">
        <v>402</v>
      </c>
      <c r="O30" s="9" t="n">
        <v>0</v>
      </c>
      <c r="P30" s="9" t="n">
        <v>0</v>
      </c>
      <c r="Q30" s="9" t="n">
        <v>0</v>
      </c>
      <c r="R30" s="9" t="s">
        <v>133</v>
      </c>
    </row>
  </sheetData>
  <conditionalFormatting sqref="L7:L30">
    <cfRule type="containsText" priority="2" operator="containsText" aboveAverage="0" equalAverage="0" bottom="0" percent="0" rank="0" text="AUTHORIZED" dxfId="4">
      <formula>NOT(ISERROR(SEARCH("AUTHORIZED",L7)))</formula>
    </cfRule>
  </conditionalFormatting>
  <conditionalFormatting sqref="M7:M30">
    <cfRule type="containsText" priority="3" operator="containsText" aboveAverage="0" equalAverage="0" bottom="0" percent="0" rank="0" text="UNASSIGNED" dxfId="5">
      <formula>NOT(ISERROR(SEARCH("UNASSIGNED",M7)))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38"/>
    <col collapsed="false" customWidth="true" hidden="false" outlineLevel="0" max="5" min="5" style="0" width="24"/>
    <col collapsed="false" customWidth="true" hidden="false" outlineLevel="0" max="6" min="6" style="0" width="57"/>
    <col collapsed="false" customWidth="true" hidden="false" outlineLevel="0" max="10" min="7" style="0" width="20"/>
  </cols>
  <sheetData>
    <row r="2" customFormat="false" ht="24" hidden="false" customHeight="true" outlineLevel="0" collapsed="false">
      <c r="A2" s="1" t="s">
        <v>495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496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23.85" hidden="false" customHeight="false" outlineLevel="0" collapsed="false">
      <c r="A6" s="8" t="s">
        <v>383</v>
      </c>
      <c r="B6" s="8" t="s">
        <v>497</v>
      </c>
      <c r="C6" s="8" t="s">
        <v>77</v>
      </c>
      <c r="D6" s="8" t="s">
        <v>498</v>
      </c>
      <c r="E6" s="8" t="s">
        <v>499</v>
      </c>
      <c r="F6" s="8" t="s">
        <v>500</v>
      </c>
      <c r="G6" s="8" t="s">
        <v>501</v>
      </c>
      <c r="H6" s="8" t="s">
        <v>502</v>
      </c>
      <c r="I6" s="8" t="s">
        <v>503</v>
      </c>
      <c r="J6" s="8" t="s">
        <v>136</v>
      </c>
    </row>
    <row r="7" customFormat="false" ht="15" hidden="false" customHeight="false" outlineLevel="0" collapsed="false">
      <c r="A7" s="9" t="s">
        <v>396</v>
      </c>
      <c r="B7" s="9" t="s">
        <v>397</v>
      </c>
      <c r="C7" s="9" t="s">
        <v>92</v>
      </c>
      <c r="D7" s="9" t="s">
        <v>504</v>
      </c>
      <c r="E7" s="9" t="s">
        <v>505</v>
      </c>
      <c r="F7" s="9" t="s">
        <v>506</v>
      </c>
      <c r="G7" s="9" t="s">
        <v>507</v>
      </c>
      <c r="H7" s="9" t="s">
        <v>150</v>
      </c>
      <c r="I7" s="9" t="n">
        <v>0</v>
      </c>
      <c r="J7" s="9" t="s">
        <v>508</v>
      </c>
    </row>
    <row r="8" customFormat="false" ht="15" hidden="false" customHeight="false" outlineLevel="0" collapsed="false">
      <c r="A8" s="9" t="s">
        <v>396</v>
      </c>
      <c r="B8" s="9" t="s">
        <v>397</v>
      </c>
      <c r="C8" s="9" t="s">
        <v>92</v>
      </c>
      <c r="D8" s="9" t="s">
        <v>509</v>
      </c>
      <c r="E8" s="9" t="s">
        <v>505</v>
      </c>
      <c r="F8" s="9" t="s">
        <v>510</v>
      </c>
      <c r="G8" s="9" t="s">
        <v>507</v>
      </c>
      <c r="H8" s="9" t="s">
        <v>150</v>
      </c>
      <c r="I8" s="9" t="n">
        <v>0</v>
      </c>
      <c r="J8" s="9" t="s">
        <v>508</v>
      </c>
    </row>
    <row r="9" customFormat="false" ht="23.85" hidden="false" customHeight="false" outlineLevel="0" collapsed="false">
      <c r="A9" s="9" t="s">
        <v>396</v>
      </c>
      <c r="B9" s="9" t="s">
        <v>397</v>
      </c>
      <c r="C9" s="9" t="s">
        <v>92</v>
      </c>
      <c r="D9" s="9" t="s">
        <v>511</v>
      </c>
      <c r="E9" s="9" t="s">
        <v>505</v>
      </c>
      <c r="F9" s="9" t="s">
        <v>512</v>
      </c>
      <c r="G9" s="9" t="s">
        <v>507</v>
      </c>
      <c r="H9" s="9" t="s">
        <v>150</v>
      </c>
      <c r="I9" s="9" t="n">
        <v>0</v>
      </c>
      <c r="J9" s="9" t="s">
        <v>508</v>
      </c>
    </row>
    <row r="10" customFormat="false" ht="15" hidden="false" customHeight="false" outlineLevel="0" collapsed="false">
      <c r="A10" s="9" t="s">
        <v>396</v>
      </c>
      <c r="B10" s="9" t="s">
        <v>397</v>
      </c>
      <c r="C10" s="9" t="s">
        <v>92</v>
      </c>
      <c r="D10" s="9" t="s">
        <v>513</v>
      </c>
      <c r="E10" s="9" t="s">
        <v>505</v>
      </c>
      <c r="F10" s="9" t="s">
        <v>514</v>
      </c>
      <c r="G10" s="9" t="s">
        <v>507</v>
      </c>
      <c r="H10" s="9" t="s">
        <v>150</v>
      </c>
      <c r="I10" s="9" t="n">
        <v>0</v>
      </c>
      <c r="J10" s="9" t="s">
        <v>508</v>
      </c>
    </row>
    <row r="11" customFormat="false" ht="15" hidden="false" customHeight="false" outlineLevel="0" collapsed="false">
      <c r="A11" s="9" t="s">
        <v>396</v>
      </c>
      <c r="B11" s="9" t="s">
        <v>397</v>
      </c>
      <c r="C11" s="9" t="s">
        <v>92</v>
      </c>
      <c r="D11" s="9" t="s">
        <v>515</v>
      </c>
      <c r="E11" s="9" t="s">
        <v>505</v>
      </c>
      <c r="F11" s="9" t="s">
        <v>516</v>
      </c>
      <c r="G11" s="9" t="s">
        <v>507</v>
      </c>
      <c r="H11" s="9" t="s">
        <v>150</v>
      </c>
      <c r="I11" s="9" t="n">
        <v>0</v>
      </c>
      <c r="J11" s="9" t="s">
        <v>508</v>
      </c>
    </row>
    <row r="12" customFormat="false" ht="15" hidden="false" customHeight="false" outlineLevel="0" collapsed="false">
      <c r="A12" s="9" t="s">
        <v>396</v>
      </c>
      <c r="B12" s="9" t="s">
        <v>397</v>
      </c>
      <c r="C12" s="9" t="s">
        <v>92</v>
      </c>
      <c r="D12" s="9" t="s">
        <v>517</v>
      </c>
      <c r="E12" s="9" t="s">
        <v>505</v>
      </c>
      <c r="F12" s="9" t="s">
        <v>518</v>
      </c>
      <c r="G12" s="9" t="s">
        <v>507</v>
      </c>
      <c r="H12" s="9" t="s">
        <v>150</v>
      </c>
      <c r="I12" s="9" t="n">
        <v>0</v>
      </c>
      <c r="J12" s="9" t="s">
        <v>508</v>
      </c>
    </row>
    <row r="13" customFormat="false" ht="15" hidden="false" customHeight="false" outlineLevel="0" collapsed="false">
      <c r="A13" s="9" t="s">
        <v>396</v>
      </c>
      <c r="B13" s="9" t="s">
        <v>397</v>
      </c>
      <c r="C13" s="9" t="s">
        <v>92</v>
      </c>
      <c r="D13" s="9" t="s">
        <v>519</v>
      </c>
      <c r="E13" s="9" t="s">
        <v>505</v>
      </c>
      <c r="F13" s="9" t="s">
        <v>520</v>
      </c>
      <c r="G13" s="9" t="s">
        <v>507</v>
      </c>
      <c r="H13" s="9" t="s">
        <v>150</v>
      </c>
      <c r="I13" s="9" t="n">
        <v>0</v>
      </c>
      <c r="J13" s="9" t="s">
        <v>508</v>
      </c>
    </row>
    <row r="14" customFormat="false" ht="15" hidden="false" customHeight="false" outlineLevel="0" collapsed="false">
      <c r="A14" s="9" t="s">
        <v>403</v>
      </c>
      <c r="B14" s="9" t="s">
        <v>404</v>
      </c>
      <c r="C14" s="9" t="s">
        <v>92</v>
      </c>
      <c r="D14" s="9" t="s">
        <v>504</v>
      </c>
      <c r="E14" s="9" t="s">
        <v>505</v>
      </c>
      <c r="F14" s="9" t="s">
        <v>506</v>
      </c>
      <c r="G14" s="9" t="s">
        <v>507</v>
      </c>
      <c r="H14" s="9" t="s">
        <v>150</v>
      </c>
      <c r="I14" s="9" t="n">
        <v>0</v>
      </c>
      <c r="J14" s="9" t="s">
        <v>508</v>
      </c>
    </row>
    <row r="15" customFormat="false" ht="15" hidden="false" customHeight="false" outlineLevel="0" collapsed="false">
      <c r="A15" s="9" t="s">
        <v>403</v>
      </c>
      <c r="B15" s="9" t="s">
        <v>404</v>
      </c>
      <c r="C15" s="9" t="s">
        <v>92</v>
      </c>
      <c r="D15" s="9" t="s">
        <v>509</v>
      </c>
      <c r="E15" s="9" t="s">
        <v>505</v>
      </c>
      <c r="F15" s="9" t="s">
        <v>510</v>
      </c>
      <c r="G15" s="9" t="s">
        <v>507</v>
      </c>
      <c r="H15" s="9" t="s">
        <v>150</v>
      </c>
      <c r="I15" s="9" t="n">
        <v>0</v>
      </c>
      <c r="J15" s="9" t="s">
        <v>508</v>
      </c>
    </row>
    <row r="16" customFormat="false" ht="23.85" hidden="false" customHeight="false" outlineLevel="0" collapsed="false">
      <c r="A16" s="9" t="s">
        <v>403</v>
      </c>
      <c r="B16" s="9" t="s">
        <v>404</v>
      </c>
      <c r="C16" s="9" t="s">
        <v>92</v>
      </c>
      <c r="D16" s="9" t="s">
        <v>511</v>
      </c>
      <c r="E16" s="9" t="s">
        <v>505</v>
      </c>
      <c r="F16" s="9" t="s">
        <v>512</v>
      </c>
      <c r="G16" s="9" t="s">
        <v>507</v>
      </c>
      <c r="H16" s="9" t="s">
        <v>150</v>
      </c>
      <c r="I16" s="9" t="n">
        <v>0</v>
      </c>
      <c r="J16" s="9" t="s">
        <v>508</v>
      </c>
    </row>
    <row r="17" customFormat="false" ht="15" hidden="false" customHeight="false" outlineLevel="0" collapsed="false">
      <c r="A17" s="9" t="s">
        <v>403</v>
      </c>
      <c r="B17" s="9" t="s">
        <v>404</v>
      </c>
      <c r="C17" s="9" t="s">
        <v>92</v>
      </c>
      <c r="D17" s="9" t="s">
        <v>513</v>
      </c>
      <c r="E17" s="9" t="s">
        <v>505</v>
      </c>
      <c r="F17" s="9" t="s">
        <v>514</v>
      </c>
      <c r="G17" s="9" t="s">
        <v>507</v>
      </c>
      <c r="H17" s="9" t="s">
        <v>150</v>
      </c>
      <c r="I17" s="9" t="n">
        <v>0</v>
      </c>
      <c r="J17" s="9" t="s">
        <v>508</v>
      </c>
    </row>
    <row r="18" customFormat="false" ht="15" hidden="false" customHeight="false" outlineLevel="0" collapsed="false">
      <c r="A18" s="9" t="s">
        <v>403</v>
      </c>
      <c r="B18" s="9" t="s">
        <v>404</v>
      </c>
      <c r="C18" s="9" t="s">
        <v>92</v>
      </c>
      <c r="D18" s="9" t="s">
        <v>515</v>
      </c>
      <c r="E18" s="9" t="s">
        <v>505</v>
      </c>
      <c r="F18" s="9" t="s">
        <v>516</v>
      </c>
      <c r="G18" s="9" t="s">
        <v>507</v>
      </c>
      <c r="H18" s="9" t="s">
        <v>150</v>
      </c>
      <c r="I18" s="9" t="n">
        <v>0</v>
      </c>
      <c r="J18" s="9" t="s">
        <v>508</v>
      </c>
    </row>
    <row r="19" customFormat="false" ht="15" hidden="false" customHeight="false" outlineLevel="0" collapsed="false">
      <c r="A19" s="9" t="s">
        <v>403</v>
      </c>
      <c r="B19" s="9" t="s">
        <v>404</v>
      </c>
      <c r="C19" s="9" t="s">
        <v>92</v>
      </c>
      <c r="D19" s="9" t="s">
        <v>517</v>
      </c>
      <c r="E19" s="9" t="s">
        <v>505</v>
      </c>
      <c r="F19" s="9" t="s">
        <v>518</v>
      </c>
      <c r="G19" s="9" t="s">
        <v>507</v>
      </c>
      <c r="H19" s="9" t="s">
        <v>150</v>
      </c>
      <c r="I19" s="9" t="n">
        <v>0</v>
      </c>
      <c r="J19" s="9" t="s">
        <v>508</v>
      </c>
    </row>
    <row r="20" customFormat="false" ht="15" hidden="false" customHeight="false" outlineLevel="0" collapsed="false">
      <c r="A20" s="9" t="s">
        <v>403</v>
      </c>
      <c r="B20" s="9" t="s">
        <v>404</v>
      </c>
      <c r="C20" s="9" t="s">
        <v>92</v>
      </c>
      <c r="D20" s="9" t="s">
        <v>519</v>
      </c>
      <c r="E20" s="9" t="s">
        <v>505</v>
      </c>
      <c r="F20" s="9" t="s">
        <v>520</v>
      </c>
      <c r="G20" s="9" t="s">
        <v>507</v>
      </c>
      <c r="H20" s="9" t="s">
        <v>150</v>
      </c>
      <c r="I20" s="9" t="n">
        <v>0</v>
      </c>
      <c r="J20" s="9" t="s">
        <v>508</v>
      </c>
    </row>
    <row r="21" customFormat="false" ht="15" hidden="false" customHeight="false" outlineLevel="0" collapsed="false">
      <c r="A21" s="9" t="s">
        <v>407</v>
      </c>
      <c r="B21" s="9" t="s">
        <v>408</v>
      </c>
      <c r="C21" s="9" t="s">
        <v>92</v>
      </c>
      <c r="D21" s="9" t="s">
        <v>504</v>
      </c>
      <c r="E21" s="9" t="s">
        <v>505</v>
      </c>
      <c r="F21" s="9" t="s">
        <v>506</v>
      </c>
      <c r="G21" s="9" t="s">
        <v>507</v>
      </c>
      <c r="H21" s="9" t="s">
        <v>150</v>
      </c>
      <c r="I21" s="9" t="n">
        <v>0</v>
      </c>
      <c r="J21" s="9" t="s">
        <v>508</v>
      </c>
    </row>
    <row r="22" customFormat="false" ht="15" hidden="false" customHeight="false" outlineLevel="0" collapsed="false">
      <c r="A22" s="9" t="s">
        <v>407</v>
      </c>
      <c r="B22" s="9" t="s">
        <v>408</v>
      </c>
      <c r="C22" s="9" t="s">
        <v>92</v>
      </c>
      <c r="D22" s="9" t="s">
        <v>509</v>
      </c>
      <c r="E22" s="9" t="s">
        <v>505</v>
      </c>
      <c r="F22" s="9" t="s">
        <v>510</v>
      </c>
      <c r="G22" s="9" t="s">
        <v>507</v>
      </c>
      <c r="H22" s="9" t="s">
        <v>150</v>
      </c>
      <c r="I22" s="9" t="n">
        <v>0</v>
      </c>
      <c r="J22" s="9" t="s">
        <v>508</v>
      </c>
    </row>
    <row r="23" customFormat="false" ht="23.85" hidden="false" customHeight="false" outlineLevel="0" collapsed="false">
      <c r="A23" s="9" t="s">
        <v>407</v>
      </c>
      <c r="B23" s="9" t="s">
        <v>408</v>
      </c>
      <c r="C23" s="9" t="s">
        <v>92</v>
      </c>
      <c r="D23" s="9" t="s">
        <v>511</v>
      </c>
      <c r="E23" s="9" t="s">
        <v>505</v>
      </c>
      <c r="F23" s="9" t="s">
        <v>512</v>
      </c>
      <c r="G23" s="9" t="s">
        <v>507</v>
      </c>
      <c r="H23" s="9" t="s">
        <v>150</v>
      </c>
      <c r="I23" s="9" t="n">
        <v>0</v>
      </c>
      <c r="J23" s="9" t="s">
        <v>508</v>
      </c>
    </row>
    <row r="24" customFormat="false" ht="15" hidden="false" customHeight="false" outlineLevel="0" collapsed="false">
      <c r="A24" s="9" t="s">
        <v>407</v>
      </c>
      <c r="B24" s="9" t="s">
        <v>408</v>
      </c>
      <c r="C24" s="9" t="s">
        <v>92</v>
      </c>
      <c r="D24" s="9" t="s">
        <v>513</v>
      </c>
      <c r="E24" s="9" t="s">
        <v>505</v>
      </c>
      <c r="F24" s="9" t="s">
        <v>514</v>
      </c>
      <c r="G24" s="9" t="s">
        <v>507</v>
      </c>
      <c r="H24" s="9" t="s">
        <v>150</v>
      </c>
      <c r="I24" s="9" t="n">
        <v>0</v>
      </c>
      <c r="J24" s="9" t="s">
        <v>508</v>
      </c>
    </row>
    <row r="25" customFormat="false" ht="15" hidden="false" customHeight="false" outlineLevel="0" collapsed="false">
      <c r="A25" s="9" t="s">
        <v>407</v>
      </c>
      <c r="B25" s="9" t="s">
        <v>408</v>
      </c>
      <c r="C25" s="9" t="s">
        <v>92</v>
      </c>
      <c r="D25" s="9" t="s">
        <v>515</v>
      </c>
      <c r="E25" s="9" t="s">
        <v>505</v>
      </c>
      <c r="F25" s="9" t="s">
        <v>516</v>
      </c>
      <c r="G25" s="9" t="s">
        <v>507</v>
      </c>
      <c r="H25" s="9" t="s">
        <v>150</v>
      </c>
      <c r="I25" s="9" t="n">
        <v>0</v>
      </c>
      <c r="J25" s="9" t="s">
        <v>508</v>
      </c>
    </row>
    <row r="26" customFormat="false" ht="15" hidden="false" customHeight="false" outlineLevel="0" collapsed="false">
      <c r="A26" s="9" t="s">
        <v>407</v>
      </c>
      <c r="B26" s="9" t="s">
        <v>408</v>
      </c>
      <c r="C26" s="9" t="s">
        <v>92</v>
      </c>
      <c r="D26" s="9" t="s">
        <v>517</v>
      </c>
      <c r="E26" s="9" t="s">
        <v>505</v>
      </c>
      <c r="F26" s="9" t="s">
        <v>518</v>
      </c>
      <c r="G26" s="9" t="s">
        <v>507</v>
      </c>
      <c r="H26" s="9" t="s">
        <v>150</v>
      </c>
      <c r="I26" s="9" t="n">
        <v>0</v>
      </c>
      <c r="J26" s="9" t="s">
        <v>508</v>
      </c>
    </row>
    <row r="27" customFormat="false" ht="15" hidden="false" customHeight="false" outlineLevel="0" collapsed="false">
      <c r="A27" s="9" t="s">
        <v>407</v>
      </c>
      <c r="B27" s="9" t="s">
        <v>408</v>
      </c>
      <c r="C27" s="9" t="s">
        <v>92</v>
      </c>
      <c r="D27" s="9" t="s">
        <v>519</v>
      </c>
      <c r="E27" s="9" t="s">
        <v>505</v>
      </c>
      <c r="F27" s="9" t="s">
        <v>520</v>
      </c>
      <c r="G27" s="9" t="s">
        <v>507</v>
      </c>
      <c r="H27" s="9" t="s">
        <v>150</v>
      </c>
      <c r="I27" s="9" t="n">
        <v>0</v>
      </c>
      <c r="J27" s="9" t="s">
        <v>508</v>
      </c>
    </row>
    <row r="28" customFormat="false" ht="15" hidden="false" customHeight="false" outlineLevel="0" collapsed="false">
      <c r="A28" s="9" t="s">
        <v>411</v>
      </c>
      <c r="B28" s="9" t="s">
        <v>412</v>
      </c>
      <c r="C28" s="9" t="s">
        <v>92</v>
      </c>
      <c r="D28" s="9" t="s">
        <v>504</v>
      </c>
      <c r="E28" s="9" t="s">
        <v>505</v>
      </c>
      <c r="F28" s="9" t="s">
        <v>506</v>
      </c>
      <c r="G28" s="9" t="s">
        <v>507</v>
      </c>
      <c r="H28" s="9" t="s">
        <v>150</v>
      </c>
      <c r="I28" s="9" t="n">
        <v>0</v>
      </c>
      <c r="J28" s="9" t="s">
        <v>508</v>
      </c>
    </row>
    <row r="29" customFormat="false" ht="15" hidden="false" customHeight="false" outlineLevel="0" collapsed="false">
      <c r="A29" s="9" t="s">
        <v>411</v>
      </c>
      <c r="B29" s="9" t="s">
        <v>412</v>
      </c>
      <c r="C29" s="9" t="s">
        <v>92</v>
      </c>
      <c r="D29" s="9" t="s">
        <v>509</v>
      </c>
      <c r="E29" s="9" t="s">
        <v>505</v>
      </c>
      <c r="F29" s="9" t="s">
        <v>510</v>
      </c>
      <c r="G29" s="9" t="s">
        <v>507</v>
      </c>
      <c r="H29" s="9" t="s">
        <v>150</v>
      </c>
      <c r="I29" s="9" t="n">
        <v>0</v>
      </c>
      <c r="J29" s="9" t="s">
        <v>508</v>
      </c>
    </row>
    <row r="30" customFormat="false" ht="23.85" hidden="false" customHeight="false" outlineLevel="0" collapsed="false">
      <c r="A30" s="9" t="s">
        <v>411</v>
      </c>
      <c r="B30" s="9" t="s">
        <v>412</v>
      </c>
      <c r="C30" s="9" t="s">
        <v>92</v>
      </c>
      <c r="D30" s="9" t="s">
        <v>511</v>
      </c>
      <c r="E30" s="9" t="s">
        <v>505</v>
      </c>
      <c r="F30" s="9" t="s">
        <v>512</v>
      </c>
      <c r="G30" s="9" t="s">
        <v>507</v>
      </c>
      <c r="H30" s="9" t="s">
        <v>150</v>
      </c>
      <c r="I30" s="9" t="n">
        <v>0</v>
      </c>
      <c r="J30" s="9" t="s">
        <v>508</v>
      </c>
    </row>
    <row r="31" customFormat="false" ht="15" hidden="false" customHeight="false" outlineLevel="0" collapsed="false">
      <c r="A31" s="9" t="s">
        <v>411</v>
      </c>
      <c r="B31" s="9" t="s">
        <v>412</v>
      </c>
      <c r="C31" s="9" t="s">
        <v>92</v>
      </c>
      <c r="D31" s="9" t="s">
        <v>513</v>
      </c>
      <c r="E31" s="9" t="s">
        <v>505</v>
      </c>
      <c r="F31" s="9" t="s">
        <v>514</v>
      </c>
      <c r="G31" s="9" t="s">
        <v>507</v>
      </c>
      <c r="H31" s="9" t="s">
        <v>150</v>
      </c>
      <c r="I31" s="9" t="n">
        <v>0</v>
      </c>
      <c r="J31" s="9" t="s">
        <v>508</v>
      </c>
    </row>
    <row r="32" customFormat="false" ht="15" hidden="false" customHeight="false" outlineLevel="0" collapsed="false">
      <c r="A32" s="9" t="s">
        <v>411</v>
      </c>
      <c r="B32" s="9" t="s">
        <v>412</v>
      </c>
      <c r="C32" s="9" t="s">
        <v>92</v>
      </c>
      <c r="D32" s="9" t="s">
        <v>515</v>
      </c>
      <c r="E32" s="9" t="s">
        <v>505</v>
      </c>
      <c r="F32" s="9" t="s">
        <v>516</v>
      </c>
      <c r="G32" s="9" t="s">
        <v>507</v>
      </c>
      <c r="H32" s="9" t="s">
        <v>150</v>
      </c>
      <c r="I32" s="9" t="n">
        <v>0</v>
      </c>
      <c r="J32" s="9" t="s">
        <v>508</v>
      </c>
    </row>
    <row r="33" customFormat="false" ht="15" hidden="false" customHeight="false" outlineLevel="0" collapsed="false">
      <c r="A33" s="9" t="s">
        <v>411</v>
      </c>
      <c r="B33" s="9" t="s">
        <v>412</v>
      </c>
      <c r="C33" s="9" t="s">
        <v>92</v>
      </c>
      <c r="D33" s="9" t="s">
        <v>517</v>
      </c>
      <c r="E33" s="9" t="s">
        <v>505</v>
      </c>
      <c r="F33" s="9" t="s">
        <v>518</v>
      </c>
      <c r="G33" s="9" t="s">
        <v>507</v>
      </c>
      <c r="H33" s="9" t="s">
        <v>150</v>
      </c>
      <c r="I33" s="9" t="n">
        <v>0</v>
      </c>
      <c r="J33" s="9" t="s">
        <v>508</v>
      </c>
    </row>
    <row r="34" customFormat="false" ht="15" hidden="false" customHeight="false" outlineLevel="0" collapsed="false">
      <c r="A34" s="9" t="s">
        <v>411</v>
      </c>
      <c r="B34" s="9" t="s">
        <v>412</v>
      </c>
      <c r="C34" s="9" t="s">
        <v>92</v>
      </c>
      <c r="D34" s="9" t="s">
        <v>519</v>
      </c>
      <c r="E34" s="9" t="s">
        <v>505</v>
      </c>
      <c r="F34" s="9" t="s">
        <v>520</v>
      </c>
      <c r="G34" s="9" t="s">
        <v>507</v>
      </c>
      <c r="H34" s="9" t="s">
        <v>150</v>
      </c>
      <c r="I34" s="9" t="n">
        <v>0</v>
      </c>
      <c r="J34" s="9" t="s">
        <v>508</v>
      </c>
    </row>
    <row r="35" customFormat="false" ht="15" hidden="false" customHeight="false" outlineLevel="0" collapsed="false">
      <c r="A35" s="9" t="s">
        <v>415</v>
      </c>
      <c r="B35" s="9" t="s">
        <v>416</v>
      </c>
      <c r="C35" s="9" t="s">
        <v>100</v>
      </c>
      <c r="D35" s="9" t="s">
        <v>504</v>
      </c>
      <c r="E35" s="9" t="s">
        <v>505</v>
      </c>
      <c r="F35" s="9" t="s">
        <v>506</v>
      </c>
      <c r="G35" s="9" t="s">
        <v>507</v>
      </c>
      <c r="H35" s="9" t="s">
        <v>150</v>
      </c>
      <c r="I35" s="9" t="n">
        <v>0</v>
      </c>
      <c r="J35" s="9" t="s">
        <v>508</v>
      </c>
    </row>
    <row r="36" customFormat="false" ht="15" hidden="false" customHeight="false" outlineLevel="0" collapsed="false">
      <c r="A36" s="9" t="s">
        <v>415</v>
      </c>
      <c r="B36" s="9" t="s">
        <v>416</v>
      </c>
      <c r="C36" s="9" t="s">
        <v>100</v>
      </c>
      <c r="D36" s="9" t="s">
        <v>509</v>
      </c>
      <c r="E36" s="9" t="s">
        <v>505</v>
      </c>
      <c r="F36" s="9" t="s">
        <v>510</v>
      </c>
      <c r="G36" s="9" t="s">
        <v>507</v>
      </c>
      <c r="H36" s="9" t="s">
        <v>150</v>
      </c>
      <c r="I36" s="9" t="n">
        <v>0</v>
      </c>
      <c r="J36" s="9" t="s">
        <v>508</v>
      </c>
    </row>
    <row r="37" customFormat="false" ht="23.85" hidden="false" customHeight="false" outlineLevel="0" collapsed="false">
      <c r="A37" s="9" t="s">
        <v>415</v>
      </c>
      <c r="B37" s="9" t="s">
        <v>416</v>
      </c>
      <c r="C37" s="9" t="s">
        <v>100</v>
      </c>
      <c r="D37" s="9" t="s">
        <v>511</v>
      </c>
      <c r="E37" s="9" t="s">
        <v>505</v>
      </c>
      <c r="F37" s="9" t="s">
        <v>512</v>
      </c>
      <c r="G37" s="9" t="s">
        <v>507</v>
      </c>
      <c r="H37" s="9" t="s">
        <v>150</v>
      </c>
      <c r="I37" s="9" t="n">
        <v>0</v>
      </c>
      <c r="J37" s="9" t="s">
        <v>508</v>
      </c>
    </row>
    <row r="38" customFormat="false" ht="15" hidden="false" customHeight="false" outlineLevel="0" collapsed="false">
      <c r="A38" s="9" t="s">
        <v>415</v>
      </c>
      <c r="B38" s="9" t="s">
        <v>416</v>
      </c>
      <c r="C38" s="9" t="s">
        <v>100</v>
      </c>
      <c r="D38" s="9" t="s">
        <v>513</v>
      </c>
      <c r="E38" s="9" t="s">
        <v>505</v>
      </c>
      <c r="F38" s="9" t="s">
        <v>514</v>
      </c>
      <c r="G38" s="9" t="s">
        <v>507</v>
      </c>
      <c r="H38" s="9" t="s">
        <v>150</v>
      </c>
      <c r="I38" s="9" t="n">
        <v>0</v>
      </c>
      <c r="J38" s="9" t="s">
        <v>508</v>
      </c>
    </row>
    <row r="39" customFormat="false" ht="15" hidden="false" customHeight="false" outlineLevel="0" collapsed="false">
      <c r="A39" s="9" t="s">
        <v>415</v>
      </c>
      <c r="B39" s="9" t="s">
        <v>416</v>
      </c>
      <c r="C39" s="9" t="s">
        <v>100</v>
      </c>
      <c r="D39" s="9" t="s">
        <v>515</v>
      </c>
      <c r="E39" s="9" t="s">
        <v>505</v>
      </c>
      <c r="F39" s="9" t="s">
        <v>516</v>
      </c>
      <c r="G39" s="9" t="s">
        <v>507</v>
      </c>
      <c r="H39" s="9" t="s">
        <v>150</v>
      </c>
      <c r="I39" s="9" t="n">
        <v>0</v>
      </c>
      <c r="J39" s="9" t="s">
        <v>508</v>
      </c>
    </row>
    <row r="40" customFormat="false" ht="15" hidden="false" customHeight="false" outlineLevel="0" collapsed="false">
      <c r="A40" s="9" t="s">
        <v>415</v>
      </c>
      <c r="B40" s="9" t="s">
        <v>416</v>
      </c>
      <c r="C40" s="9" t="s">
        <v>100</v>
      </c>
      <c r="D40" s="9" t="s">
        <v>517</v>
      </c>
      <c r="E40" s="9" t="s">
        <v>505</v>
      </c>
      <c r="F40" s="9" t="s">
        <v>518</v>
      </c>
      <c r="G40" s="9" t="s">
        <v>507</v>
      </c>
      <c r="H40" s="9" t="s">
        <v>150</v>
      </c>
      <c r="I40" s="9" t="n">
        <v>0</v>
      </c>
      <c r="J40" s="9" t="s">
        <v>508</v>
      </c>
    </row>
    <row r="41" customFormat="false" ht="15" hidden="false" customHeight="false" outlineLevel="0" collapsed="false">
      <c r="A41" s="9" t="s">
        <v>415</v>
      </c>
      <c r="B41" s="9" t="s">
        <v>416</v>
      </c>
      <c r="C41" s="9" t="s">
        <v>100</v>
      </c>
      <c r="D41" s="9" t="s">
        <v>519</v>
      </c>
      <c r="E41" s="9" t="s">
        <v>505</v>
      </c>
      <c r="F41" s="9" t="s">
        <v>520</v>
      </c>
      <c r="G41" s="9" t="s">
        <v>507</v>
      </c>
      <c r="H41" s="9" t="s">
        <v>150</v>
      </c>
      <c r="I41" s="9" t="n">
        <v>0</v>
      </c>
      <c r="J41" s="9" t="s">
        <v>508</v>
      </c>
    </row>
    <row r="42" customFormat="false" ht="15" hidden="false" customHeight="false" outlineLevel="0" collapsed="false">
      <c r="A42" s="9" t="s">
        <v>419</v>
      </c>
      <c r="B42" s="9" t="s">
        <v>420</v>
      </c>
      <c r="C42" s="9" t="s">
        <v>100</v>
      </c>
      <c r="D42" s="9" t="s">
        <v>504</v>
      </c>
      <c r="E42" s="9" t="s">
        <v>505</v>
      </c>
      <c r="F42" s="9" t="s">
        <v>506</v>
      </c>
      <c r="G42" s="9" t="s">
        <v>507</v>
      </c>
      <c r="H42" s="9" t="s">
        <v>150</v>
      </c>
      <c r="I42" s="9" t="n">
        <v>0</v>
      </c>
      <c r="J42" s="9" t="s">
        <v>508</v>
      </c>
    </row>
    <row r="43" customFormat="false" ht="15" hidden="false" customHeight="false" outlineLevel="0" collapsed="false">
      <c r="A43" s="9" t="s">
        <v>419</v>
      </c>
      <c r="B43" s="9" t="s">
        <v>420</v>
      </c>
      <c r="C43" s="9" t="s">
        <v>100</v>
      </c>
      <c r="D43" s="9" t="s">
        <v>509</v>
      </c>
      <c r="E43" s="9" t="s">
        <v>505</v>
      </c>
      <c r="F43" s="9" t="s">
        <v>510</v>
      </c>
      <c r="G43" s="9" t="s">
        <v>507</v>
      </c>
      <c r="H43" s="9" t="s">
        <v>150</v>
      </c>
      <c r="I43" s="9" t="n">
        <v>0</v>
      </c>
      <c r="J43" s="9" t="s">
        <v>508</v>
      </c>
    </row>
    <row r="44" customFormat="false" ht="23.85" hidden="false" customHeight="false" outlineLevel="0" collapsed="false">
      <c r="A44" s="9" t="s">
        <v>419</v>
      </c>
      <c r="B44" s="9" t="s">
        <v>420</v>
      </c>
      <c r="C44" s="9" t="s">
        <v>100</v>
      </c>
      <c r="D44" s="9" t="s">
        <v>511</v>
      </c>
      <c r="E44" s="9" t="s">
        <v>505</v>
      </c>
      <c r="F44" s="9" t="s">
        <v>512</v>
      </c>
      <c r="G44" s="9" t="s">
        <v>507</v>
      </c>
      <c r="H44" s="9" t="s">
        <v>150</v>
      </c>
      <c r="I44" s="9" t="n">
        <v>0</v>
      </c>
      <c r="J44" s="9" t="s">
        <v>508</v>
      </c>
    </row>
    <row r="45" customFormat="false" ht="15" hidden="false" customHeight="false" outlineLevel="0" collapsed="false">
      <c r="A45" s="9" t="s">
        <v>419</v>
      </c>
      <c r="B45" s="9" t="s">
        <v>420</v>
      </c>
      <c r="C45" s="9" t="s">
        <v>100</v>
      </c>
      <c r="D45" s="9" t="s">
        <v>513</v>
      </c>
      <c r="E45" s="9" t="s">
        <v>505</v>
      </c>
      <c r="F45" s="9" t="s">
        <v>514</v>
      </c>
      <c r="G45" s="9" t="s">
        <v>507</v>
      </c>
      <c r="H45" s="9" t="s">
        <v>150</v>
      </c>
      <c r="I45" s="9" t="n">
        <v>0</v>
      </c>
      <c r="J45" s="9" t="s">
        <v>508</v>
      </c>
    </row>
    <row r="46" customFormat="false" ht="15" hidden="false" customHeight="false" outlineLevel="0" collapsed="false">
      <c r="A46" s="9" t="s">
        <v>419</v>
      </c>
      <c r="B46" s="9" t="s">
        <v>420</v>
      </c>
      <c r="C46" s="9" t="s">
        <v>100</v>
      </c>
      <c r="D46" s="9" t="s">
        <v>515</v>
      </c>
      <c r="E46" s="9" t="s">
        <v>505</v>
      </c>
      <c r="F46" s="9" t="s">
        <v>516</v>
      </c>
      <c r="G46" s="9" t="s">
        <v>507</v>
      </c>
      <c r="H46" s="9" t="s">
        <v>150</v>
      </c>
      <c r="I46" s="9" t="n">
        <v>0</v>
      </c>
      <c r="J46" s="9" t="s">
        <v>508</v>
      </c>
    </row>
    <row r="47" customFormat="false" ht="15" hidden="false" customHeight="false" outlineLevel="0" collapsed="false">
      <c r="A47" s="9" t="s">
        <v>419</v>
      </c>
      <c r="B47" s="9" t="s">
        <v>420</v>
      </c>
      <c r="C47" s="9" t="s">
        <v>100</v>
      </c>
      <c r="D47" s="9" t="s">
        <v>517</v>
      </c>
      <c r="E47" s="9" t="s">
        <v>505</v>
      </c>
      <c r="F47" s="9" t="s">
        <v>518</v>
      </c>
      <c r="G47" s="9" t="s">
        <v>507</v>
      </c>
      <c r="H47" s="9" t="s">
        <v>150</v>
      </c>
      <c r="I47" s="9" t="n">
        <v>0</v>
      </c>
      <c r="J47" s="9" t="s">
        <v>508</v>
      </c>
    </row>
    <row r="48" customFormat="false" ht="15" hidden="false" customHeight="false" outlineLevel="0" collapsed="false">
      <c r="A48" s="9" t="s">
        <v>419</v>
      </c>
      <c r="B48" s="9" t="s">
        <v>420</v>
      </c>
      <c r="C48" s="9" t="s">
        <v>100</v>
      </c>
      <c r="D48" s="9" t="s">
        <v>519</v>
      </c>
      <c r="E48" s="9" t="s">
        <v>505</v>
      </c>
      <c r="F48" s="9" t="s">
        <v>520</v>
      </c>
      <c r="G48" s="9" t="s">
        <v>507</v>
      </c>
      <c r="H48" s="9" t="s">
        <v>150</v>
      </c>
      <c r="I48" s="9" t="n">
        <v>0</v>
      </c>
      <c r="J48" s="9" t="s">
        <v>508</v>
      </c>
    </row>
    <row r="49" customFormat="false" ht="15" hidden="false" customHeight="false" outlineLevel="0" collapsed="false">
      <c r="A49" s="9" t="s">
        <v>423</v>
      </c>
      <c r="B49" s="9" t="s">
        <v>424</v>
      </c>
      <c r="C49" s="9" t="s">
        <v>100</v>
      </c>
      <c r="D49" s="9" t="s">
        <v>504</v>
      </c>
      <c r="E49" s="9" t="s">
        <v>505</v>
      </c>
      <c r="F49" s="9" t="s">
        <v>506</v>
      </c>
      <c r="G49" s="9" t="s">
        <v>507</v>
      </c>
      <c r="H49" s="9" t="s">
        <v>150</v>
      </c>
      <c r="I49" s="9" t="n">
        <v>0</v>
      </c>
      <c r="J49" s="9" t="s">
        <v>508</v>
      </c>
    </row>
    <row r="50" customFormat="false" ht="15" hidden="false" customHeight="false" outlineLevel="0" collapsed="false">
      <c r="A50" s="9" t="s">
        <v>423</v>
      </c>
      <c r="B50" s="9" t="s">
        <v>424</v>
      </c>
      <c r="C50" s="9" t="s">
        <v>100</v>
      </c>
      <c r="D50" s="9" t="s">
        <v>509</v>
      </c>
      <c r="E50" s="9" t="s">
        <v>505</v>
      </c>
      <c r="F50" s="9" t="s">
        <v>510</v>
      </c>
      <c r="G50" s="9" t="s">
        <v>507</v>
      </c>
      <c r="H50" s="9" t="s">
        <v>150</v>
      </c>
      <c r="I50" s="9" t="n">
        <v>0</v>
      </c>
      <c r="J50" s="9" t="s">
        <v>508</v>
      </c>
    </row>
    <row r="51" customFormat="false" ht="23.85" hidden="false" customHeight="false" outlineLevel="0" collapsed="false">
      <c r="A51" s="9" t="s">
        <v>423</v>
      </c>
      <c r="B51" s="9" t="s">
        <v>424</v>
      </c>
      <c r="C51" s="9" t="s">
        <v>100</v>
      </c>
      <c r="D51" s="9" t="s">
        <v>511</v>
      </c>
      <c r="E51" s="9" t="s">
        <v>505</v>
      </c>
      <c r="F51" s="9" t="s">
        <v>512</v>
      </c>
      <c r="G51" s="9" t="s">
        <v>507</v>
      </c>
      <c r="H51" s="9" t="s">
        <v>150</v>
      </c>
      <c r="I51" s="9" t="n">
        <v>0</v>
      </c>
      <c r="J51" s="9" t="s">
        <v>508</v>
      </c>
    </row>
    <row r="52" customFormat="false" ht="15" hidden="false" customHeight="false" outlineLevel="0" collapsed="false">
      <c r="A52" s="9" t="s">
        <v>423</v>
      </c>
      <c r="B52" s="9" t="s">
        <v>424</v>
      </c>
      <c r="C52" s="9" t="s">
        <v>100</v>
      </c>
      <c r="D52" s="9" t="s">
        <v>513</v>
      </c>
      <c r="E52" s="9" t="s">
        <v>505</v>
      </c>
      <c r="F52" s="9" t="s">
        <v>514</v>
      </c>
      <c r="G52" s="9" t="s">
        <v>507</v>
      </c>
      <c r="H52" s="9" t="s">
        <v>150</v>
      </c>
      <c r="I52" s="9" t="n">
        <v>0</v>
      </c>
      <c r="J52" s="9" t="s">
        <v>508</v>
      </c>
    </row>
    <row r="53" customFormat="false" ht="15" hidden="false" customHeight="false" outlineLevel="0" collapsed="false">
      <c r="A53" s="9" t="s">
        <v>423</v>
      </c>
      <c r="B53" s="9" t="s">
        <v>424</v>
      </c>
      <c r="C53" s="9" t="s">
        <v>100</v>
      </c>
      <c r="D53" s="9" t="s">
        <v>515</v>
      </c>
      <c r="E53" s="9" t="s">
        <v>505</v>
      </c>
      <c r="F53" s="9" t="s">
        <v>516</v>
      </c>
      <c r="G53" s="9" t="s">
        <v>507</v>
      </c>
      <c r="H53" s="9" t="s">
        <v>150</v>
      </c>
      <c r="I53" s="9" t="n">
        <v>0</v>
      </c>
      <c r="J53" s="9" t="s">
        <v>508</v>
      </c>
    </row>
    <row r="54" customFormat="false" ht="15" hidden="false" customHeight="false" outlineLevel="0" collapsed="false">
      <c r="A54" s="9" t="s">
        <v>423</v>
      </c>
      <c r="B54" s="9" t="s">
        <v>424</v>
      </c>
      <c r="C54" s="9" t="s">
        <v>100</v>
      </c>
      <c r="D54" s="9" t="s">
        <v>517</v>
      </c>
      <c r="E54" s="9" t="s">
        <v>505</v>
      </c>
      <c r="F54" s="9" t="s">
        <v>518</v>
      </c>
      <c r="G54" s="9" t="s">
        <v>507</v>
      </c>
      <c r="H54" s="9" t="s">
        <v>150</v>
      </c>
      <c r="I54" s="9" t="n">
        <v>0</v>
      </c>
      <c r="J54" s="9" t="s">
        <v>508</v>
      </c>
    </row>
    <row r="55" customFormat="false" ht="15" hidden="false" customHeight="false" outlineLevel="0" collapsed="false">
      <c r="A55" s="9" t="s">
        <v>423</v>
      </c>
      <c r="B55" s="9" t="s">
        <v>424</v>
      </c>
      <c r="C55" s="9" t="s">
        <v>100</v>
      </c>
      <c r="D55" s="9" t="s">
        <v>519</v>
      </c>
      <c r="E55" s="9" t="s">
        <v>505</v>
      </c>
      <c r="F55" s="9" t="s">
        <v>520</v>
      </c>
      <c r="G55" s="9" t="s">
        <v>507</v>
      </c>
      <c r="H55" s="9" t="s">
        <v>150</v>
      </c>
      <c r="I55" s="9" t="n">
        <v>0</v>
      </c>
      <c r="J55" s="9" t="s">
        <v>508</v>
      </c>
    </row>
    <row r="56" customFormat="false" ht="15" hidden="false" customHeight="false" outlineLevel="0" collapsed="false">
      <c r="A56" s="9" t="s">
        <v>427</v>
      </c>
      <c r="B56" s="9" t="s">
        <v>428</v>
      </c>
      <c r="C56" s="9" t="s">
        <v>100</v>
      </c>
      <c r="D56" s="9" t="s">
        <v>504</v>
      </c>
      <c r="E56" s="9" t="s">
        <v>505</v>
      </c>
      <c r="F56" s="9" t="s">
        <v>506</v>
      </c>
      <c r="G56" s="9" t="s">
        <v>507</v>
      </c>
      <c r="H56" s="9" t="s">
        <v>150</v>
      </c>
      <c r="I56" s="9" t="n">
        <v>0</v>
      </c>
      <c r="J56" s="9" t="s">
        <v>508</v>
      </c>
    </row>
    <row r="57" customFormat="false" ht="15" hidden="false" customHeight="false" outlineLevel="0" collapsed="false">
      <c r="A57" s="9" t="s">
        <v>427</v>
      </c>
      <c r="B57" s="9" t="s">
        <v>428</v>
      </c>
      <c r="C57" s="9" t="s">
        <v>100</v>
      </c>
      <c r="D57" s="9" t="s">
        <v>509</v>
      </c>
      <c r="E57" s="9" t="s">
        <v>505</v>
      </c>
      <c r="F57" s="9" t="s">
        <v>510</v>
      </c>
      <c r="G57" s="9" t="s">
        <v>507</v>
      </c>
      <c r="H57" s="9" t="s">
        <v>150</v>
      </c>
      <c r="I57" s="9" t="n">
        <v>0</v>
      </c>
      <c r="J57" s="9" t="s">
        <v>508</v>
      </c>
    </row>
    <row r="58" customFormat="false" ht="23.85" hidden="false" customHeight="false" outlineLevel="0" collapsed="false">
      <c r="A58" s="9" t="s">
        <v>427</v>
      </c>
      <c r="B58" s="9" t="s">
        <v>428</v>
      </c>
      <c r="C58" s="9" t="s">
        <v>100</v>
      </c>
      <c r="D58" s="9" t="s">
        <v>511</v>
      </c>
      <c r="E58" s="9" t="s">
        <v>505</v>
      </c>
      <c r="F58" s="9" t="s">
        <v>512</v>
      </c>
      <c r="G58" s="9" t="s">
        <v>507</v>
      </c>
      <c r="H58" s="9" t="s">
        <v>150</v>
      </c>
      <c r="I58" s="9" t="n">
        <v>0</v>
      </c>
      <c r="J58" s="9" t="s">
        <v>508</v>
      </c>
    </row>
    <row r="59" customFormat="false" ht="15" hidden="false" customHeight="false" outlineLevel="0" collapsed="false">
      <c r="A59" s="9" t="s">
        <v>427</v>
      </c>
      <c r="B59" s="9" t="s">
        <v>428</v>
      </c>
      <c r="C59" s="9" t="s">
        <v>100</v>
      </c>
      <c r="D59" s="9" t="s">
        <v>513</v>
      </c>
      <c r="E59" s="9" t="s">
        <v>505</v>
      </c>
      <c r="F59" s="9" t="s">
        <v>514</v>
      </c>
      <c r="G59" s="9" t="s">
        <v>507</v>
      </c>
      <c r="H59" s="9" t="s">
        <v>150</v>
      </c>
      <c r="I59" s="9" t="n">
        <v>0</v>
      </c>
      <c r="J59" s="9" t="s">
        <v>508</v>
      </c>
    </row>
    <row r="60" customFormat="false" ht="15" hidden="false" customHeight="false" outlineLevel="0" collapsed="false">
      <c r="A60" s="9" t="s">
        <v>427</v>
      </c>
      <c r="B60" s="9" t="s">
        <v>428</v>
      </c>
      <c r="C60" s="9" t="s">
        <v>100</v>
      </c>
      <c r="D60" s="9" t="s">
        <v>515</v>
      </c>
      <c r="E60" s="9" t="s">
        <v>505</v>
      </c>
      <c r="F60" s="9" t="s">
        <v>516</v>
      </c>
      <c r="G60" s="9" t="s">
        <v>507</v>
      </c>
      <c r="H60" s="9" t="s">
        <v>150</v>
      </c>
      <c r="I60" s="9" t="n">
        <v>0</v>
      </c>
      <c r="J60" s="9" t="s">
        <v>508</v>
      </c>
    </row>
    <row r="61" customFormat="false" ht="15" hidden="false" customHeight="false" outlineLevel="0" collapsed="false">
      <c r="A61" s="9" t="s">
        <v>427</v>
      </c>
      <c r="B61" s="9" t="s">
        <v>428</v>
      </c>
      <c r="C61" s="9" t="s">
        <v>100</v>
      </c>
      <c r="D61" s="9" t="s">
        <v>517</v>
      </c>
      <c r="E61" s="9" t="s">
        <v>505</v>
      </c>
      <c r="F61" s="9" t="s">
        <v>518</v>
      </c>
      <c r="G61" s="9" t="s">
        <v>507</v>
      </c>
      <c r="H61" s="9" t="s">
        <v>150</v>
      </c>
      <c r="I61" s="9" t="n">
        <v>0</v>
      </c>
      <c r="J61" s="9" t="s">
        <v>508</v>
      </c>
    </row>
    <row r="62" customFormat="false" ht="15" hidden="false" customHeight="false" outlineLevel="0" collapsed="false">
      <c r="A62" s="9" t="s">
        <v>427</v>
      </c>
      <c r="B62" s="9" t="s">
        <v>428</v>
      </c>
      <c r="C62" s="9" t="s">
        <v>100</v>
      </c>
      <c r="D62" s="9" t="s">
        <v>519</v>
      </c>
      <c r="E62" s="9" t="s">
        <v>505</v>
      </c>
      <c r="F62" s="9" t="s">
        <v>520</v>
      </c>
      <c r="G62" s="9" t="s">
        <v>507</v>
      </c>
      <c r="H62" s="9" t="s">
        <v>150</v>
      </c>
      <c r="I62" s="9" t="n">
        <v>0</v>
      </c>
      <c r="J62" s="9" t="s">
        <v>508</v>
      </c>
    </row>
    <row r="63" customFormat="false" ht="15" hidden="false" customHeight="false" outlineLevel="0" collapsed="false">
      <c r="A63" s="9" t="s">
        <v>431</v>
      </c>
      <c r="B63" s="9" t="s">
        <v>432</v>
      </c>
      <c r="C63" s="9" t="s">
        <v>107</v>
      </c>
      <c r="D63" s="9" t="s">
        <v>504</v>
      </c>
      <c r="E63" s="9" t="s">
        <v>505</v>
      </c>
      <c r="F63" s="9" t="s">
        <v>506</v>
      </c>
      <c r="G63" s="9" t="s">
        <v>507</v>
      </c>
      <c r="H63" s="9" t="s">
        <v>150</v>
      </c>
      <c r="I63" s="9" t="n">
        <v>0</v>
      </c>
      <c r="J63" s="9" t="s">
        <v>508</v>
      </c>
    </row>
    <row r="64" customFormat="false" ht="15" hidden="false" customHeight="false" outlineLevel="0" collapsed="false">
      <c r="A64" s="9" t="s">
        <v>431</v>
      </c>
      <c r="B64" s="9" t="s">
        <v>432</v>
      </c>
      <c r="C64" s="9" t="s">
        <v>107</v>
      </c>
      <c r="D64" s="9" t="s">
        <v>509</v>
      </c>
      <c r="E64" s="9" t="s">
        <v>505</v>
      </c>
      <c r="F64" s="9" t="s">
        <v>510</v>
      </c>
      <c r="G64" s="9" t="s">
        <v>507</v>
      </c>
      <c r="H64" s="9" t="s">
        <v>150</v>
      </c>
      <c r="I64" s="9" t="n">
        <v>0</v>
      </c>
      <c r="J64" s="9" t="s">
        <v>508</v>
      </c>
    </row>
    <row r="65" customFormat="false" ht="23.85" hidden="false" customHeight="false" outlineLevel="0" collapsed="false">
      <c r="A65" s="9" t="s">
        <v>431</v>
      </c>
      <c r="B65" s="9" t="s">
        <v>432</v>
      </c>
      <c r="C65" s="9" t="s">
        <v>107</v>
      </c>
      <c r="D65" s="9" t="s">
        <v>511</v>
      </c>
      <c r="E65" s="9" t="s">
        <v>505</v>
      </c>
      <c r="F65" s="9" t="s">
        <v>512</v>
      </c>
      <c r="G65" s="9" t="s">
        <v>507</v>
      </c>
      <c r="H65" s="9" t="s">
        <v>150</v>
      </c>
      <c r="I65" s="9" t="n">
        <v>0</v>
      </c>
      <c r="J65" s="9" t="s">
        <v>508</v>
      </c>
    </row>
    <row r="66" customFormat="false" ht="15" hidden="false" customHeight="false" outlineLevel="0" collapsed="false">
      <c r="A66" s="9" t="s">
        <v>431</v>
      </c>
      <c r="B66" s="9" t="s">
        <v>432</v>
      </c>
      <c r="C66" s="9" t="s">
        <v>107</v>
      </c>
      <c r="D66" s="9" t="s">
        <v>513</v>
      </c>
      <c r="E66" s="9" t="s">
        <v>505</v>
      </c>
      <c r="F66" s="9" t="s">
        <v>514</v>
      </c>
      <c r="G66" s="9" t="s">
        <v>507</v>
      </c>
      <c r="H66" s="9" t="s">
        <v>150</v>
      </c>
      <c r="I66" s="9" t="n">
        <v>0</v>
      </c>
      <c r="J66" s="9" t="s">
        <v>508</v>
      </c>
    </row>
    <row r="67" customFormat="false" ht="15" hidden="false" customHeight="false" outlineLevel="0" collapsed="false">
      <c r="A67" s="9" t="s">
        <v>431</v>
      </c>
      <c r="B67" s="9" t="s">
        <v>432</v>
      </c>
      <c r="C67" s="9" t="s">
        <v>107</v>
      </c>
      <c r="D67" s="9" t="s">
        <v>515</v>
      </c>
      <c r="E67" s="9" t="s">
        <v>505</v>
      </c>
      <c r="F67" s="9" t="s">
        <v>516</v>
      </c>
      <c r="G67" s="9" t="s">
        <v>507</v>
      </c>
      <c r="H67" s="9" t="s">
        <v>150</v>
      </c>
      <c r="I67" s="9" t="n">
        <v>0</v>
      </c>
      <c r="J67" s="9" t="s">
        <v>508</v>
      </c>
    </row>
    <row r="68" customFormat="false" ht="15" hidden="false" customHeight="false" outlineLevel="0" collapsed="false">
      <c r="A68" s="9" t="s">
        <v>431</v>
      </c>
      <c r="B68" s="9" t="s">
        <v>432</v>
      </c>
      <c r="C68" s="9" t="s">
        <v>107</v>
      </c>
      <c r="D68" s="9" t="s">
        <v>517</v>
      </c>
      <c r="E68" s="9" t="s">
        <v>505</v>
      </c>
      <c r="F68" s="9" t="s">
        <v>518</v>
      </c>
      <c r="G68" s="9" t="s">
        <v>507</v>
      </c>
      <c r="H68" s="9" t="s">
        <v>150</v>
      </c>
      <c r="I68" s="9" t="n">
        <v>0</v>
      </c>
      <c r="J68" s="9" t="s">
        <v>508</v>
      </c>
    </row>
    <row r="69" customFormat="false" ht="15" hidden="false" customHeight="false" outlineLevel="0" collapsed="false">
      <c r="A69" s="9" t="s">
        <v>431</v>
      </c>
      <c r="B69" s="9" t="s">
        <v>432</v>
      </c>
      <c r="C69" s="9" t="s">
        <v>107</v>
      </c>
      <c r="D69" s="9" t="s">
        <v>519</v>
      </c>
      <c r="E69" s="9" t="s">
        <v>505</v>
      </c>
      <c r="F69" s="9" t="s">
        <v>520</v>
      </c>
      <c r="G69" s="9" t="s">
        <v>507</v>
      </c>
      <c r="H69" s="9" t="s">
        <v>150</v>
      </c>
      <c r="I69" s="9" t="n">
        <v>0</v>
      </c>
      <c r="J69" s="9" t="s">
        <v>508</v>
      </c>
    </row>
    <row r="70" customFormat="false" ht="15" hidden="false" customHeight="false" outlineLevel="0" collapsed="false">
      <c r="A70" s="9" t="s">
        <v>435</v>
      </c>
      <c r="B70" s="9" t="s">
        <v>436</v>
      </c>
      <c r="C70" s="9" t="s">
        <v>107</v>
      </c>
      <c r="D70" s="9" t="s">
        <v>504</v>
      </c>
      <c r="E70" s="9" t="s">
        <v>505</v>
      </c>
      <c r="F70" s="9" t="s">
        <v>506</v>
      </c>
      <c r="G70" s="9" t="s">
        <v>507</v>
      </c>
      <c r="H70" s="9" t="s">
        <v>150</v>
      </c>
      <c r="I70" s="9" t="n">
        <v>0</v>
      </c>
      <c r="J70" s="9" t="s">
        <v>508</v>
      </c>
    </row>
    <row r="71" customFormat="false" ht="15" hidden="false" customHeight="false" outlineLevel="0" collapsed="false">
      <c r="A71" s="9" t="s">
        <v>435</v>
      </c>
      <c r="B71" s="9" t="s">
        <v>436</v>
      </c>
      <c r="C71" s="9" t="s">
        <v>107</v>
      </c>
      <c r="D71" s="9" t="s">
        <v>509</v>
      </c>
      <c r="E71" s="9" t="s">
        <v>505</v>
      </c>
      <c r="F71" s="9" t="s">
        <v>510</v>
      </c>
      <c r="G71" s="9" t="s">
        <v>507</v>
      </c>
      <c r="H71" s="9" t="s">
        <v>150</v>
      </c>
      <c r="I71" s="9" t="n">
        <v>0</v>
      </c>
      <c r="J71" s="9" t="s">
        <v>508</v>
      </c>
    </row>
    <row r="72" customFormat="false" ht="23.85" hidden="false" customHeight="false" outlineLevel="0" collapsed="false">
      <c r="A72" s="9" t="s">
        <v>435</v>
      </c>
      <c r="B72" s="9" t="s">
        <v>436</v>
      </c>
      <c r="C72" s="9" t="s">
        <v>107</v>
      </c>
      <c r="D72" s="9" t="s">
        <v>511</v>
      </c>
      <c r="E72" s="9" t="s">
        <v>505</v>
      </c>
      <c r="F72" s="9" t="s">
        <v>512</v>
      </c>
      <c r="G72" s="9" t="s">
        <v>507</v>
      </c>
      <c r="H72" s="9" t="s">
        <v>150</v>
      </c>
      <c r="I72" s="9" t="n">
        <v>0</v>
      </c>
      <c r="J72" s="9" t="s">
        <v>508</v>
      </c>
    </row>
    <row r="73" customFormat="false" ht="15" hidden="false" customHeight="false" outlineLevel="0" collapsed="false">
      <c r="A73" s="9" t="s">
        <v>435</v>
      </c>
      <c r="B73" s="9" t="s">
        <v>436</v>
      </c>
      <c r="C73" s="9" t="s">
        <v>107</v>
      </c>
      <c r="D73" s="9" t="s">
        <v>513</v>
      </c>
      <c r="E73" s="9" t="s">
        <v>505</v>
      </c>
      <c r="F73" s="9" t="s">
        <v>514</v>
      </c>
      <c r="G73" s="9" t="s">
        <v>507</v>
      </c>
      <c r="H73" s="9" t="s">
        <v>150</v>
      </c>
      <c r="I73" s="9" t="n">
        <v>0</v>
      </c>
      <c r="J73" s="9" t="s">
        <v>508</v>
      </c>
    </row>
    <row r="74" customFormat="false" ht="15" hidden="false" customHeight="false" outlineLevel="0" collapsed="false">
      <c r="A74" s="9" t="s">
        <v>435</v>
      </c>
      <c r="B74" s="9" t="s">
        <v>436</v>
      </c>
      <c r="C74" s="9" t="s">
        <v>107</v>
      </c>
      <c r="D74" s="9" t="s">
        <v>515</v>
      </c>
      <c r="E74" s="9" t="s">
        <v>505</v>
      </c>
      <c r="F74" s="9" t="s">
        <v>516</v>
      </c>
      <c r="G74" s="9" t="s">
        <v>507</v>
      </c>
      <c r="H74" s="9" t="s">
        <v>150</v>
      </c>
      <c r="I74" s="9" t="n">
        <v>0</v>
      </c>
      <c r="J74" s="9" t="s">
        <v>508</v>
      </c>
    </row>
    <row r="75" customFormat="false" ht="15" hidden="false" customHeight="false" outlineLevel="0" collapsed="false">
      <c r="A75" s="9" t="s">
        <v>435</v>
      </c>
      <c r="B75" s="9" t="s">
        <v>436</v>
      </c>
      <c r="C75" s="9" t="s">
        <v>107</v>
      </c>
      <c r="D75" s="9" t="s">
        <v>517</v>
      </c>
      <c r="E75" s="9" t="s">
        <v>505</v>
      </c>
      <c r="F75" s="9" t="s">
        <v>518</v>
      </c>
      <c r="G75" s="9" t="s">
        <v>507</v>
      </c>
      <c r="H75" s="9" t="s">
        <v>150</v>
      </c>
      <c r="I75" s="9" t="n">
        <v>0</v>
      </c>
      <c r="J75" s="9" t="s">
        <v>508</v>
      </c>
    </row>
    <row r="76" customFormat="false" ht="15" hidden="false" customHeight="false" outlineLevel="0" collapsed="false">
      <c r="A76" s="9" t="s">
        <v>435</v>
      </c>
      <c r="B76" s="9" t="s">
        <v>436</v>
      </c>
      <c r="C76" s="9" t="s">
        <v>107</v>
      </c>
      <c r="D76" s="9" t="s">
        <v>519</v>
      </c>
      <c r="E76" s="9" t="s">
        <v>505</v>
      </c>
      <c r="F76" s="9" t="s">
        <v>520</v>
      </c>
      <c r="G76" s="9" t="s">
        <v>507</v>
      </c>
      <c r="H76" s="9" t="s">
        <v>150</v>
      </c>
      <c r="I76" s="9" t="n">
        <v>0</v>
      </c>
      <c r="J76" s="9" t="s">
        <v>508</v>
      </c>
    </row>
    <row r="77" customFormat="false" ht="15" hidden="false" customHeight="false" outlineLevel="0" collapsed="false">
      <c r="A77" s="9" t="s">
        <v>439</v>
      </c>
      <c r="B77" s="9" t="s">
        <v>440</v>
      </c>
      <c r="C77" s="9" t="s">
        <v>107</v>
      </c>
      <c r="D77" s="9" t="s">
        <v>504</v>
      </c>
      <c r="E77" s="9" t="s">
        <v>505</v>
      </c>
      <c r="F77" s="9" t="s">
        <v>506</v>
      </c>
      <c r="G77" s="9" t="s">
        <v>507</v>
      </c>
      <c r="H77" s="9" t="s">
        <v>150</v>
      </c>
      <c r="I77" s="9" t="n">
        <v>0</v>
      </c>
      <c r="J77" s="9" t="s">
        <v>508</v>
      </c>
    </row>
    <row r="78" customFormat="false" ht="15" hidden="false" customHeight="false" outlineLevel="0" collapsed="false">
      <c r="A78" s="9" t="s">
        <v>439</v>
      </c>
      <c r="B78" s="9" t="s">
        <v>440</v>
      </c>
      <c r="C78" s="9" t="s">
        <v>107</v>
      </c>
      <c r="D78" s="9" t="s">
        <v>509</v>
      </c>
      <c r="E78" s="9" t="s">
        <v>505</v>
      </c>
      <c r="F78" s="9" t="s">
        <v>510</v>
      </c>
      <c r="G78" s="9" t="s">
        <v>507</v>
      </c>
      <c r="H78" s="9" t="s">
        <v>150</v>
      </c>
      <c r="I78" s="9" t="n">
        <v>0</v>
      </c>
      <c r="J78" s="9" t="s">
        <v>508</v>
      </c>
    </row>
    <row r="79" customFormat="false" ht="23.85" hidden="false" customHeight="false" outlineLevel="0" collapsed="false">
      <c r="A79" s="9" t="s">
        <v>439</v>
      </c>
      <c r="B79" s="9" t="s">
        <v>440</v>
      </c>
      <c r="C79" s="9" t="s">
        <v>107</v>
      </c>
      <c r="D79" s="9" t="s">
        <v>511</v>
      </c>
      <c r="E79" s="9" t="s">
        <v>505</v>
      </c>
      <c r="F79" s="9" t="s">
        <v>512</v>
      </c>
      <c r="G79" s="9" t="s">
        <v>507</v>
      </c>
      <c r="H79" s="9" t="s">
        <v>150</v>
      </c>
      <c r="I79" s="9" t="n">
        <v>0</v>
      </c>
      <c r="J79" s="9" t="s">
        <v>508</v>
      </c>
    </row>
    <row r="80" customFormat="false" ht="15" hidden="false" customHeight="false" outlineLevel="0" collapsed="false">
      <c r="A80" s="9" t="s">
        <v>439</v>
      </c>
      <c r="B80" s="9" t="s">
        <v>440</v>
      </c>
      <c r="C80" s="9" t="s">
        <v>107</v>
      </c>
      <c r="D80" s="9" t="s">
        <v>513</v>
      </c>
      <c r="E80" s="9" t="s">
        <v>505</v>
      </c>
      <c r="F80" s="9" t="s">
        <v>514</v>
      </c>
      <c r="G80" s="9" t="s">
        <v>507</v>
      </c>
      <c r="H80" s="9" t="s">
        <v>150</v>
      </c>
      <c r="I80" s="9" t="n">
        <v>0</v>
      </c>
      <c r="J80" s="9" t="s">
        <v>508</v>
      </c>
    </row>
    <row r="81" customFormat="false" ht="15" hidden="false" customHeight="false" outlineLevel="0" collapsed="false">
      <c r="A81" s="9" t="s">
        <v>439</v>
      </c>
      <c r="B81" s="9" t="s">
        <v>440</v>
      </c>
      <c r="C81" s="9" t="s">
        <v>107</v>
      </c>
      <c r="D81" s="9" t="s">
        <v>515</v>
      </c>
      <c r="E81" s="9" t="s">
        <v>505</v>
      </c>
      <c r="F81" s="9" t="s">
        <v>516</v>
      </c>
      <c r="G81" s="9" t="s">
        <v>507</v>
      </c>
      <c r="H81" s="9" t="s">
        <v>150</v>
      </c>
      <c r="I81" s="9" t="n">
        <v>0</v>
      </c>
      <c r="J81" s="9" t="s">
        <v>508</v>
      </c>
    </row>
    <row r="82" customFormat="false" ht="15" hidden="false" customHeight="false" outlineLevel="0" collapsed="false">
      <c r="A82" s="9" t="s">
        <v>439</v>
      </c>
      <c r="B82" s="9" t="s">
        <v>440</v>
      </c>
      <c r="C82" s="9" t="s">
        <v>107</v>
      </c>
      <c r="D82" s="9" t="s">
        <v>517</v>
      </c>
      <c r="E82" s="9" t="s">
        <v>505</v>
      </c>
      <c r="F82" s="9" t="s">
        <v>518</v>
      </c>
      <c r="G82" s="9" t="s">
        <v>507</v>
      </c>
      <c r="H82" s="9" t="s">
        <v>150</v>
      </c>
      <c r="I82" s="9" t="n">
        <v>0</v>
      </c>
      <c r="J82" s="9" t="s">
        <v>508</v>
      </c>
    </row>
    <row r="83" customFormat="false" ht="15" hidden="false" customHeight="false" outlineLevel="0" collapsed="false">
      <c r="A83" s="9" t="s">
        <v>439</v>
      </c>
      <c r="B83" s="9" t="s">
        <v>440</v>
      </c>
      <c r="C83" s="9" t="s">
        <v>107</v>
      </c>
      <c r="D83" s="9" t="s">
        <v>519</v>
      </c>
      <c r="E83" s="9" t="s">
        <v>505</v>
      </c>
      <c r="F83" s="9" t="s">
        <v>520</v>
      </c>
      <c r="G83" s="9" t="s">
        <v>507</v>
      </c>
      <c r="H83" s="9" t="s">
        <v>150</v>
      </c>
      <c r="I83" s="9" t="n">
        <v>0</v>
      </c>
      <c r="J83" s="9" t="s">
        <v>508</v>
      </c>
    </row>
    <row r="84" customFormat="false" ht="15" hidden="false" customHeight="false" outlineLevel="0" collapsed="false">
      <c r="A84" s="9" t="s">
        <v>443</v>
      </c>
      <c r="B84" s="9" t="s">
        <v>444</v>
      </c>
      <c r="C84" s="9" t="s">
        <v>107</v>
      </c>
      <c r="D84" s="9" t="s">
        <v>504</v>
      </c>
      <c r="E84" s="9" t="s">
        <v>505</v>
      </c>
      <c r="F84" s="9" t="s">
        <v>506</v>
      </c>
      <c r="G84" s="9" t="s">
        <v>507</v>
      </c>
      <c r="H84" s="9" t="s">
        <v>150</v>
      </c>
      <c r="I84" s="9" t="n">
        <v>0</v>
      </c>
      <c r="J84" s="9" t="s">
        <v>508</v>
      </c>
    </row>
    <row r="85" customFormat="false" ht="15" hidden="false" customHeight="false" outlineLevel="0" collapsed="false">
      <c r="A85" s="9" t="s">
        <v>443</v>
      </c>
      <c r="B85" s="9" t="s">
        <v>444</v>
      </c>
      <c r="C85" s="9" t="s">
        <v>107</v>
      </c>
      <c r="D85" s="9" t="s">
        <v>509</v>
      </c>
      <c r="E85" s="9" t="s">
        <v>505</v>
      </c>
      <c r="F85" s="9" t="s">
        <v>510</v>
      </c>
      <c r="G85" s="9" t="s">
        <v>507</v>
      </c>
      <c r="H85" s="9" t="s">
        <v>150</v>
      </c>
      <c r="I85" s="9" t="n">
        <v>0</v>
      </c>
      <c r="J85" s="9" t="s">
        <v>508</v>
      </c>
    </row>
    <row r="86" customFormat="false" ht="23.85" hidden="false" customHeight="false" outlineLevel="0" collapsed="false">
      <c r="A86" s="9" t="s">
        <v>443</v>
      </c>
      <c r="B86" s="9" t="s">
        <v>444</v>
      </c>
      <c r="C86" s="9" t="s">
        <v>107</v>
      </c>
      <c r="D86" s="9" t="s">
        <v>511</v>
      </c>
      <c r="E86" s="9" t="s">
        <v>505</v>
      </c>
      <c r="F86" s="9" t="s">
        <v>512</v>
      </c>
      <c r="G86" s="9" t="s">
        <v>507</v>
      </c>
      <c r="H86" s="9" t="s">
        <v>150</v>
      </c>
      <c r="I86" s="9" t="n">
        <v>0</v>
      </c>
      <c r="J86" s="9" t="s">
        <v>508</v>
      </c>
    </row>
    <row r="87" customFormat="false" ht="15" hidden="false" customHeight="false" outlineLevel="0" collapsed="false">
      <c r="A87" s="9" t="s">
        <v>443</v>
      </c>
      <c r="B87" s="9" t="s">
        <v>444</v>
      </c>
      <c r="C87" s="9" t="s">
        <v>107</v>
      </c>
      <c r="D87" s="9" t="s">
        <v>513</v>
      </c>
      <c r="E87" s="9" t="s">
        <v>505</v>
      </c>
      <c r="F87" s="9" t="s">
        <v>514</v>
      </c>
      <c r="G87" s="9" t="s">
        <v>507</v>
      </c>
      <c r="H87" s="9" t="s">
        <v>150</v>
      </c>
      <c r="I87" s="9" t="n">
        <v>0</v>
      </c>
      <c r="J87" s="9" t="s">
        <v>508</v>
      </c>
    </row>
    <row r="88" customFormat="false" ht="15" hidden="false" customHeight="false" outlineLevel="0" collapsed="false">
      <c r="A88" s="9" t="s">
        <v>443</v>
      </c>
      <c r="B88" s="9" t="s">
        <v>444</v>
      </c>
      <c r="C88" s="9" t="s">
        <v>107</v>
      </c>
      <c r="D88" s="9" t="s">
        <v>515</v>
      </c>
      <c r="E88" s="9" t="s">
        <v>505</v>
      </c>
      <c r="F88" s="9" t="s">
        <v>516</v>
      </c>
      <c r="G88" s="9" t="s">
        <v>507</v>
      </c>
      <c r="H88" s="9" t="s">
        <v>150</v>
      </c>
      <c r="I88" s="9" t="n">
        <v>0</v>
      </c>
      <c r="J88" s="9" t="s">
        <v>508</v>
      </c>
    </row>
    <row r="89" customFormat="false" ht="15" hidden="false" customHeight="false" outlineLevel="0" collapsed="false">
      <c r="A89" s="9" t="s">
        <v>443</v>
      </c>
      <c r="B89" s="9" t="s">
        <v>444</v>
      </c>
      <c r="C89" s="9" t="s">
        <v>107</v>
      </c>
      <c r="D89" s="9" t="s">
        <v>517</v>
      </c>
      <c r="E89" s="9" t="s">
        <v>505</v>
      </c>
      <c r="F89" s="9" t="s">
        <v>518</v>
      </c>
      <c r="G89" s="9" t="s">
        <v>507</v>
      </c>
      <c r="H89" s="9" t="s">
        <v>150</v>
      </c>
      <c r="I89" s="9" t="n">
        <v>0</v>
      </c>
      <c r="J89" s="9" t="s">
        <v>508</v>
      </c>
    </row>
    <row r="90" customFormat="false" ht="15" hidden="false" customHeight="false" outlineLevel="0" collapsed="false">
      <c r="A90" s="9" t="s">
        <v>443</v>
      </c>
      <c r="B90" s="9" t="s">
        <v>444</v>
      </c>
      <c r="C90" s="9" t="s">
        <v>107</v>
      </c>
      <c r="D90" s="9" t="s">
        <v>519</v>
      </c>
      <c r="E90" s="9" t="s">
        <v>505</v>
      </c>
      <c r="F90" s="9" t="s">
        <v>520</v>
      </c>
      <c r="G90" s="9" t="s">
        <v>507</v>
      </c>
      <c r="H90" s="9" t="s">
        <v>150</v>
      </c>
      <c r="I90" s="9" t="n">
        <v>0</v>
      </c>
      <c r="J90" s="9" t="s">
        <v>508</v>
      </c>
    </row>
    <row r="91" customFormat="false" ht="15" hidden="false" customHeight="false" outlineLevel="0" collapsed="false">
      <c r="A91" s="9" t="s">
        <v>447</v>
      </c>
      <c r="B91" s="9" t="s">
        <v>448</v>
      </c>
      <c r="C91" s="9" t="s">
        <v>114</v>
      </c>
      <c r="D91" s="9" t="s">
        <v>504</v>
      </c>
      <c r="E91" s="9" t="s">
        <v>505</v>
      </c>
      <c r="F91" s="9" t="s">
        <v>506</v>
      </c>
      <c r="G91" s="9" t="s">
        <v>507</v>
      </c>
      <c r="H91" s="9" t="s">
        <v>150</v>
      </c>
      <c r="I91" s="9" t="n">
        <v>0</v>
      </c>
      <c r="J91" s="9" t="s">
        <v>508</v>
      </c>
    </row>
    <row r="92" customFormat="false" ht="15" hidden="false" customHeight="false" outlineLevel="0" collapsed="false">
      <c r="A92" s="9" t="s">
        <v>447</v>
      </c>
      <c r="B92" s="9" t="s">
        <v>448</v>
      </c>
      <c r="C92" s="9" t="s">
        <v>114</v>
      </c>
      <c r="D92" s="9" t="s">
        <v>509</v>
      </c>
      <c r="E92" s="9" t="s">
        <v>505</v>
      </c>
      <c r="F92" s="9" t="s">
        <v>510</v>
      </c>
      <c r="G92" s="9" t="s">
        <v>507</v>
      </c>
      <c r="H92" s="9" t="s">
        <v>150</v>
      </c>
      <c r="I92" s="9" t="n">
        <v>0</v>
      </c>
      <c r="J92" s="9" t="s">
        <v>508</v>
      </c>
    </row>
    <row r="93" customFormat="false" ht="23.85" hidden="false" customHeight="false" outlineLevel="0" collapsed="false">
      <c r="A93" s="9" t="s">
        <v>447</v>
      </c>
      <c r="B93" s="9" t="s">
        <v>448</v>
      </c>
      <c r="C93" s="9" t="s">
        <v>114</v>
      </c>
      <c r="D93" s="9" t="s">
        <v>511</v>
      </c>
      <c r="E93" s="9" t="s">
        <v>505</v>
      </c>
      <c r="F93" s="9" t="s">
        <v>512</v>
      </c>
      <c r="G93" s="9" t="s">
        <v>507</v>
      </c>
      <c r="H93" s="9" t="s">
        <v>150</v>
      </c>
      <c r="I93" s="9" t="n">
        <v>0</v>
      </c>
      <c r="J93" s="9" t="s">
        <v>508</v>
      </c>
    </row>
    <row r="94" customFormat="false" ht="15" hidden="false" customHeight="false" outlineLevel="0" collapsed="false">
      <c r="A94" s="9" t="s">
        <v>447</v>
      </c>
      <c r="B94" s="9" t="s">
        <v>448</v>
      </c>
      <c r="C94" s="9" t="s">
        <v>114</v>
      </c>
      <c r="D94" s="9" t="s">
        <v>513</v>
      </c>
      <c r="E94" s="9" t="s">
        <v>505</v>
      </c>
      <c r="F94" s="9" t="s">
        <v>514</v>
      </c>
      <c r="G94" s="9" t="s">
        <v>507</v>
      </c>
      <c r="H94" s="9" t="s">
        <v>150</v>
      </c>
      <c r="I94" s="9" t="n">
        <v>0</v>
      </c>
      <c r="J94" s="9" t="s">
        <v>508</v>
      </c>
    </row>
    <row r="95" customFormat="false" ht="15" hidden="false" customHeight="false" outlineLevel="0" collapsed="false">
      <c r="A95" s="9" t="s">
        <v>447</v>
      </c>
      <c r="B95" s="9" t="s">
        <v>448</v>
      </c>
      <c r="C95" s="9" t="s">
        <v>114</v>
      </c>
      <c r="D95" s="9" t="s">
        <v>515</v>
      </c>
      <c r="E95" s="9" t="s">
        <v>505</v>
      </c>
      <c r="F95" s="9" t="s">
        <v>516</v>
      </c>
      <c r="G95" s="9" t="s">
        <v>507</v>
      </c>
      <c r="H95" s="9" t="s">
        <v>150</v>
      </c>
      <c r="I95" s="9" t="n">
        <v>0</v>
      </c>
      <c r="J95" s="9" t="s">
        <v>508</v>
      </c>
    </row>
    <row r="96" customFormat="false" ht="15" hidden="false" customHeight="false" outlineLevel="0" collapsed="false">
      <c r="A96" s="9" t="s">
        <v>447</v>
      </c>
      <c r="B96" s="9" t="s">
        <v>448</v>
      </c>
      <c r="C96" s="9" t="s">
        <v>114</v>
      </c>
      <c r="D96" s="9" t="s">
        <v>517</v>
      </c>
      <c r="E96" s="9" t="s">
        <v>505</v>
      </c>
      <c r="F96" s="9" t="s">
        <v>518</v>
      </c>
      <c r="G96" s="9" t="s">
        <v>507</v>
      </c>
      <c r="H96" s="9" t="s">
        <v>150</v>
      </c>
      <c r="I96" s="9" t="n">
        <v>0</v>
      </c>
      <c r="J96" s="9" t="s">
        <v>508</v>
      </c>
    </row>
    <row r="97" customFormat="false" ht="15" hidden="false" customHeight="false" outlineLevel="0" collapsed="false">
      <c r="A97" s="9" t="s">
        <v>447</v>
      </c>
      <c r="B97" s="9" t="s">
        <v>448</v>
      </c>
      <c r="C97" s="9" t="s">
        <v>114</v>
      </c>
      <c r="D97" s="9" t="s">
        <v>519</v>
      </c>
      <c r="E97" s="9" t="s">
        <v>505</v>
      </c>
      <c r="F97" s="9" t="s">
        <v>520</v>
      </c>
      <c r="G97" s="9" t="s">
        <v>507</v>
      </c>
      <c r="H97" s="9" t="s">
        <v>150</v>
      </c>
      <c r="I97" s="9" t="n">
        <v>0</v>
      </c>
      <c r="J97" s="9" t="s">
        <v>508</v>
      </c>
    </row>
    <row r="98" customFormat="false" ht="15" hidden="false" customHeight="false" outlineLevel="0" collapsed="false">
      <c r="A98" s="9" t="s">
        <v>451</v>
      </c>
      <c r="B98" s="9" t="s">
        <v>452</v>
      </c>
      <c r="C98" s="9" t="s">
        <v>114</v>
      </c>
      <c r="D98" s="9" t="s">
        <v>504</v>
      </c>
      <c r="E98" s="9" t="s">
        <v>505</v>
      </c>
      <c r="F98" s="9" t="s">
        <v>506</v>
      </c>
      <c r="G98" s="9" t="s">
        <v>507</v>
      </c>
      <c r="H98" s="9" t="s">
        <v>150</v>
      </c>
      <c r="I98" s="9" t="n">
        <v>0</v>
      </c>
      <c r="J98" s="9" t="s">
        <v>508</v>
      </c>
    </row>
    <row r="99" customFormat="false" ht="15" hidden="false" customHeight="false" outlineLevel="0" collapsed="false">
      <c r="A99" s="9" t="s">
        <v>451</v>
      </c>
      <c r="B99" s="9" t="s">
        <v>452</v>
      </c>
      <c r="C99" s="9" t="s">
        <v>114</v>
      </c>
      <c r="D99" s="9" t="s">
        <v>509</v>
      </c>
      <c r="E99" s="9" t="s">
        <v>505</v>
      </c>
      <c r="F99" s="9" t="s">
        <v>510</v>
      </c>
      <c r="G99" s="9" t="s">
        <v>507</v>
      </c>
      <c r="H99" s="9" t="s">
        <v>150</v>
      </c>
      <c r="I99" s="9" t="n">
        <v>0</v>
      </c>
      <c r="J99" s="9" t="s">
        <v>508</v>
      </c>
    </row>
    <row r="100" customFormat="false" ht="23.85" hidden="false" customHeight="false" outlineLevel="0" collapsed="false">
      <c r="A100" s="9" t="s">
        <v>451</v>
      </c>
      <c r="B100" s="9" t="s">
        <v>452</v>
      </c>
      <c r="C100" s="9" t="s">
        <v>114</v>
      </c>
      <c r="D100" s="9" t="s">
        <v>511</v>
      </c>
      <c r="E100" s="9" t="s">
        <v>505</v>
      </c>
      <c r="F100" s="9" t="s">
        <v>512</v>
      </c>
      <c r="G100" s="9" t="s">
        <v>507</v>
      </c>
      <c r="H100" s="9" t="s">
        <v>150</v>
      </c>
      <c r="I100" s="9" t="n">
        <v>0</v>
      </c>
      <c r="J100" s="9" t="s">
        <v>508</v>
      </c>
    </row>
    <row r="101" customFormat="false" ht="15" hidden="false" customHeight="false" outlineLevel="0" collapsed="false">
      <c r="A101" s="9" t="s">
        <v>451</v>
      </c>
      <c r="B101" s="9" t="s">
        <v>452</v>
      </c>
      <c r="C101" s="9" t="s">
        <v>114</v>
      </c>
      <c r="D101" s="9" t="s">
        <v>513</v>
      </c>
      <c r="E101" s="9" t="s">
        <v>505</v>
      </c>
      <c r="F101" s="9" t="s">
        <v>514</v>
      </c>
      <c r="G101" s="9" t="s">
        <v>507</v>
      </c>
      <c r="H101" s="9" t="s">
        <v>150</v>
      </c>
      <c r="I101" s="9" t="n">
        <v>0</v>
      </c>
      <c r="J101" s="9" t="s">
        <v>508</v>
      </c>
    </row>
    <row r="102" customFormat="false" ht="15" hidden="false" customHeight="false" outlineLevel="0" collapsed="false">
      <c r="A102" s="9" t="s">
        <v>451</v>
      </c>
      <c r="B102" s="9" t="s">
        <v>452</v>
      </c>
      <c r="C102" s="9" t="s">
        <v>114</v>
      </c>
      <c r="D102" s="9" t="s">
        <v>515</v>
      </c>
      <c r="E102" s="9" t="s">
        <v>505</v>
      </c>
      <c r="F102" s="9" t="s">
        <v>516</v>
      </c>
      <c r="G102" s="9" t="s">
        <v>507</v>
      </c>
      <c r="H102" s="9" t="s">
        <v>150</v>
      </c>
      <c r="I102" s="9" t="n">
        <v>0</v>
      </c>
      <c r="J102" s="9" t="s">
        <v>508</v>
      </c>
    </row>
    <row r="103" customFormat="false" ht="15" hidden="false" customHeight="false" outlineLevel="0" collapsed="false">
      <c r="A103" s="9" t="s">
        <v>451</v>
      </c>
      <c r="B103" s="9" t="s">
        <v>452</v>
      </c>
      <c r="C103" s="9" t="s">
        <v>114</v>
      </c>
      <c r="D103" s="9" t="s">
        <v>517</v>
      </c>
      <c r="E103" s="9" t="s">
        <v>505</v>
      </c>
      <c r="F103" s="9" t="s">
        <v>518</v>
      </c>
      <c r="G103" s="9" t="s">
        <v>507</v>
      </c>
      <c r="H103" s="9" t="s">
        <v>150</v>
      </c>
      <c r="I103" s="9" t="n">
        <v>0</v>
      </c>
      <c r="J103" s="9" t="s">
        <v>508</v>
      </c>
    </row>
    <row r="104" customFormat="false" ht="15" hidden="false" customHeight="false" outlineLevel="0" collapsed="false">
      <c r="A104" s="9" t="s">
        <v>451</v>
      </c>
      <c r="B104" s="9" t="s">
        <v>452</v>
      </c>
      <c r="C104" s="9" t="s">
        <v>114</v>
      </c>
      <c r="D104" s="9" t="s">
        <v>519</v>
      </c>
      <c r="E104" s="9" t="s">
        <v>505</v>
      </c>
      <c r="F104" s="9" t="s">
        <v>520</v>
      </c>
      <c r="G104" s="9" t="s">
        <v>507</v>
      </c>
      <c r="H104" s="9" t="s">
        <v>150</v>
      </c>
      <c r="I104" s="9" t="n">
        <v>0</v>
      </c>
      <c r="J104" s="9" t="s">
        <v>508</v>
      </c>
    </row>
    <row r="105" customFormat="false" ht="15" hidden="false" customHeight="false" outlineLevel="0" collapsed="false">
      <c r="A105" s="9" t="s">
        <v>455</v>
      </c>
      <c r="B105" s="9" t="s">
        <v>456</v>
      </c>
      <c r="C105" s="9" t="s">
        <v>114</v>
      </c>
      <c r="D105" s="9" t="s">
        <v>504</v>
      </c>
      <c r="E105" s="9" t="s">
        <v>505</v>
      </c>
      <c r="F105" s="9" t="s">
        <v>506</v>
      </c>
      <c r="G105" s="9" t="s">
        <v>507</v>
      </c>
      <c r="H105" s="9" t="s">
        <v>150</v>
      </c>
      <c r="I105" s="9" t="n">
        <v>0</v>
      </c>
      <c r="J105" s="9" t="s">
        <v>508</v>
      </c>
    </row>
    <row r="106" customFormat="false" ht="15" hidden="false" customHeight="false" outlineLevel="0" collapsed="false">
      <c r="A106" s="9" t="s">
        <v>455</v>
      </c>
      <c r="B106" s="9" t="s">
        <v>456</v>
      </c>
      <c r="C106" s="9" t="s">
        <v>114</v>
      </c>
      <c r="D106" s="9" t="s">
        <v>509</v>
      </c>
      <c r="E106" s="9" t="s">
        <v>505</v>
      </c>
      <c r="F106" s="9" t="s">
        <v>510</v>
      </c>
      <c r="G106" s="9" t="s">
        <v>507</v>
      </c>
      <c r="H106" s="9" t="s">
        <v>150</v>
      </c>
      <c r="I106" s="9" t="n">
        <v>0</v>
      </c>
      <c r="J106" s="9" t="s">
        <v>508</v>
      </c>
    </row>
    <row r="107" customFormat="false" ht="23.85" hidden="false" customHeight="false" outlineLevel="0" collapsed="false">
      <c r="A107" s="9" t="s">
        <v>455</v>
      </c>
      <c r="B107" s="9" t="s">
        <v>456</v>
      </c>
      <c r="C107" s="9" t="s">
        <v>114</v>
      </c>
      <c r="D107" s="9" t="s">
        <v>511</v>
      </c>
      <c r="E107" s="9" t="s">
        <v>505</v>
      </c>
      <c r="F107" s="9" t="s">
        <v>512</v>
      </c>
      <c r="G107" s="9" t="s">
        <v>507</v>
      </c>
      <c r="H107" s="9" t="s">
        <v>150</v>
      </c>
      <c r="I107" s="9" t="n">
        <v>0</v>
      </c>
      <c r="J107" s="9" t="s">
        <v>508</v>
      </c>
    </row>
    <row r="108" customFormat="false" ht="15" hidden="false" customHeight="false" outlineLevel="0" collapsed="false">
      <c r="A108" s="9" t="s">
        <v>455</v>
      </c>
      <c r="B108" s="9" t="s">
        <v>456</v>
      </c>
      <c r="C108" s="9" t="s">
        <v>114</v>
      </c>
      <c r="D108" s="9" t="s">
        <v>513</v>
      </c>
      <c r="E108" s="9" t="s">
        <v>505</v>
      </c>
      <c r="F108" s="9" t="s">
        <v>514</v>
      </c>
      <c r="G108" s="9" t="s">
        <v>507</v>
      </c>
      <c r="H108" s="9" t="s">
        <v>150</v>
      </c>
      <c r="I108" s="9" t="n">
        <v>0</v>
      </c>
      <c r="J108" s="9" t="s">
        <v>508</v>
      </c>
    </row>
    <row r="109" customFormat="false" ht="15" hidden="false" customHeight="false" outlineLevel="0" collapsed="false">
      <c r="A109" s="9" t="s">
        <v>455</v>
      </c>
      <c r="B109" s="9" t="s">
        <v>456</v>
      </c>
      <c r="C109" s="9" t="s">
        <v>114</v>
      </c>
      <c r="D109" s="9" t="s">
        <v>515</v>
      </c>
      <c r="E109" s="9" t="s">
        <v>505</v>
      </c>
      <c r="F109" s="9" t="s">
        <v>516</v>
      </c>
      <c r="G109" s="9" t="s">
        <v>507</v>
      </c>
      <c r="H109" s="9" t="s">
        <v>150</v>
      </c>
      <c r="I109" s="9" t="n">
        <v>0</v>
      </c>
      <c r="J109" s="9" t="s">
        <v>508</v>
      </c>
    </row>
    <row r="110" customFormat="false" ht="15" hidden="false" customHeight="false" outlineLevel="0" collapsed="false">
      <c r="A110" s="9" t="s">
        <v>455</v>
      </c>
      <c r="B110" s="9" t="s">
        <v>456</v>
      </c>
      <c r="C110" s="9" t="s">
        <v>114</v>
      </c>
      <c r="D110" s="9" t="s">
        <v>517</v>
      </c>
      <c r="E110" s="9" t="s">
        <v>505</v>
      </c>
      <c r="F110" s="9" t="s">
        <v>518</v>
      </c>
      <c r="G110" s="9" t="s">
        <v>507</v>
      </c>
      <c r="H110" s="9" t="s">
        <v>150</v>
      </c>
      <c r="I110" s="9" t="n">
        <v>0</v>
      </c>
      <c r="J110" s="9" t="s">
        <v>508</v>
      </c>
    </row>
    <row r="111" customFormat="false" ht="15" hidden="false" customHeight="false" outlineLevel="0" collapsed="false">
      <c r="A111" s="9" t="s">
        <v>455</v>
      </c>
      <c r="B111" s="9" t="s">
        <v>456</v>
      </c>
      <c r="C111" s="9" t="s">
        <v>114</v>
      </c>
      <c r="D111" s="9" t="s">
        <v>519</v>
      </c>
      <c r="E111" s="9" t="s">
        <v>505</v>
      </c>
      <c r="F111" s="9" t="s">
        <v>520</v>
      </c>
      <c r="G111" s="9" t="s">
        <v>507</v>
      </c>
      <c r="H111" s="9" t="s">
        <v>150</v>
      </c>
      <c r="I111" s="9" t="n">
        <v>0</v>
      </c>
      <c r="J111" s="9" t="s">
        <v>508</v>
      </c>
    </row>
    <row r="112" customFormat="false" ht="15" hidden="false" customHeight="false" outlineLevel="0" collapsed="false">
      <c r="A112" s="9" t="s">
        <v>459</v>
      </c>
      <c r="B112" s="9" t="s">
        <v>460</v>
      </c>
      <c r="C112" s="9" t="s">
        <v>114</v>
      </c>
      <c r="D112" s="9" t="s">
        <v>504</v>
      </c>
      <c r="E112" s="9" t="s">
        <v>505</v>
      </c>
      <c r="F112" s="9" t="s">
        <v>506</v>
      </c>
      <c r="G112" s="9" t="s">
        <v>507</v>
      </c>
      <c r="H112" s="9" t="s">
        <v>150</v>
      </c>
      <c r="I112" s="9" t="n">
        <v>0</v>
      </c>
      <c r="J112" s="9" t="s">
        <v>508</v>
      </c>
    </row>
    <row r="113" customFormat="false" ht="15" hidden="false" customHeight="false" outlineLevel="0" collapsed="false">
      <c r="A113" s="9" t="s">
        <v>459</v>
      </c>
      <c r="B113" s="9" t="s">
        <v>460</v>
      </c>
      <c r="C113" s="9" t="s">
        <v>114</v>
      </c>
      <c r="D113" s="9" t="s">
        <v>509</v>
      </c>
      <c r="E113" s="9" t="s">
        <v>505</v>
      </c>
      <c r="F113" s="9" t="s">
        <v>510</v>
      </c>
      <c r="G113" s="9" t="s">
        <v>507</v>
      </c>
      <c r="H113" s="9" t="s">
        <v>150</v>
      </c>
      <c r="I113" s="9" t="n">
        <v>0</v>
      </c>
      <c r="J113" s="9" t="s">
        <v>508</v>
      </c>
    </row>
    <row r="114" customFormat="false" ht="23.85" hidden="false" customHeight="false" outlineLevel="0" collapsed="false">
      <c r="A114" s="9" t="s">
        <v>459</v>
      </c>
      <c r="B114" s="9" t="s">
        <v>460</v>
      </c>
      <c r="C114" s="9" t="s">
        <v>114</v>
      </c>
      <c r="D114" s="9" t="s">
        <v>511</v>
      </c>
      <c r="E114" s="9" t="s">
        <v>505</v>
      </c>
      <c r="F114" s="9" t="s">
        <v>512</v>
      </c>
      <c r="G114" s="9" t="s">
        <v>507</v>
      </c>
      <c r="H114" s="9" t="s">
        <v>150</v>
      </c>
      <c r="I114" s="9" t="n">
        <v>0</v>
      </c>
      <c r="J114" s="9" t="s">
        <v>508</v>
      </c>
    </row>
    <row r="115" customFormat="false" ht="15" hidden="false" customHeight="false" outlineLevel="0" collapsed="false">
      <c r="A115" s="9" t="s">
        <v>459</v>
      </c>
      <c r="B115" s="9" t="s">
        <v>460</v>
      </c>
      <c r="C115" s="9" t="s">
        <v>114</v>
      </c>
      <c r="D115" s="9" t="s">
        <v>513</v>
      </c>
      <c r="E115" s="9" t="s">
        <v>505</v>
      </c>
      <c r="F115" s="9" t="s">
        <v>514</v>
      </c>
      <c r="G115" s="9" t="s">
        <v>507</v>
      </c>
      <c r="H115" s="9" t="s">
        <v>150</v>
      </c>
      <c r="I115" s="9" t="n">
        <v>0</v>
      </c>
      <c r="J115" s="9" t="s">
        <v>508</v>
      </c>
    </row>
    <row r="116" customFormat="false" ht="15" hidden="false" customHeight="false" outlineLevel="0" collapsed="false">
      <c r="A116" s="9" t="s">
        <v>459</v>
      </c>
      <c r="B116" s="9" t="s">
        <v>460</v>
      </c>
      <c r="C116" s="9" t="s">
        <v>114</v>
      </c>
      <c r="D116" s="9" t="s">
        <v>515</v>
      </c>
      <c r="E116" s="9" t="s">
        <v>505</v>
      </c>
      <c r="F116" s="9" t="s">
        <v>516</v>
      </c>
      <c r="G116" s="9" t="s">
        <v>507</v>
      </c>
      <c r="H116" s="9" t="s">
        <v>150</v>
      </c>
      <c r="I116" s="9" t="n">
        <v>0</v>
      </c>
      <c r="J116" s="9" t="s">
        <v>508</v>
      </c>
    </row>
    <row r="117" customFormat="false" ht="15" hidden="false" customHeight="false" outlineLevel="0" collapsed="false">
      <c r="A117" s="9" t="s">
        <v>459</v>
      </c>
      <c r="B117" s="9" t="s">
        <v>460</v>
      </c>
      <c r="C117" s="9" t="s">
        <v>114</v>
      </c>
      <c r="D117" s="9" t="s">
        <v>517</v>
      </c>
      <c r="E117" s="9" t="s">
        <v>505</v>
      </c>
      <c r="F117" s="9" t="s">
        <v>518</v>
      </c>
      <c r="G117" s="9" t="s">
        <v>507</v>
      </c>
      <c r="H117" s="9" t="s">
        <v>150</v>
      </c>
      <c r="I117" s="9" t="n">
        <v>0</v>
      </c>
      <c r="J117" s="9" t="s">
        <v>508</v>
      </c>
    </row>
    <row r="118" customFormat="false" ht="15" hidden="false" customHeight="false" outlineLevel="0" collapsed="false">
      <c r="A118" s="9" t="s">
        <v>459</v>
      </c>
      <c r="B118" s="9" t="s">
        <v>460</v>
      </c>
      <c r="C118" s="9" t="s">
        <v>114</v>
      </c>
      <c r="D118" s="9" t="s">
        <v>519</v>
      </c>
      <c r="E118" s="9" t="s">
        <v>505</v>
      </c>
      <c r="F118" s="9" t="s">
        <v>520</v>
      </c>
      <c r="G118" s="9" t="s">
        <v>507</v>
      </c>
      <c r="H118" s="9" t="s">
        <v>150</v>
      </c>
      <c r="I118" s="9" t="n">
        <v>0</v>
      </c>
      <c r="J118" s="9" t="s">
        <v>508</v>
      </c>
    </row>
    <row r="119" customFormat="false" ht="15" hidden="false" customHeight="false" outlineLevel="0" collapsed="false">
      <c r="A119" s="9" t="s">
        <v>463</v>
      </c>
      <c r="B119" s="9" t="s">
        <v>464</v>
      </c>
      <c r="C119" s="9" t="s">
        <v>121</v>
      </c>
      <c r="D119" s="9" t="s">
        <v>504</v>
      </c>
      <c r="E119" s="9" t="s">
        <v>505</v>
      </c>
      <c r="F119" s="9" t="s">
        <v>506</v>
      </c>
      <c r="G119" s="9" t="s">
        <v>507</v>
      </c>
      <c r="H119" s="9" t="s">
        <v>150</v>
      </c>
      <c r="I119" s="9" t="n">
        <v>0</v>
      </c>
      <c r="J119" s="9" t="s">
        <v>508</v>
      </c>
    </row>
    <row r="120" customFormat="false" ht="15" hidden="false" customHeight="false" outlineLevel="0" collapsed="false">
      <c r="A120" s="9" t="s">
        <v>463</v>
      </c>
      <c r="B120" s="9" t="s">
        <v>464</v>
      </c>
      <c r="C120" s="9" t="s">
        <v>121</v>
      </c>
      <c r="D120" s="9" t="s">
        <v>509</v>
      </c>
      <c r="E120" s="9" t="s">
        <v>505</v>
      </c>
      <c r="F120" s="9" t="s">
        <v>510</v>
      </c>
      <c r="G120" s="9" t="s">
        <v>507</v>
      </c>
      <c r="H120" s="9" t="s">
        <v>150</v>
      </c>
      <c r="I120" s="9" t="n">
        <v>0</v>
      </c>
      <c r="J120" s="9" t="s">
        <v>508</v>
      </c>
    </row>
    <row r="121" customFormat="false" ht="23.85" hidden="false" customHeight="false" outlineLevel="0" collapsed="false">
      <c r="A121" s="9" t="s">
        <v>463</v>
      </c>
      <c r="B121" s="9" t="s">
        <v>464</v>
      </c>
      <c r="C121" s="9" t="s">
        <v>121</v>
      </c>
      <c r="D121" s="9" t="s">
        <v>511</v>
      </c>
      <c r="E121" s="9" t="s">
        <v>505</v>
      </c>
      <c r="F121" s="9" t="s">
        <v>512</v>
      </c>
      <c r="G121" s="9" t="s">
        <v>507</v>
      </c>
      <c r="H121" s="9" t="s">
        <v>150</v>
      </c>
      <c r="I121" s="9" t="n">
        <v>0</v>
      </c>
      <c r="J121" s="9" t="s">
        <v>508</v>
      </c>
    </row>
    <row r="122" customFormat="false" ht="15" hidden="false" customHeight="false" outlineLevel="0" collapsed="false">
      <c r="A122" s="9" t="s">
        <v>463</v>
      </c>
      <c r="B122" s="9" t="s">
        <v>464</v>
      </c>
      <c r="C122" s="9" t="s">
        <v>121</v>
      </c>
      <c r="D122" s="9" t="s">
        <v>513</v>
      </c>
      <c r="E122" s="9" t="s">
        <v>505</v>
      </c>
      <c r="F122" s="9" t="s">
        <v>514</v>
      </c>
      <c r="G122" s="9" t="s">
        <v>507</v>
      </c>
      <c r="H122" s="9" t="s">
        <v>150</v>
      </c>
      <c r="I122" s="9" t="n">
        <v>0</v>
      </c>
      <c r="J122" s="9" t="s">
        <v>508</v>
      </c>
    </row>
    <row r="123" customFormat="false" ht="15" hidden="false" customHeight="false" outlineLevel="0" collapsed="false">
      <c r="A123" s="9" t="s">
        <v>463</v>
      </c>
      <c r="B123" s="9" t="s">
        <v>464</v>
      </c>
      <c r="C123" s="9" t="s">
        <v>121</v>
      </c>
      <c r="D123" s="9" t="s">
        <v>515</v>
      </c>
      <c r="E123" s="9" t="s">
        <v>505</v>
      </c>
      <c r="F123" s="9" t="s">
        <v>516</v>
      </c>
      <c r="G123" s="9" t="s">
        <v>507</v>
      </c>
      <c r="H123" s="9" t="s">
        <v>150</v>
      </c>
      <c r="I123" s="9" t="n">
        <v>0</v>
      </c>
      <c r="J123" s="9" t="s">
        <v>508</v>
      </c>
    </row>
    <row r="124" customFormat="false" ht="15" hidden="false" customHeight="false" outlineLevel="0" collapsed="false">
      <c r="A124" s="9" t="s">
        <v>463</v>
      </c>
      <c r="B124" s="9" t="s">
        <v>464</v>
      </c>
      <c r="C124" s="9" t="s">
        <v>121</v>
      </c>
      <c r="D124" s="9" t="s">
        <v>517</v>
      </c>
      <c r="E124" s="9" t="s">
        <v>505</v>
      </c>
      <c r="F124" s="9" t="s">
        <v>518</v>
      </c>
      <c r="G124" s="9" t="s">
        <v>507</v>
      </c>
      <c r="H124" s="9" t="s">
        <v>150</v>
      </c>
      <c r="I124" s="9" t="n">
        <v>0</v>
      </c>
      <c r="J124" s="9" t="s">
        <v>508</v>
      </c>
    </row>
    <row r="125" customFormat="false" ht="15" hidden="false" customHeight="false" outlineLevel="0" collapsed="false">
      <c r="A125" s="9" t="s">
        <v>463</v>
      </c>
      <c r="B125" s="9" t="s">
        <v>464</v>
      </c>
      <c r="C125" s="9" t="s">
        <v>121</v>
      </c>
      <c r="D125" s="9" t="s">
        <v>519</v>
      </c>
      <c r="E125" s="9" t="s">
        <v>505</v>
      </c>
      <c r="F125" s="9" t="s">
        <v>520</v>
      </c>
      <c r="G125" s="9" t="s">
        <v>507</v>
      </c>
      <c r="H125" s="9" t="s">
        <v>150</v>
      </c>
      <c r="I125" s="9" t="n">
        <v>0</v>
      </c>
      <c r="J125" s="9" t="s">
        <v>508</v>
      </c>
    </row>
    <row r="126" customFormat="false" ht="15" hidden="false" customHeight="false" outlineLevel="0" collapsed="false">
      <c r="A126" s="9" t="s">
        <v>467</v>
      </c>
      <c r="B126" s="9" t="s">
        <v>468</v>
      </c>
      <c r="C126" s="9" t="s">
        <v>121</v>
      </c>
      <c r="D126" s="9" t="s">
        <v>504</v>
      </c>
      <c r="E126" s="9" t="s">
        <v>505</v>
      </c>
      <c r="F126" s="9" t="s">
        <v>506</v>
      </c>
      <c r="G126" s="9" t="s">
        <v>507</v>
      </c>
      <c r="H126" s="9" t="s">
        <v>150</v>
      </c>
      <c r="I126" s="9" t="n">
        <v>0</v>
      </c>
      <c r="J126" s="9" t="s">
        <v>508</v>
      </c>
    </row>
    <row r="127" customFormat="false" ht="15" hidden="false" customHeight="false" outlineLevel="0" collapsed="false">
      <c r="A127" s="9" t="s">
        <v>467</v>
      </c>
      <c r="B127" s="9" t="s">
        <v>468</v>
      </c>
      <c r="C127" s="9" t="s">
        <v>121</v>
      </c>
      <c r="D127" s="9" t="s">
        <v>509</v>
      </c>
      <c r="E127" s="9" t="s">
        <v>505</v>
      </c>
      <c r="F127" s="9" t="s">
        <v>510</v>
      </c>
      <c r="G127" s="9" t="s">
        <v>507</v>
      </c>
      <c r="H127" s="9" t="s">
        <v>150</v>
      </c>
      <c r="I127" s="9" t="n">
        <v>0</v>
      </c>
      <c r="J127" s="9" t="s">
        <v>508</v>
      </c>
    </row>
    <row r="128" customFormat="false" ht="23.85" hidden="false" customHeight="false" outlineLevel="0" collapsed="false">
      <c r="A128" s="9" t="s">
        <v>467</v>
      </c>
      <c r="B128" s="9" t="s">
        <v>468</v>
      </c>
      <c r="C128" s="9" t="s">
        <v>121</v>
      </c>
      <c r="D128" s="9" t="s">
        <v>511</v>
      </c>
      <c r="E128" s="9" t="s">
        <v>505</v>
      </c>
      <c r="F128" s="9" t="s">
        <v>512</v>
      </c>
      <c r="G128" s="9" t="s">
        <v>507</v>
      </c>
      <c r="H128" s="9" t="s">
        <v>150</v>
      </c>
      <c r="I128" s="9" t="n">
        <v>0</v>
      </c>
      <c r="J128" s="9" t="s">
        <v>508</v>
      </c>
    </row>
    <row r="129" customFormat="false" ht="15" hidden="false" customHeight="false" outlineLevel="0" collapsed="false">
      <c r="A129" s="9" t="s">
        <v>467</v>
      </c>
      <c r="B129" s="9" t="s">
        <v>468</v>
      </c>
      <c r="C129" s="9" t="s">
        <v>121</v>
      </c>
      <c r="D129" s="9" t="s">
        <v>513</v>
      </c>
      <c r="E129" s="9" t="s">
        <v>505</v>
      </c>
      <c r="F129" s="9" t="s">
        <v>514</v>
      </c>
      <c r="G129" s="9" t="s">
        <v>507</v>
      </c>
      <c r="H129" s="9" t="s">
        <v>150</v>
      </c>
      <c r="I129" s="9" t="n">
        <v>0</v>
      </c>
      <c r="J129" s="9" t="s">
        <v>508</v>
      </c>
    </row>
    <row r="130" customFormat="false" ht="15" hidden="false" customHeight="false" outlineLevel="0" collapsed="false">
      <c r="A130" s="9" t="s">
        <v>467</v>
      </c>
      <c r="B130" s="9" t="s">
        <v>468</v>
      </c>
      <c r="C130" s="9" t="s">
        <v>121</v>
      </c>
      <c r="D130" s="9" t="s">
        <v>515</v>
      </c>
      <c r="E130" s="9" t="s">
        <v>505</v>
      </c>
      <c r="F130" s="9" t="s">
        <v>516</v>
      </c>
      <c r="G130" s="9" t="s">
        <v>507</v>
      </c>
      <c r="H130" s="9" t="s">
        <v>150</v>
      </c>
      <c r="I130" s="9" t="n">
        <v>0</v>
      </c>
      <c r="J130" s="9" t="s">
        <v>508</v>
      </c>
    </row>
    <row r="131" customFormat="false" ht="15" hidden="false" customHeight="false" outlineLevel="0" collapsed="false">
      <c r="A131" s="9" t="s">
        <v>467</v>
      </c>
      <c r="B131" s="9" t="s">
        <v>468</v>
      </c>
      <c r="C131" s="9" t="s">
        <v>121</v>
      </c>
      <c r="D131" s="9" t="s">
        <v>517</v>
      </c>
      <c r="E131" s="9" t="s">
        <v>505</v>
      </c>
      <c r="F131" s="9" t="s">
        <v>518</v>
      </c>
      <c r="G131" s="9" t="s">
        <v>507</v>
      </c>
      <c r="H131" s="9" t="s">
        <v>150</v>
      </c>
      <c r="I131" s="9" t="n">
        <v>0</v>
      </c>
      <c r="J131" s="9" t="s">
        <v>508</v>
      </c>
    </row>
    <row r="132" customFormat="false" ht="15" hidden="false" customHeight="false" outlineLevel="0" collapsed="false">
      <c r="A132" s="9" t="s">
        <v>467</v>
      </c>
      <c r="B132" s="9" t="s">
        <v>468</v>
      </c>
      <c r="C132" s="9" t="s">
        <v>121</v>
      </c>
      <c r="D132" s="9" t="s">
        <v>519</v>
      </c>
      <c r="E132" s="9" t="s">
        <v>505</v>
      </c>
      <c r="F132" s="9" t="s">
        <v>520</v>
      </c>
      <c r="G132" s="9" t="s">
        <v>507</v>
      </c>
      <c r="H132" s="9" t="s">
        <v>150</v>
      </c>
      <c r="I132" s="9" t="n">
        <v>0</v>
      </c>
      <c r="J132" s="9" t="s">
        <v>508</v>
      </c>
    </row>
    <row r="133" customFormat="false" ht="15" hidden="false" customHeight="false" outlineLevel="0" collapsed="false">
      <c r="A133" s="9" t="s">
        <v>471</v>
      </c>
      <c r="B133" s="9" t="s">
        <v>472</v>
      </c>
      <c r="C133" s="9" t="s">
        <v>121</v>
      </c>
      <c r="D133" s="9" t="s">
        <v>504</v>
      </c>
      <c r="E133" s="9" t="s">
        <v>505</v>
      </c>
      <c r="F133" s="9" t="s">
        <v>506</v>
      </c>
      <c r="G133" s="9" t="s">
        <v>507</v>
      </c>
      <c r="H133" s="9" t="s">
        <v>150</v>
      </c>
      <c r="I133" s="9" t="n">
        <v>0</v>
      </c>
      <c r="J133" s="9" t="s">
        <v>508</v>
      </c>
    </row>
    <row r="134" customFormat="false" ht="15" hidden="false" customHeight="false" outlineLevel="0" collapsed="false">
      <c r="A134" s="9" t="s">
        <v>471</v>
      </c>
      <c r="B134" s="9" t="s">
        <v>472</v>
      </c>
      <c r="C134" s="9" t="s">
        <v>121</v>
      </c>
      <c r="D134" s="9" t="s">
        <v>509</v>
      </c>
      <c r="E134" s="9" t="s">
        <v>505</v>
      </c>
      <c r="F134" s="9" t="s">
        <v>510</v>
      </c>
      <c r="G134" s="9" t="s">
        <v>507</v>
      </c>
      <c r="H134" s="9" t="s">
        <v>150</v>
      </c>
      <c r="I134" s="9" t="n">
        <v>0</v>
      </c>
      <c r="J134" s="9" t="s">
        <v>508</v>
      </c>
    </row>
    <row r="135" customFormat="false" ht="23.85" hidden="false" customHeight="false" outlineLevel="0" collapsed="false">
      <c r="A135" s="9" t="s">
        <v>471</v>
      </c>
      <c r="B135" s="9" t="s">
        <v>472</v>
      </c>
      <c r="C135" s="9" t="s">
        <v>121</v>
      </c>
      <c r="D135" s="9" t="s">
        <v>511</v>
      </c>
      <c r="E135" s="9" t="s">
        <v>505</v>
      </c>
      <c r="F135" s="9" t="s">
        <v>512</v>
      </c>
      <c r="G135" s="9" t="s">
        <v>507</v>
      </c>
      <c r="H135" s="9" t="s">
        <v>150</v>
      </c>
      <c r="I135" s="9" t="n">
        <v>0</v>
      </c>
      <c r="J135" s="9" t="s">
        <v>508</v>
      </c>
    </row>
    <row r="136" customFormat="false" ht="15" hidden="false" customHeight="false" outlineLevel="0" collapsed="false">
      <c r="A136" s="9" t="s">
        <v>471</v>
      </c>
      <c r="B136" s="9" t="s">
        <v>472</v>
      </c>
      <c r="C136" s="9" t="s">
        <v>121</v>
      </c>
      <c r="D136" s="9" t="s">
        <v>513</v>
      </c>
      <c r="E136" s="9" t="s">
        <v>505</v>
      </c>
      <c r="F136" s="9" t="s">
        <v>514</v>
      </c>
      <c r="G136" s="9" t="s">
        <v>507</v>
      </c>
      <c r="H136" s="9" t="s">
        <v>150</v>
      </c>
      <c r="I136" s="9" t="n">
        <v>0</v>
      </c>
      <c r="J136" s="9" t="s">
        <v>508</v>
      </c>
    </row>
    <row r="137" customFormat="false" ht="15" hidden="false" customHeight="false" outlineLevel="0" collapsed="false">
      <c r="A137" s="9" t="s">
        <v>471</v>
      </c>
      <c r="B137" s="9" t="s">
        <v>472</v>
      </c>
      <c r="C137" s="9" t="s">
        <v>121</v>
      </c>
      <c r="D137" s="9" t="s">
        <v>515</v>
      </c>
      <c r="E137" s="9" t="s">
        <v>505</v>
      </c>
      <c r="F137" s="9" t="s">
        <v>516</v>
      </c>
      <c r="G137" s="9" t="s">
        <v>507</v>
      </c>
      <c r="H137" s="9" t="s">
        <v>150</v>
      </c>
      <c r="I137" s="9" t="n">
        <v>0</v>
      </c>
      <c r="J137" s="9" t="s">
        <v>508</v>
      </c>
    </row>
    <row r="138" customFormat="false" ht="15" hidden="false" customHeight="false" outlineLevel="0" collapsed="false">
      <c r="A138" s="9" t="s">
        <v>471</v>
      </c>
      <c r="B138" s="9" t="s">
        <v>472</v>
      </c>
      <c r="C138" s="9" t="s">
        <v>121</v>
      </c>
      <c r="D138" s="9" t="s">
        <v>517</v>
      </c>
      <c r="E138" s="9" t="s">
        <v>505</v>
      </c>
      <c r="F138" s="9" t="s">
        <v>518</v>
      </c>
      <c r="G138" s="9" t="s">
        <v>507</v>
      </c>
      <c r="H138" s="9" t="s">
        <v>150</v>
      </c>
      <c r="I138" s="9" t="n">
        <v>0</v>
      </c>
      <c r="J138" s="9" t="s">
        <v>508</v>
      </c>
    </row>
    <row r="139" customFormat="false" ht="15" hidden="false" customHeight="false" outlineLevel="0" collapsed="false">
      <c r="A139" s="9" t="s">
        <v>471</v>
      </c>
      <c r="B139" s="9" t="s">
        <v>472</v>
      </c>
      <c r="C139" s="9" t="s">
        <v>121</v>
      </c>
      <c r="D139" s="9" t="s">
        <v>519</v>
      </c>
      <c r="E139" s="9" t="s">
        <v>505</v>
      </c>
      <c r="F139" s="9" t="s">
        <v>520</v>
      </c>
      <c r="G139" s="9" t="s">
        <v>507</v>
      </c>
      <c r="H139" s="9" t="s">
        <v>150</v>
      </c>
      <c r="I139" s="9" t="n">
        <v>0</v>
      </c>
      <c r="J139" s="9" t="s">
        <v>508</v>
      </c>
    </row>
    <row r="140" customFormat="false" ht="15" hidden="false" customHeight="false" outlineLevel="0" collapsed="false">
      <c r="A140" s="9" t="s">
        <v>475</v>
      </c>
      <c r="B140" s="9" t="s">
        <v>476</v>
      </c>
      <c r="C140" s="9" t="s">
        <v>121</v>
      </c>
      <c r="D140" s="9" t="s">
        <v>504</v>
      </c>
      <c r="E140" s="9" t="s">
        <v>505</v>
      </c>
      <c r="F140" s="9" t="s">
        <v>506</v>
      </c>
      <c r="G140" s="9" t="s">
        <v>507</v>
      </c>
      <c r="H140" s="9" t="s">
        <v>150</v>
      </c>
      <c r="I140" s="9" t="n">
        <v>0</v>
      </c>
      <c r="J140" s="9" t="s">
        <v>508</v>
      </c>
    </row>
    <row r="141" customFormat="false" ht="15" hidden="false" customHeight="false" outlineLevel="0" collapsed="false">
      <c r="A141" s="9" t="s">
        <v>475</v>
      </c>
      <c r="B141" s="9" t="s">
        <v>476</v>
      </c>
      <c r="C141" s="9" t="s">
        <v>121</v>
      </c>
      <c r="D141" s="9" t="s">
        <v>509</v>
      </c>
      <c r="E141" s="9" t="s">
        <v>505</v>
      </c>
      <c r="F141" s="9" t="s">
        <v>510</v>
      </c>
      <c r="G141" s="9" t="s">
        <v>507</v>
      </c>
      <c r="H141" s="9" t="s">
        <v>150</v>
      </c>
      <c r="I141" s="9" t="n">
        <v>0</v>
      </c>
      <c r="J141" s="9" t="s">
        <v>508</v>
      </c>
    </row>
    <row r="142" customFormat="false" ht="23.85" hidden="false" customHeight="false" outlineLevel="0" collapsed="false">
      <c r="A142" s="9" t="s">
        <v>475</v>
      </c>
      <c r="B142" s="9" t="s">
        <v>476</v>
      </c>
      <c r="C142" s="9" t="s">
        <v>121</v>
      </c>
      <c r="D142" s="9" t="s">
        <v>511</v>
      </c>
      <c r="E142" s="9" t="s">
        <v>505</v>
      </c>
      <c r="F142" s="9" t="s">
        <v>512</v>
      </c>
      <c r="G142" s="9" t="s">
        <v>507</v>
      </c>
      <c r="H142" s="9" t="s">
        <v>150</v>
      </c>
      <c r="I142" s="9" t="n">
        <v>0</v>
      </c>
      <c r="J142" s="9" t="s">
        <v>508</v>
      </c>
    </row>
    <row r="143" customFormat="false" ht="15" hidden="false" customHeight="false" outlineLevel="0" collapsed="false">
      <c r="A143" s="9" t="s">
        <v>475</v>
      </c>
      <c r="B143" s="9" t="s">
        <v>476</v>
      </c>
      <c r="C143" s="9" t="s">
        <v>121</v>
      </c>
      <c r="D143" s="9" t="s">
        <v>513</v>
      </c>
      <c r="E143" s="9" t="s">
        <v>505</v>
      </c>
      <c r="F143" s="9" t="s">
        <v>514</v>
      </c>
      <c r="G143" s="9" t="s">
        <v>507</v>
      </c>
      <c r="H143" s="9" t="s">
        <v>150</v>
      </c>
      <c r="I143" s="9" t="n">
        <v>0</v>
      </c>
      <c r="J143" s="9" t="s">
        <v>508</v>
      </c>
    </row>
    <row r="144" customFormat="false" ht="15" hidden="false" customHeight="false" outlineLevel="0" collapsed="false">
      <c r="A144" s="9" t="s">
        <v>475</v>
      </c>
      <c r="B144" s="9" t="s">
        <v>476</v>
      </c>
      <c r="C144" s="9" t="s">
        <v>121</v>
      </c>
      <c r="D144" s="9" t="s">
        <v>515</v>
      </c>
      <c r="E144" s="9" t="s">
        <v>505</v>
      </c>
      <c r="F144" s="9" t="s">
        <v>516</v>
      </c>
      <c r="G144" s="9" t="s">
        <v>507</v>
      </c>
      <c r="H144" s="9" t="s">
        <v>150</v>
      </c>
      <c r="I144" s="9" t="n">
        <v>0</v>
      </c>
      <c r="J144" s="9" t="s">
        <v>508</v>
      </c>
    </row>
    <row r="145" customFormat="false" ht="15" hidden="false" customHeight="false" outlineLevel="0" collapsed="false">
      <c r="A145" s="9" t="s">
        <v>475</v>
      </c>
      <c r="B145" s="9" t="s">
        <v>476</v>
      </c>
      <c r="C145" s="9" t="s">
        <v>121</v>
      </c>
      <c r="D145" s="9" t="s">
        <v>517</v>
      </c>
      <c r="E145" s="9" t="s">
        <v>505</v>
      </c>
      <c r="F145" s="9" t="s">
        <v>518</v>
      </c>
      <c r="G145" s="9" t="s">
        <v>507</v>
      </c>
      <c r="H145" s="9" t="s">
        <v>150</v>
      </c>
      <c r="I145" s="9" t="n">
        <v>0</v>
      </c>
      <c r="J145" s="9" t="s">
        <v>508</v>
      </c>
    </row>
    <row r="146" customFormat="false" ht="15" hidden="false" customHeight="false" outlineLevel="0" collapsed="false">
      <c r="A146" s="9" t="s">
        <v>475</v>
      </c>
      <c r="B146" s="9" t="s">
        <v>476</v>
      </c>
      <c r="C146" s="9" t="s">
        <v>121</v>
      </c>
      <c r="D146" s="9" t="s">
        <v>519</v>
      </c>
      <c r="E146" s="9" t="s">
        <v>505</v>
      </c>
      <c r="F146" s="9" t="s">
        <v>520</v>
      </c>
      <c r="G146" s="9" t="s">
        <v>507</v>
      </c>
      <c r="H146" s="9" t="s">
        <v>150</v>
      </c>
      <c r="I146" s="9" t="n">
        <v>0</v>
      </c>
      <c r="J146" s="9" t="s">
        <v>508</v>
      </c>
    </row>
    <row r="147" customFormat="false" ht="15" hidden="false" customHeight="false" outlineLevel="0" collapsed="false">
      <c r="A147" s="9" t="s">
        <v>479</v>
      </c>
      <c r="B147" s="9" t="s">
        <v>480</v>
      </c>
      <c r="C147" s="9" t="s">
        <v>128</v>
      </c>
      <c r="D147" s="9" t="s">
        <v>504</v>
      </c>
      <c r="E147" s="9" t="s">
        <v>505</v>
      </c>
      <c r="F147" s="9" t="s">
        <v>506</v>
      </c>
      <c r="G147" s="9" t="s">
        <v>507</v>
      </c>
      <c r="H147" s="9" t="s">
        <v>150</v>
      </c>
      <c r="I147" s="9" t="n">
        <v>0</v>
      </c>
      <c r="J147" s="9" t="s">
        <v>508</v>
      </c>
    </row>
    <row r="148" customFormat="false" ht="15" hidden="false" customHeight="false" outlineLevel="0" collapsed="false">
      <c r="A148" s="9" t="s">
        <v>479</v>
      </c>
      <c r="B148" s="9" t="s">
        <v>480</v>
      </c>
      <c r="C148" s="9" t="s">
        <v>128</v>
      </c>
      <c r="D148" s="9" t="s">
        <v>509</v>
      </c>
      <c r="E148" s="9" t="s">
        <v>505</v>
      </c>
      <c r="F148" s="9" t="s">
        <v>510</v>
      </c>
      <c r="G148" s="9" t="s">
        <v>507</v>
      </c>
      <c r="H148" s="9" t="s">
        <v>150</v>
      </c>
      <c r="I148" s="9" t="n">
        <v>0</v>
      </c>
      <c r="J148" s="9" t="s">
        <v>508</v>
      </c>
    </row>
    <row r="149" customFormat="false" ht="23.85" hidden="false" customHeight="false" outlineLevel="0" collapsed="false">
      <c r="A149" s="9" t="s">
        <v>479</v>
      </c>
      <c r="B149" s="9" t="s">
        <v>480</v>
      </c>
      <c r="C149" s="9" t="s">
        <v>128</v>
      </c>
      <c r="D149" s="9" t="s">
        <v>511</v>
      </c>
      <c r="E149" s="9" t="s">
        <v>505</v>
      </c>
      <c r="F149" s="9" t="s">
        <v>512</v>
      </c>
      <c r="G149" s="9" t="s">
        <v>507</v>
      </c>
      <c r="H149" s="9" t="s">
        <v>150</v>
      </c>
      <c r="I149" s="9" t="n">
        <v>0</v>
      </c>
      <c r="J149" s="9" t="s">
        <v>508</v>
      </c>
    </row>
    <row r="150" customFormat="false" ht="15" hidden="false" customHeight="false" outlineLevel="0" collapsed="false">
      <c r="A150" s="9" t="s">
        <v>479</v>
      </c>
      <c r="B150" s="9" t="s">
        <v>480</v>
      </c>
      <c r="C150" s="9" t="s">
        <v>128</v>
      </c>
      <c r="D150" s="9" t="s">
        <v>513</v>
      </c>
      <c r="E150" s="9" t="s">
        <v>505</v>
      </c>
      <c r="F150" s="9" t="s">
        <v>514</v>
      </c>
      <c r="G150" s="9" t="s">
        <v>507</v>
      </c>
      <c r="H150" s="9" t="s">
        <v>150</v>
      </c>
      <c r="I150" s="9" t="n">
        <v>0</v>
      </c>
      <c r="J150" s="9" t="s">
        <v>508</v>
      </c>
    </row>
    <row r="151" customFormat="false" ht="15" hidden="false" customHeight="false" outlineLevel="0" collapsed="false">
      <c r="A151" s="9" t="s">
        <v>479</v>
      </c>
      <c r="B151" s="9" t="s">
        <v>480</v>
      </c>
      <c r="C151" s="9" t="s">
        <v>128</v>
      </c>
      <c r="D151" s="9" t="s">
        <v>515</v>
      </c>
      <c r="E151" s="9" t="s">
        <v>505</v>
      </c>
      <c r="F151" s="9" t="s">
        <v>516</v>
      </c>
      <c r="G151" s="9" t="s">
        <v>507</v>
      </c>
      <c r="H151" s="9" t="s">
        <v>150</v>
      </c>
      <c r="I151" s="9" t="n">
        <v>0</v>
      </c>
      <c r="J151" s="9" t="s">
        <v>508</v>
      </c>
    </row>
    <row r="152" customFormat="false" ht="15" hidden="false" customHeight="false" outlineLevel="0" collapsed="false">
      <c r="A152" s="9" t="s">
        <v>479</v>
      </c>
      <c r="B152" s="9" t="s">
        <v>480</v>
      </c>
      <c r="C152" s="9" t="s">
        <v>128</v>
      </c>
      <c r="D152" s="9" t="s">
        <v>517</v>
      </c>
      <c r="E152" s="9" t="s">
        <v>505</v>
      </c>
      <c r="F152" s="9" t="s">
        <v>518</v>
      </c>
      <c r="G152" s="9" t="s">
        <v>507</v>
      </c>
      <c r="H152" s="9" t="s">
        <v>150</v>
      </c>
      <c r="I152" s="9" t="n">
        <v>0</v>
      </c>
      <c r="J152" s="9" t="s">
        <v>508</v>
      </c>
    </row>
    <row r="153" customFormat="false" ht="15" hidden="false" customHeight="false" outlineLevel="0" collapsed="false">
      <c r="A153" s="9" t="s">
        <v>479</v>
      </c>
      <c r="B153" s="9" t="s">
        <v>480</v>
      </c>
      <c r="C153" s="9" t="s">
        <v>128</v>
      </c>
      <c r="D153" s="9" t="s">
        <v>519</v>
      </c>
      <c r="E153" s="9" t="s">
        <v>505</v>
      </c>
      <c r="F153" s="9" t="s">
        <v>520</v>
      </c>
      <c r="G153" s="9" t="s">
        <v>507</v>
      </c>
      <c r="H153" s="9" t="s">
        <v>150</v>
      </c>
      <c r="I153" s="9" t="n">
        <v>0</v>
      </c>
      <c r="J153" s="9" t="s">
        <v>508</v>
      </c>
    </row>
    <row r="154" customFormat="false" ht="15" hidden="false" customHeight="false" outlineLevel="0" collapsed="false">
      <c r="A154" s="9" t="s">
        <v>483</v>
      </c>
      <c r="B154" s="9" t="s">
        <v>484</v>
      </c>
      <c r="C154" s="9" t="s">
        <v>128</v>
      </c>
      <c r="D154" s="9" t="s">
        <v>504</v>
      </c>
      <c r="E154" s="9" t="s">
        <v>505</v>
      </c>
      <c r="F154" s="9" t="s">
        <v>506</v>
      </c>
      <c r="G154" s="9" t="s">
        <v>507</v>
      </c>
      <c r="H154" s="9" t="s">
        <v>150</v>
      </c>
      <c r="I154" s="9" t="n">
        <v>0</v>
      </c>
      <c r="J154" s="9" t="s">
        <v>508</v>
      </c>
    </row>
    <row r="155" customFormat="false" ht="15" hidden="false" customHeight="false" outlineLevel="0" collapsed="false">
      <c r="A155" s="9" t="s">
        <v>483</v>
      </c>
      <c r="B155" s="9" t="s">
        <v>484</v>
      </c>
      <c r="C155" s="9" t="s">
        <v>128</v>
      </c>
      <c r="D155" s="9" t="s">
        <v>509</v>
      </c>
      <c r="E155" s="9" t="s">
        <v>505</v>
      </c>
      <c r="F155" s="9" t="s">
        <v>510</v>
      </c>
      <c r="G155" s="9" t="s">
        <v>507</v>
      </c>
      <c r="H155" s="9" t="s">
        <v>150</v>
      </c>
      <c r="I155" s="9" t="n">
        <v>0</v>
      </c>
      <c r="J155" s="9" t="s">
        <v>508</v>
      </c>
    </row>
    <row r="156" customFormat="false" ht="23.85" hidden="false" customHeight="false" outlineLevel="0" collapsed="false">
      <c r="A156" s="9" t="s">
        <v>483</v>
      </c>
      <c r="B156" s="9" t="s">
        <v>484</v>
      </c>
      <c r="C156" s="9" t="s">
        <v>128</v>
      </c>
      <c r="D156" s="9" t="s">
        <v>511</v>
      </c>
      <c r="E156" s="9" t="s">
        <v>505</v>
      </c>
      <c r="F156" s="9" t="s">
        <v>512</v>
      </c>
      <c r="G156" s="9" t="s">
        <v>507</v>
      </c>
      <c r="H156" s="9" t="s">
        <v>150</v>
      </c>
      <c r="I156" s="9" t="n">
        <v>0</v>
      </c>
      <c r="J156" s="9" t="s">
        <v>508</v>
      </c>
    </row>
    <row r="157" customFormat="false" ht="15" hidden="false" customHeight="false" outlineLevel="0" collapsed="false">
      <c r="A157" s="9" t="s">
        <v>483</v>
      </c>
      <c r="B157" s="9" t="s">
        <v>484</v>
      </c>
      <c r="C157" s="9" t="s">
        <v>128</v>
      </c>
      <c r="D157" s="9" t="s">
        <v>513</v>
      </c>
      <c r="E157" s="9" t="s">
        <v>505</v>
      </c>
      <c r="F157" s="9" t="s">
        <v>514</v>
      </c>
      <c r="G157" s="9" t="s">
        <v>507</v>
      </c>
      <c r="H157" s="9" t="s">
        <v>150</v>
      </c>
      <c r="I157" s="9" t="n">
        <v>0</v>
      </c>
      <c r="J157" s="9" t="s">
        <v>508</v>
      </c>
    </row>
    <row r="158" customFormat="false" ht="15" hidden="false" customHeight="false" outlineLevel="0" collapsed="false">
      <c r="A158" s="9" t="s">
        <v>483</v>
      </c>
      <c r="B158" s="9" t="s">
        <v>484</v>
      </c>
      <c r="C158" s="9" t="s">
        <v>128</v>
      </c>
      <c r="D158" s="9" t="s">
        <v>515</v>
      </c>
      <c r="E158" s="9" t="s">
        <v>505</v>
      </c>
      <c r="F158" s="9" t="s">
        <v>516</v>
      </c>
      <c r="G158" s="9" t="s">
        <v>507</v>
      </c>
      <c r="H158" s="9" t="s">
        <v>150</v>
      </c>
      <c r="I158" s="9" t="n">
        <v>0</v>
      </c>
      <c r="J158" s="9" t="s">
        <v>508</v>
      </c>
    </row>
    <row r="159" customFormat="false" ht="15" hidden="false" customHeight="false" outlineLevel="0" collapsed="false">
      <c r="A159" s="9" t="s">
        <v>483</v>
      </c>
      <c r="B159" s="9" t="s">
        <v>484</v>
      </c>
      <c r="C159" s="9" t="s">
        <v>128</v>
      </c>
      <c r="D159" s="9" t="s">
        <v>517</v>
      </c>
      <c r="E159" s="9" t="s">
        <v>505</v>
      </c>
      <c r="F159" s="9" t="s">
        <v>518</v>
      </c>
      <c r="G159" s="9" t="s">
        <v>507</v>
      </c>
      <c r="H159" s="9" t="s">
        <v>150</v>
      </c>
      <c r="I159" s="9" t="n">
        <v>0</v>
      </c>
      <c r="J159" s="9" t="s">
        <v>508</v>
      </c>
    </row>
    <row r="160" customFormat="false" ht="15" hidden="false" customHeight="false" outlineLevel="0" collapsed="false">
      <c r="A160" s="9" t="s">
        <v>483</v>
      </c>
      <c r="B160" s="9" t="s">
        <v>484</v>
      </c>
      <c r="C160" s="9" t="s">
        <v>128</v>
      </c>
      <c r="D160" s="9" t="s">
        <v>519</v>
      </c>
      <c r="E160" s="9" t="s">
        <v>505</v>
      </c>
      <c r="F160" s="9" t="s">
        <v>520</v>
      </c>
      <c r="G160" s="9" t="s">
        <v>507</v>
      </c>
      <c r="H160" s="9" t="s">
        <v>150</v>
      </c>
      <c r="I160" s="9" t="n">
        <v>0</v>
      </c>
      <c r="J160" s="9" t="s">
        <v>508</v>
      </c>
    </row>
    <row r="161" customFormat="false" ht="15" hidden="false" customHeight="false" outlineLevel="0" collapsed="false">
      <c r="A161" s="9" t="s">
        <v>487</v>
      </c>
      <c r="B161" s="9" t="s">
        <v>488</v>
      </c>
      <c r="C161" s="9" t="s">
        <v>128</v>
      </c>
      <c r="D161" s="9" t="s">
        <v>504</v>
      </c>
      <c r="E161" s="9" t="s">
        <v>505</v>
      </c>
      <c r="F161" s="9" t="s">
        <v>506</v>
      </c>
      <c r="G161" s="9" t="s">
        <v>507</v>
      </c>
      <c r="H161" s="9" t="s">
        <v>150</v>
      </c>
      <c r="I161" s="9" t="n">
        <v>0</v>
      </c>
      <c r="J161" s="9" t="s">
        <v>508</v>
      </c>
    </row>
    <row r="162" customFormat="false" ht="15" hidden="false" customHeight="false" outlineLevel="0" collapsed="false">
      <c r="A162" s="9" t="s">
        <v>487</v>
      </c>
      <c r="B162" s="9" t="s">
        <v>488</v>
      </c>
      <c r="C162" s="9" t="s">
        <v>128</v>
      </c>
      <c r="D162" s="9" t="s">
        <v>509</v>
      </c>
      <c r="E162" s="9" t="s">
        <v>505</v>
      </c>
      <c r="F162" s="9" t="s">
        <v>510</v>
      </c>
      <c r="G162" s="9" t="s">
        <v>507</v>
      </c>
      <c r="H162" s="9" t="s">
        <v>150</v>
      </c>
      <c r="I162" s="9" t="n">
        <v>0</v>
      </c>
      <c r="J162" s="9" t="s">
        <v>508</v>
      </c>
    </row>
    <row r="163" customFormat="false" ht="23.85" hidden="false" customHeight="false" outlineLevel="0" collapsed="false">
      <c r="A163" s="9" t="s">
        <v>487</v>
      </c>
      <c r="B163" s="9" t="s">
        <v>488</v>
      </c>
      <c r="C163" s="9" t="s">
        <v>128</v>
      </c>
      <c r="D163" s="9" t="s">
        <v>511</v>
      </c>
      <c r="E163" s="9" t="s">
        <v>505</v>
      </c>
      <c r="F163" s="9" t="s">
        <v>512</v>
      </c>
      <c r="G163" s="9" t="s">
        <v>507</v>
      </c>
      <c r="H163" s="9" t="s">
        <v>150</v>
      </c>
      <c r="I163" s="9" t="n">
        <v>0</v>
      </c>
      <c r="J163" s="9" t="s">
        <v>508</v>
      </c>
    </row>
    <row r="164" customFormat="false" ht="15" hidden="false" customHeight="false" outlineLevel="0" collapsed="false">
      <c r="A164" s="9" t="s">
        <v>487</v>
      </c>
      <c r="B164" s="9" t="s">
        <v>488</v>
      </c>
      <c r="C164" s="9" t="s">
        <v>128</v>
      </c>
      <c r="D164" s="9" t="s">
        <v>513</v>
      </c>
      <c r="E164" s="9" t="s">
        <v>505</v>
      </c>
      <c r="F164" s="9" t="s">
        <v>514</v>
      </c>
      <c r="G164" s="9" t="s">
        <v>507</v>
      </c>
      <c r="H164" s="9" t="s">
        <v>150</v>
      </c>
      <c r="I164" s="9" t="n">
        <v>0</v>
      </c>
      <c r="J164" s="9" t="s">
        <v>508</v>
      </c>
    </row>
    <row r="165" customFormat="false" ht="15" hidden="false" customHeight="false" outlineLevel="0" collapsed="false">
      <c r="A165" s="9" t="s">
        <v>487</v>
      </c>
      <c r="B165" s="9" t="s">
        <v>488</v>
      </c>
      <c r="C165" s="9" t="s">
        <v>128</v>
      </c>
      <c r="D165" s="9" t="s">
        <v>515</v>
      </c>
      <c r="E165" s="9" t="s">
        <v>505</v>
      </c>
      <c r="F165" s="9" t="s">
        <v>516</v>
      </c>
      <c r="G165" s="9" t="s">
        <v>507</v>
      </c>
      <c r="H165" s="9" t="s">
        <v>150</v>
      </c>
      <c r="I165" s="9" t="n">
        <v>0</v>
      </c>
      <c r="J165" s="9" t="s">
        <v>508</v>
      </c>
    </row>
    <row r="166" customFormat="false" ht="15" hidden="false" customHeight="false" outlineLevel="0" collapsed="false">
      <c r="A166" s="9" t="s">
        <v>487</v>
      </c>
      <c r="B166" s="9" t="s">
        <v>488</v>
      </c>
      <c r="C166" s="9" t="s">
        <v>128</v>
      </c>
      <c r="D166" s="9" t="s">
        <v>517</v>
      </c>
      <c r="E166" s="9" t="s">
        <v>505</v>
      </c>
      <c r="F166" s="9" t="s">
        <v>518</v>
      </c>
      <c r="G166" s="9" t="s">
        <v>507</v>
      </c>
      <c r="H166" s="9" t="s">
        <v>150</v>
      </c>
      <c r="I166" s="9" t="n">
        <v>0</v>
      </c>
      <c r="J166" s="9" t="s">
        <v>508</v>
      </c>
    </row>
    <row r="167" customFormat="false" ht="15" hidden="false" customHeight="false" outlineLevel="0" collapsed="false">
      <c r="A167" s="9" t="s">
        <v>487</v>
      </c>
      <c r="B167" s="9" t="s">
        <v>488</v>
      </c>
      <c r="C167" s="9" t="s">
        <v>128</v>
      </c>
      <c r="D167" s="9" t="s">
        <v>519</v>
      </c>
      <c r="E167" s="9" t="s">
        <v>505</v>
      </c>
      <c r="F167" s="9" t="s">
        <v>520</v>
      </c>
      <c r="G167" s="9" t="s">
        <v>507</v>
      </c>
      <c r="H167" s="9" t="s">
        <v>150</v>
      </c>
      <c r="I167" s="9" t="n">
        <v>0</v>
      </c>
      <c r="J167" s="9" t="s">
        <v>508</v>
      </c>
    </row>
    <row r="168" customFormat="false" ht="15" hidden="false" customHeight="false" outlineLevel="0" collapsed="false">
      <c r="A168" s="9" t="s">
        <v>491</v>
      </c>
      <c r="B168" s="9" t="s">
        <v>492</v>
      </c>
      <c r="C168" s="9" t="s">
        <v>128</v>
      </c>
      <c r="D168" s="9" t="s">
        <v>504</v>
      </c>
      <c r="E168" s="9" t="s">
        <v>505</v>
      </c>
      <c r="F168" s="9" t="s">
        <v>506</v>
      </c>
      <c r="G168" s="9" t="s">
        <v>507</v>
      </c>
      <c r="H168" s="9" t="s">
        <v>150</v>
      </c>
      <c r="I168" s="9" t="n">
        <v>0</v>
      </c>
      <c r="J168" s="9" t="s">
        <v>508</v>
      </c>
    </row>
    <row r="169" customFormat="false" ht="15" hidden="false" customHeight="false" outlineLevel="0" collapsed="false">
      <c r="A169" s="9" t="s">
        <v>491</v>
      </c>
      <c r="B169" s="9" t="s">
        <v>492</v>
      </c>
      <c r="C169" s="9" t="s">
        <v>128</v>
      </c>
      <c r="D169" s="9" t="s">
        <v>509</v>
      </c>
      <c r="E169" s="9" t="s">
        <v>505</v>
      </c>
      <c r="F169" s="9" t="s">
        <v>510</v>
      </c>
      <c r="G169" s="9" t="s">
        <v>507</v>
      </c>
      <c r="H169" s="9" t="s">
        <v>150</v>
      </c>
      <c r="I169" s="9" t="n">
        <v>0</v>
      </c>
      <c r="J169" s="9" t="s">
        <v>508</v>
      </c>
    </row>
    <row r="170" customFormat="false" ht="23.85" hidden="false" customHeight="false" outlineLevel="0" collapsed="false">
      <c r="A170" s="9" t="s">
        <v>491</v>
      </c>
      <c r="B170" s="9" t="s">
        <v>492</v>
      </c>
      <c r="C170" s="9" t="s">
        <v>128</v>
      </c>
      <c r="D170" s="9" t="s">
        <v>511</v>
      </c>
      <c r="E170" s="9" t="s">
        <v>505</v>
      </c>
      <c r="F170" s="9" t="s">
        <v>512</v>
      </c>
      <c r="G170" s="9" t="s">
        <v>507</v>
      </c>
      <c r="H170" s="9" t="s">
        <v>150</v>
      </c>
      <c r="I170" s="9" t="n">
        <v>0</v>
      </c>
      <c r="J170" s="9" t="s">
        <v>508</v>
      </c>
    </row>
    <row r="171" customFormat="false" ht="15" hidden="false" customHeight="false" outlineLevel="0" collapsed="false">
      <c r="A171" s="9" t="s">
        <v>491</v>
      </c>
      <c r="B171" s="9" t="s">
        <v>492</v>
      </c>
      <c r="C171" s="9" t="s">
        <v>128</v>
      </c>
      <c r="D171" s="9" t="s">
        <v>513</v>
      </c>
      <c r="E171" s="9" t="s">
        <v>505</v>
      </c>
      <c r="F171" s="9" t="s">
        <v>514</v>
      </c>
      <c r="G171" s="9" t="s">
        <v>507</v>
      </c>
      <c r="H171" s="9" t="s">
        <v>150</v>
      </c>
      <c r="I171" s="9" t="n">
        <v>0</v>
      </c>
      <c r="J171" s="9" t="s">
        <v>508</v>
      </c>
    </row>
    <row r="172" customFormat="false" ht="15" hidden="false" customHeight="false" outlineLevel="0" collapsed="false">
      <c r="A172" s="9" t="s">
        <v>491</v>
      </c>
      <c r="B172" s="9" t="s">
        <v>492</v>
      </c>
      <c r="C172" s="9" t="s">
        <v>128</v>
      </c>
      <c r="D172" s="9" t="s">
        <v>515</v>
      </c>
      <c r="E172" s="9" t="s">
        <v>505</v>
      </c>
      <c r="F172" s="9" t="s">
        <v>516</v>
      </c>
      <c r="G172" s="9" t="s">
        <v>507</v>
      </c>
      <c r="H172" s="9" t="s">
        <v>150</v>
      </c>
      <c r="I172" s="9" t="n">
        <v>0</v>
      </c>
      <c r="J172" s="9" t="s">
        <v>508</v>
      </c>
    </row>
    <row r="173" customFormat="false" ht="15" hidden="false" customHeight="false" outlineLevel="0" collapsed="false">
      <c r="A173" s="9" t="s">
        <v>491</v>
      </c>
      <c r="B173" s="9" t="s">
        <v>492</v>
      </c>
      <c r="C173" s="9" t="s">
        <v>128</v>
      </c>
      <c r="D173" s="9" t="s">
        <v>517</v>
      </c>
      <c r="E173" s="9" t="s">
        <v>505</v>
      </c>
      <c r="F173" s="9" t="s">
        <v>518</v>
      </c>
      <c r="G173" s="9" t="s">
        <v>507</v>
      </c>
      <c r="H173" s="9" t="s">
        <v>150</v>
      </c>
      <c r="I173" s="9" t="n">
        <v>0</v>
      </c>
      <c r="J173" s="9" t="s">
        <v>508</v>
      </c>
    </row>
    <row r="174" customFormat="false" ht="15" hidden="false" customHeight="false" outlineLevel="0" collapsed="false">
      <c r="A174" s="9" t="s">
        <v>491</v>
      </c>
      <c r="B174" s="9" t="s">
        <v>492</v>
      </c>
      <c r="C174" s="9" t="s">
        <v>128</v>
      </c>
      <c r="D174" s="9" t="s">
        <v>519</v>
      </c>
      <c r="E174" s="9" t="s">
        <v>505</v>
      </c>
      <c r="F174" s="9" t="s">
        <v>520</v>
      </c>
      <c r="G174" s="9" t="s">
        <v>507</v>
      </c>
      <c r="H174" s="9" t="s">
        <v>150</v>
      </c>
      <c r="I174" s="9" t="n">
        <v>0</v>
      </c>
      <c r="J174" s="9" t="s">
        <v>508</v>
      </c>
    </row>
  </sheetData>
  <conditionalFormatting sqref="G7:G174">
    <cfRule type="containsText" priority="2" operator="containsText" aboveAverage="0" equalAverage="0" bottom="0" percent="0" rank="0" text="Yes" dxfId="6">
      <formula>NOT(ISERROR(SEARCH("Yes",G7)))</formula>
    </cfRule>
  </conditionalFormatting>
  <conditionalFormatting sqref="H7:H174">
    <cfRule type="containsText" priority="3" operator="containsText" aboveAverage="0" equalAverage="0" bottom="0" percent="0" rank="0" text="SOURCE EMPTY" dxfId="7">
      <formula>NOT(ISERROR(SEARCH("SOURCE EMPTY",H7)))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2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3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8" min="7" style="0" width="23"/>
    <col collapsed="false" customWidth="true" hidden="false" outlineLevel="0" max="16" min="9" style="0" width="16"/>
    <col collapsed="false" customWidth="true" hidden="false" outlineLevel="0" max="17" min="17" style="0" width="25"/>
  </cols>
  <sheetData>
    <row r="2" customFormat="false" ht="24" hidden="false" customHeight="true" outlineLevel="0" collapsed="false">
      <c r="A2" s="1" t="s">
        <v>521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8" hidden="false" customHeight="true" outlineLevel="0" collapsed="false">
      <c r="A3" s="3" t="s">
        <v>522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23.85" hidden="false" customHeight="false" outlineLevel="0" collapsed="false">
      <c r="A6" s="8" t="s">
        <v>383</v>
      </c>
      <c r="B6" s="8" t="s">
        <v>497</v>
      </c>
      <c r="C6" s="8" t="s">
        <v>77</v>
      </c>
      <c r="D6" s="8" t="s">
        <v>291</v>
      </c>
      <c r="E6" s="8" t="s">
        <v>137</v>
      </c>
      <c r="F6" s="8" t="s">
        <v>293</v>
      </c>
      <c r="G6" s="8" t="s">
        <v>523</v>
      </c>
      <c r="H6" s="8" t="s">
        <v>524</v>
      </c>
      <c r="I6" s="8" t="s">
        <v>525</v>
      </c>
      <c r="J6" s="8" t="s">
        <v>526</v>
      </c>
      <c r="K6" s="8" t="s">
        <v>85</v>
      </c>
      <c r="L6" s="8" t="s">
        <v>527</v>
      </c>
      <c r="M6" s="8" t="s">
        <v>87</v>
      </c>
      <c r="N6" s="8" t="s">
        <v>528</v>
      </c>
      <c r="O6" s="8" t="s">
        <v>529</v>
      </c>
      <c r="P6" s="8" t="s">
        <v>530</v>
      </c>
      <c r="Q6" s="8" t="s">
        <v>136</v>
      </c>
    </row>
    <row r="7" customFormat="false" ht="15" hidden="false" customHeight="false" outlineLevel="0" collapsed="false">
      <c r="A7" s="9" t="s">
        <v>396</v>
      </c>
      <c r="B7" s="9" t="s">
        <v>397</v>
      </c>
      <c r="C7" s="9" t="s">
        <v>92</v>
      </c>
      <c r="D7" s="9" t="s">
        <v>300</v>
      </c>
      <c r="E7" s="9" t="s">
        <v>144</v>
      </c>
      <c r="F7" s="9" t="s">
        <v>301</v>
      </c>
      <c r="G7" s="9" t="s">
        <v>531</v>
      </c>
      <c r="H7" s="9" t="s">
        <v>532</v>
      </c>
      <c r="I7" s="10" t="n">
        <v>2</v>
      </c>
      <c r="J7" s="10" t="n">
        <v>2</v>
      </c>
      <c r="K7" s="10" t="n">
        <v>4</v>
      </c>
      <c r="L7" s="10" t="n">
        <v>4</v>
      </c>
      <c r="M7" s="10" t="n">
        <v>0</v>
      </c>
      <c r="N7" s="10" t="n">
        <v>0</v>
      </c>
      <c r="O7" s="10" t="n">
        <v>0</v>
      </c>
      <c r="P7" s="10" t="n">
        <v>0</v>
      </c>
      <c r="Q7" s="9" t="s">
        <v>533</v>
      </c>
    </row>
    <row r="8" customFormat="false" ht="15" hidden="false" customHeight="false" outlineLevel="0" collapsed="false">
      <c r="A8" s="9" t="s">
        <v>396</v>
      </c>
      <c r="B8" s="9" t="s">
        <v>397</v>
      </c>
      <c r="C8" s="9" t="s">
        <v>92</v>
      </c>
      <c r="D8" s="9" t="s">
        <v>304</v>
      </c>
      <c r="E8" s="9" t="s">
        <v>144</v>
      </c>
      <c r="F8" s="9" t="s">
        <v>305</v>
      </c>
      <c r="G8" s="9" t="s">
        <v>531</v>
      </c>
      <c r="H8" s="9" t="s">
        <v>532</v>
      </c>
      <c r="I8" s="10" t="n">
        <v>2</v>
      </c>
      <c r="J8" s="10" t="n">
        <v>2</v>
      </c>
      <c r="K8" s="10" t="n">
        <v>4</v>
      </c>
      <c r="L8" s="10" t="n">
        <v>4</v>
      </c>
      <c r="M8" s="10" t="n">
        <v>0</v>
      </c>
      <c r="N8" s="10" t="n">
        <v>0</v>
      </c>
      <c r="O8" s="10" t="n">
        <v>0</v>
      </c>
      <c r="P8" s="10" t="n">
        <v>0</v>
      </c>
      <c r="Q8" s="9" t="s">
        <v>533</v>
      </c>
    </row>
    <row r="9" customFormat="false" ht="15" hidden="false" customHeight="false" outlineLevel="0" collapsed="false">
      <c r="A9" s="9" t="s">
        <v>396</v>
      </c>
      <c r="B9" s="9" t="s">
        <v>397</v>
      </c>
      <c r="C9" s="9" t="s">
        <v>92</v>
      </c>
      <c r="D9" s="9" t="s">
        <v>308</v>
      </c>
      <c r="E9" s="9" t="s">
        <v>144</v>
      </c>
      <c r="F9" s="9" t="s">
        <v>309</v>
      </c>
      <c r="G9" s="9" t="s">
        <v>531</v>
      </c>
      <c r="H9" s="9" t="s">
        <v>532</v>
      </c>
      <c r="I9" s="10" t="n">
        <v>2</v>
      </c>
      <c r="J9" s="10" t="n">
        <v>2</v>
      </c>
      <c r="K9" s="10" t="n">
        <v>4</v>
      </c>
      <c r="L9" s="10" t="n">
        <v>4</v>
      </c>
      <c r="M9" s="10" t="n">
        <v>0</v>
      </c>
      <c r="N9" s="10" t="n">
        <v>0</v>
      </c>
      <c r="O9" s="10" t="n">
        <v>0</v>
      </c>
      <c r="P9" s="10" t="n">
        <v>0</v>
      </c>
      <c r="Q9" s="9" t="s">
        <v>533</v>
      </c>
    </row>
    <row r="10" customFormat="false" ht="15" hidden="false" customHeight="false" outlineLevel="0" collapsed="false">
      <c r="A10" s="9" t="s">
        <v>396</v>
      </c>
      <c r="B10" s="9" t="s">
        <v>397</v>
      </c>
      <c r="C10" s="9" t="s">
        <v>92</v>
      </c>
      <c r="D10" s="9" t="s">
        <v>312</v>
      </c>
      <c r="E10" s="9" t="s">
        <v>151</v>
      </c>
      <c r="F10" s="9" t="s">
        <v>301</v>
      </c>
      <c r="G10" s="9" t="s">
        <v>531</v>
      </c>
      <c r="H10" s="9" t="s">
        <v>532</v>
      </c>
      <c r="I10" s="10" t="n">
        <v>2</v>
      </c>
      <c r="J10" s="10" t="n">
        <v>2</v>
      </c>
      <c r="K10" s="10" t="n">
        <v>4</v>
      </c>
      <c r="L10" s="10" t="n">
        <v>4</v>
      </c>
      <c r="M10" s="10" t="n">
        <v>0</v>
      </c>
      <c r="N10" s="10" t="n">
        <v>0</v>
      </c>
      <c r="O10" s="10" t="n">
        <v>0</v>
      </c>
      <c r="P10" s="10" t="n">
        <v>0</v>
      </c>
      <c r="Q10" s="9" t="s">
        <v>533</v>
      </c>
    </row>
    <row r="11" customFormat="false" ht="15" hidden="false" customHeight="false" outlineLevel="0" collapsed="false">
      <c r="A11" s="9" t="s">
        <v>396</v>
      </c>
      <c r="B11" s="9" t="s">
        <v>397</v>
      </c>
      <c r="C11" s="9" t="s">
        <v>92</v>
      </c>
      <c r="D11" s="9" t="s">
        <v>313</v>
      </c>
      <c r="E11" s="9" t="s">
        <v>151</v>
      </c>
      <c r="F11" s="9" t="s">
        <v>305</v>
      </c>
      <c r="G11" s="9" t="s">
        <v>531</v>
      </c>
      <c r="H11" s="9" t="s">
        <v>532</v>
      </c>
      <c r="I11" s="10" t="n">
        <v>2</v>
      </c>
      <c r="J11" s="10" t="n">
        <v>2</v>
      </c>
      <c r="K11" s="10" t="n">
        <v>4</v>
      </c>
      <c r="L11" s="10" t="n">
        <v>4</v>
      </c>
      <c r="M11" s="10" t="n">
        <v>0</v>
      </c>
      <c r="N11" s="10" t="n">
        <v>0</v>
      </c>
      <c r="O11" s="10" t="n">
        <v>0</v>
      </c>
      <c r="P11" s="10" t="n">
        <v>0</v>
      </c>
      <c r="Q11" s="9" t="s">
        <v>533</v>
      </c>
    </row>
    <row r="12" customFormat="false" ht="15" hidden="false" customHeight="false" outlineLevel="0" collapsed="false">
      <c r="A12" s="9" t="s">
        <v>396</v>
      </c>
      <c r="B12" s="9" t="s">
        <v>397</v>
      </c>
      <c r="C12" s="9" t="s">
        <v>92</v>
      </c>
      <c r="D12" s="9" t="s">
        <v>314</v>
      </c>
      <c r="E12" s="9" t="s">
        <v>151</v>
      </c>
      <c r="F12" s="9" t="s">
        <v>309</v>
      </c>
      <c r="G12" s="9" t="s">
        <v>531</v>
      </c>
      <c r="H12" s="9" t="s">
        <v>532</v>
      </c>
      <c r="I12" s="10" t="n">
        <v>2</v>
      </c>
      <c r="J12" s="10" t="n">
        <v>2</v>
      </c>
      <c r="K12" s="10" t="n">
        <v>4</v>
      </c>
      <c r="L12" s="10" t="n">
        <v>4</v>
      </c>
      <c r="M12" s="10" t="n">
        <v>0</v>
      </c>
      <c r="N12" s="10" t="n">
        <v>0</v>
      </c>
      <c r="O12" s="10" t="n">
        <v>0</v>
      </c>
      <c r="P12" s="10" t="n">
        <v>0</v>
      </c>
      <c r="Q12" s="9" t="s">
        <v>533</v>
      </c>
    </row>
    <row r="13" customFormat="false" ht="15" hidden="false" customHeight="false" outlineLevel="0" collapsed="false">
      <c r="A13" s="9" t="s">
        <v>396</v>
      </c>
      <c r="B13" s="9" t="s">
        <v>397</v>
      </c>
      <c r="C13" s="9" t="s">
        <v>92</v>
      </c>
      <c r="D13" s="9" t="s">
        <v>315</v>
      </c>
      <c r="E13" s="9" t="s">
        <v>157</v>
      </c>
      <c r="F13" s="9" t="s">
        <v>301</v>
      </c>
      <c r="G13" s="9" t="s">
        <v>531</v>
      </c>
      <c r="H13" s="9" t="s">
        <v>532</v>
      </c>
      <c r="I13" s="10" t="n">
        <v>2</v>
      </c>
      <c r="J13" s="10" t="n">
        <v>2</v>
      </c>
      <c r="K13" s="10" t="n">
        <v>4</v>
      </c>
      <c r="L13" s="10" t="n">
        <v>4</v>
      </c>
      <c r="M13" s="10" t="n">
        <v>0</v>
      </c>
      <c r="N13" s="10" t="n">
        <v>0</v>
      </c>
      <c r="O13" s="10" t="n">
        <v>0</v>
      </c>
      <c r="P13" s="10" t="n">
        <v>0</v>
      </c>
      <c r="Q13" s="9" t="s">
        <v>533</v>
      </c>
    </row>
    <row r="14" customFormat="false" ht="15" hidden="false" customHeight="false" outlineLevel="0" collapsed="false">
      <c r="A14" s="9" t="s">
        <v>396</v>
      </c>
      <c r="B14" s="9" t="s">
        <v>397</v>
      </c>
      <c r="C14" s="9" t="s">
        <v>92</v>
      </c>
      <c r="D14" s="9" t="s">
        <v>316</v>
      </c>
      <c r="E14" s="9" t="s">
        <v>157</v>
      </c>
      <c r="F14" s="9" t="s">
        <v>305</v>
      </c>
      <c r="G14" s="9" t="s">
        <v>531</v>
      </c>
      <c r="H14" s="9" t="s">
        <v>532</v>
      </c>
      <c r="I14" s="10" t="n">
        <v>2</v>
      </c>
      <c r="J14" s="10" t="n">
        <v>2</v>
      </c>
      <c r="K14" s="10" t="n">
        <v>4</v>
      </c>
      <c r="L14" s="10" t="n">
        <v>4</v>
      </c>
      <c r="M14" s="10" t="n">
        <v>0</v>
      </c>
      <c r="N14" s="10" t="n">
        <v>0</v>
      </c>
      <c r="O14" s="10" t="n">
        <v>0</v>
      </c>
      <c r="P14" s="10" t="n">
        <v>0</v>
      </c>
      <c r="Q14" s="9" t="s">
        <v>533</v>
      </c>
    </row>
    <row r="15" customFormat="false" ht="15" hidden="false" customHeight="false" outlineLevel="0" collapsed="false">
      <c r="A15" s="9" t="s">
        <v>396</v>
      </c>
      <c r="B15" s="9" t="s">
        <v>397</v>
      </c>
      <c r="C15" s="9" t="s">
        <v>92</v>
      </c>
      <c r="D15" s="9" t="s">
        <v>317</v>
      </c>
      <c r="E15" s="9" t="s">
        <v>157</v>
      </c>
      <c r="F15" s="9" t="s">
        <v>309</v>
      </c>
      <c r="G15" s="9" t="s">
        <v>531</v>
      </c>
      <c r="H15" s="9" t="s">
        <v>532</v>
      </c>
      <c r="I15" s="10" t="n">
        <v>2</v>
      </c>
      <c r="J15" s="10" t="n">
        <v>2</v>
      </c>
      <c r="K15" s="10" t="n">
        <v>4</v>
      </c>
      <c r="L15" s="10" t="n">
        <v>4</v>
      </c>
      <c r="M15" s="10" t="n">
        <v>0</v>
      </c>
      <c r="N15" s="10" t="n">
        <v>0</v>
      </c>
      <c r="O15" s="10" t="n">
        <v>0</v>
      </c>
      <c r="P15" s="10" t="n">
        <v>0</v>
      </c>
      <c r="Q15" s="9" t="s">
        <v>533</v>
      </c>
    </row>
    <row r="16" customFormat="false" ht="15" hidden="false" customHeight="false" outlineLevel="0" collapsed="false">
      <c r="A16" s="9" t="s">
        <v>396</v>
      </c>
      <c r="B16" s="9" t="s">
        <v>397</v>
      </c>
      <c r="C16" s="9" t="s">
        <v>92</v>
      </c>
      <c r="D16" s="9" t="s">
        <v>318</v>
      </c>
      <c r="E16" s="9" t="s">
        <v>163</v>
      </c>
      <c r="F16" s="9" t="s">
        <v>301</v>
      </c>
      <c r="G16" s="9" t="s">
        <v>531</v>
      </c>
      <c r="H16" s="9" t="s">
        <v>532</v>
      </c>
      <c r="I16" s="10" t="n">
        <v>2</v>
      </c>
      <c r="J16" s="10" t="n">
        <v>2</v>
      </c>
      <c r="K16" s="10" t="n">
        <v>4</v>
      </c>
      <c r="L16" s="10" t="n">
        <v>4</v>
      </c>
      <c r="M16" s="10" t="n">
        <v>0</v>
      </c>
      <c r="N16" s="10" t="n">
        <v>0</v>
      </c>
      <c r="O16" s="10" t="n">
        <v>0</v>
      </c>
      <c r="P16" s="10" t="n">
        <v>0</v>
      </c>
      <c r="Q16" s="9" t="s">
        <v>533</v>
      </c>
    </row>
    <row r="17" customFormat="false" ht="15" hidden="false" customHeight="false" outlineLevel="0" collapsed="false">
      <c r="A17" s="9" t="s">
        <v>396</v>
      </c>
      <c r="B17" s="9" t="s">
        <v>397</v>
      </c>
      <c r="C17" s="9" t="s">
        <v>92</v>
      </c>
      <c r="D17" s="9" t="s">
        <v>319</v>
      </c>
      <c r="E17" s="9" t="s">
        <v>163</v>
      </c>
      <c r="F17" s="9" t="s">
        <v>305</v>
      </c>
      <c r="G17" s="9" t="s">
        <v>531</v>
      </c>
      <c r="H17" s="9" t="s">
        <v>532</v>
      </c>
      <c r="I17" s="10" t="n">
        <v>2</v>
      </c>
      <c r="J17" s="10" t="n">
        <v>2</v>
      </c>
      <c r="K17" s="10" t="n">
        <v>4</v>
      </c>
      <c r="L17" s="10" t="n">
        <v>4</v>
      </c>
      <c r="M17" s="10" t="n">
        <v>0</v>
      </c>
      <c r="N17" s="10" t="n">
        <v>0</v>
      </c>
      <c r="O17" s="10" t="n">
        <v>0</v>
      </c>
      <c r="P17" s="10" t="n">
        <v>0</v>
      </c>
      <c r="Q17" s="9" t="s">
        <v>533</v>
      </c>
    </row>
    <row r="18" customFormat="false" ht="15" hidden="false" customHeight="false" outlineLevel="0" collapsed="false">
      <c r="A18" s="9" t="s">
        <v>396</v>
      </c>
      <c r="B18" s="9" t="s">
        <v>397</v>
      </c>
      <c r="C18" s="9" t="s">
        <v>92</v>
      </c>
      <c r="D18" s="9" t="s">
        <v>320</v>
      </c>
      <c r="E18" s="9" t="s">
        <v>163</v>
      </c>
      <c r="F18" s="9" t="s">
        <v>309</v>
      </c>
      <c r="G18" s="9" t="s">
        <v>531</v>
      </c>
      <c r="H18" s="9" t="s">
        <v>532</v>
      </c>
      <c r="I18" s="10" t="n">
        <v>2</v>
      </c>
      <c r="J18" s="10" t="n">
        <v>2</v>
      </c>
      <c r="K18" s="10" t="n">
        <v>4</v>
      </c>
      <c r="L18" s="10" t="n">
        <v>4</v>
      </c>
      <c r="M18" s="10" t="n">
        <v>0</v>
      </c>
      <c r="N18" s="10" t="n">
        <v>0</v>
      </c>
      <c r="O18" s="10" t="n">
        <v>0</v>
      </c>
      <c r="P18" s="10" t="n">
        <v>0</v>
      </c>
      <c r="Q18" s="9" t="s">
        <v>533</v>
      </c>
    </row>
    <row r="19" customFormat="false" ht="15" hidden="false" customHeight="false" outlineLevel="0" collapsed="false">
      <c r="A19" s="9" t="s">
        <v>403</v>
      </c>
      <c r="B19" s="9" t="s">
        <v>404</v>
      </c>
      <c r="C19" s="9" t="s">
        <v>92</v>
      </c>
      <c r="D19" s="9" t="s">
        <v>300</v>
      </c>
      <c r="E19" s="9" t="s">
        <v>144</v>
      </c>
      <c r="F19" s="9" t="s">
        <v>301</v>
      </c>
      <c r="G19" s="9" t="s">
        <v>531</v>
      </c>
      <c r="H19" s="9" t="s">
        <v>532</v>
      </c>
      <c r="I19" s="10" t="n">
        <v>2</v>
      </c>
      <c r="J19" s="10" t="n">
        <v>2</v>
      </c>
      <c r="K19" s="10" t="n">
        <v>4</v>
      </c>
      <c r="L19" s="10" t="n">
        <v>4</v>
      </c>
      <c r="M19" s="10" t="n">
        <v>0</v>
      </c>
      <c r="N19" s="10" t="n">
        <v>0</v>
      </c>
      <c r="O19" s="10" t="n">
        <v>0</v>
      </c>
      <c r="P19" s="10" t="n">
        <v>0</v>
      </c>
      <c r="Q19" s="9" t="s">
        <v>533</v>
      </c>
    </row>
    <row r="20" customFormat="false" ht="15" hidden="false" customHeight="false" outlineLevel="0" collapsed="false">
      <c r="A20" s="9" t="s">
        <v>403</v>
      </c>
      <c r="B20" s="9" t="s">
        <v>404</v>
      </c>
      <c r="C20" s="9" t="s">
        <v>92</v>
      </c>
      <c r="D20" s="9" t="s">
        <v>304</v>
      </c>
      <c r="E20" s="9" t="s">
        <v>144</v>
      </c>
      <c r="F20" s="9" t="s">
        <v>305</v>
      </c>
      <c r="G20" s="9" t="s">
        <v>531</v>
      </c>
      <c r="H20" s="9" t="s">
        <v>532</v>
      </c>
      <c r="I20" s="10" t="n">
        <v>2</v>
      </c>
      <c r="J20" s="10" t="n">
        <v>2</v>
      </c>
      <c r="K20" s="10" t="n">
        <v>4</v>
      </c>
      <c r="L20" s="10" t="n">
        <v>4</v>
      </c>
      <c r="M20" s="10" t="n">
        <v>0</v>
      </c>
      <c r="N20" s="10" t="n">
        <v>0</v>
      </c>
      <c r="O20" s="10" t="n">
        <v>0</v>
      </c>
      <c r="P20" s="10" t="n">
        <v>0</v>
      </c>
      <c r="Q20" s="9" t="s">
        <v>533</v>
      </c>
    </row>
    <row r="21" customFormat="false" ht="15" hidden="false" customHeight="false" outlineLevel="0" collapsed="false">
      <c r="A21" s="9" t="s">
        <v>403</v>
      </c>
      <c r="B21" s="9" t="s">
        <v>404</v>
      </c>
      <c r="C21" s="9" t="s">
        <v>92</v>
      </c>
      <c r="D21" s="9" t="s">
        <v>308</v>
      </c>
      <c r="E21" s="9" t="s">
        <v>144</v>
      </c>
      <c r="F21" s="9" t="s">
        <v>309</v>
      </c>
      <c r="G21" s="9" t="s">
        <v>531</v>
      </c>
      <c r="H21" s="9" t="s">
        <v>532</v>
      </c>
      <c r="I21" s="10" t="n">
        <v>2</v>
      </c>
      <c r="J21" s="10" t="n">
        <v>2</v>
      </c>
      <c r="K21" s="10" t="n">
        <v>4</v>
      </c>
      <c r="L21" s="10" t="n">
        <v>4</v>
      </c>
      <c r="M21" s="10" t="n">
        <v>0</v>
      </c>
      <c r="N21" s="10" t="n">
        <v>0</v>
      </c>
      <c r="O21" s="10" t="n">
        <v>0</v>
      </c>
      <c r="P21" s="10" t="n">
        <v>0</v>
      </c>
      <c r="Q21" s="9" t="s">
        <v>533</v>
      </c>
    </row>
    <row r="22" customFormat="false" ht="15" hidden="false" customHeight="false" outlineLevel="0" collapsed="false">
      <c r="A22" s="9" t="s">
        <v>403</v>
      </c>
      <c r="B22" s="9" t="s">
        <v>404</v>
      </c>
      <c r="C22" s="9" t="s">
        <v>92</v>
      </c>
      <c r="D22" s="9" t="s">
        <v>312</v>
      </c>
      <c r="E22" s="9" t="s">
        <v>151</v>
      </c>
      <c r="F22" s="9" t="s">
        <v>301</v>
      </c>
      <c r="G22" s="9" t="s">
        <v>531</v>
      </c>
      <c r="H22" s="9" t="s">
        <v>532</v>
      </c>
      <c r="I22" s="10" t="n">
        <v>2</v>
      </c>
      <c r="J22" s="10" t="n">
        <v>2</v>
      </c>
      <c r="K22" s="10" t="n">
        <v>4</v>
      </c>
      <c r="L22" s="10" t="n">
        <v>4</v>
      </c>
      <c r="M22" s="10" t="n">
        <v>0</v>
      </c>
      <c r="N22" s="10" t="n">
        <v>0</v>
      </c>
      <c r="O22" s="10" t="n">
        <v>0</v>
      </c>
      <c r="P22" s="10" t="n">
        <v>0</v>
      </c>
      <c r="Q22" s="9" t="s">
        <v>533</v>
      </c>
    </row>
    <row r="23" customFormat="false" ht="15" hidden="false" customHeight="false" outlineLevel="0" collapsed="false">
      <c r="A23" s="9" t="s">
        <v>403</v>
      </c>
      <c r="B23" s="9" t="s">
        <v>404</v>
      </c>
      <c r="C23" s="9" t="s">
        <v>92</v>
      </c>
      <c r="D23" s="9" t="s">
        <v>313</v>
      </c>
      <c r="E23" s="9" t="s">
        <v>151</v>
      </c>
      <c r="F23" s="9" t="s">
        <v>305</v>
      </c>
      <c r="G23" s="9" t="s">
        <v>531</v>
      </c>
      <c r="H23" s="9" t="s">
        <v>532</v>
      </c>
      <c r="I23" s="10" t="n">
        <v>2</v>
      </c>
      <c r="J23" s="10" t="n">
        <v>2</v>
      </c>
      <c r="K23" s="10" t="n">
        <v>4</v>
      </c>
      <c r="L23" s="10" t="n">
        <v>4</v>
      </c>
      <c r="M23" s="10" t="n">
        <v>0</v>
      </c>
      <c r="N23" s="10" t="n">
        <v>0</v>
      </c>
      <c r="O23" s="10" t="n">
        <v>0</v>
      </c>
      <c r="P23" s="10" t="n">
        <v>0</v>
      </c>
      <c r="Q23" s="9" t="s">
        <v>533</v>
      </c>
    </row>
    <row r="24" customFormat="false" ht="15" hidden="false" customHeight="false" outlineLevel="0" collapsed="false">
      <c r="A24" s="9" t="s">
        <v>403</v>
      </c>
      <c r="B24" s="9" t="s">
        <v>404</v>
      </c>
      <c r="C24" s="9" t="s">
        <v>92</v>
      </c>
      <c r="D24" s="9" t="s">
        <v>314</v>
      </c>
      <c r="E24" s="9" t="s">
        <v>151</v>
      </c>
      <c r="F24" s="9" t="s">
        <v>309</v>
      </c>
      <c r="G24" s="9" t="s">
        <v>531</v>
      </c>
      <c r="H24" s="9" t="s">
        <v>532</v>
      </c>
      <c r="I24" s="10" t="n">
        <v>2</v>
      </c>
      <c r="J24" s="10" t="n">
        <v>2</v>
      </c>
      <c r="K24" s="10" t="n">
        <v>4</v>
      </c>
      <c r="L24" s="10" t="n">
        <v>4</v>
      </c>
      <c r="M24" s="10" t="n">
        <v>0</v>
      </c>
      <c r="N24" s="10" t="n">
        <v>0</v>
      </c>
      <c r="O24" s="10" t="n">
        <v>0</v>
      </c>
      <c r="P24" s="10" t="n">
        <v>0</v>
      </c>
      <c r="Q24" s="9" t="s">
        <v>533</v>
      </c>
    </row>
    <row r="25" customFormat="false" ht="15" hidden="false" customHeight="false" outlineLevel="0" collapsed="false">
      <c r="A25" s="9" t="s">
        <v>403</v>
      </c>
      <c r="B25" s="9" t="s">
        <v>404</v>
      </c>
      <c r="C25" s="9" t="s">
        <v>92</v>
      </c>
      <c r="D25" s="9" t="s">
        <v>315</v>
      </c>
      <c r="E25" s="9" t="s">
        <v>157</v>
      </c>
      <c r="F25" s="9" t="s">
        <v>301</v>
      </c>
      <c r="G25" s="9" t="s">
        <v>531</v>
      </c>
      <c r="H25" s="9" t="s">
        <v>532</v>
      </c>
      <c r="I25" s="10" t="n">
        <v>2</v>
      </c>
      <c r="J25" s="10" t="n">
        <v>2</v>
      </c>
      <c r="K25" s="10" t="n">
        <v>4</v>
      </c>
      <c r="L25" s="10" t="n">
        <v>4</v>
      </c>
      <c r="M25" s="10" t="n">
        <v>0</v>
      </c>
      <c r="N25" s="10" t="n">
        <v>0</v>
      </c>
      <c r="O25" s="10" t="n">
        <v>0</v>
      </c>
      <c r="P25" s="10" t="n">
        <v>0</v>
      </c>
      <c r="Q25" s="9" t="s">
        <v>533</v>
      </c>
    </row>
    <row r="26" customFormat="false" ht="15" hidden="false" customHeight="false" outlineLevel="0" collapsed="false">
      <c r="A26" s="9" t="s">
        <v>403</v>
      </c>
      <c r="B26" s="9" t="s">
        <v>404</v>
      </c>
      <c r="C26" s="9" t="s">
        <v>92</v>
      </c>
      <c r="D26" s="9" t="s">
        <v>316</v>
      </c>
      <c r="E26" s="9" t="s">
        <v>157</v>
      </c>
      <c r="F26" s="9" t="s">
        <v>305</v>
      </c>
      <c r="G26" s="9" t="s">
        <v>531</v>
      </c>
      <c r="H26" s="9" t="s">
        <v>532</v>
      </c>
      <c r="I26" s="10" t="n">
        <v>2</v>
      </c>
      <c r="J26" s="10" t="n">
        <v>2</v>
      </c>
      <c r="K26" s="10" t="n">
        <v>4</v>
      </c>
      <c r="L26" s="10" t="n">
        <v>4</v>
      </c>
      <c r="M26" s="10" t="n">
        <v>0</v>
      </c>
      <c r="N26" s="10" t="n">
        <v>0</v>
      </c>
      <c r="O26" s="10" t="n">
        <v>0</v>
      </c>
      <c r="P26" s="10" t="n">
        <v>0</v>
      </c>
      <c r="Q26" s="9" t="s">
        <v>533</v>
      </c>
    </row>
    <row r="27" customFormat="false" ht="15" hidden="false" customHeight="false" outlineLevel="0" collapsed="false">
      <c r="A27" s="9" t="s">
        <v>403</v>
      </c>
      <c r="B27" s="9" t="s">
        <v>404</v>
      </c>
      <c r="C27" s="9" t="s">
        <v>92</v>
      </c>
      <c r="D27" s="9" t="s">
        <v>317</v>
      </c>
      <c r="E27" s="9" t="s">
        <v>157</v>
      </c>
      <c r="F27" s="9" t="s">
        <v>309</v>
      </c>
      <c r="G27" s="9" t="s">
        <v>531</v>
      </c>
      <c r="H27" s="9" t="s">
        <v>532</v>
      </c>
      <c r="I27" s="10" t="n">
        <v>2</v>
      </c>
      <c r="J27" s="10" t="n">
        <v>2</v>
      </c>
      <c r="K27" s="10" t="n">
        <v>4</v>
      </c>
      <c r="L27" s="10" t="n">
        <v>4</v>
      </c>
      <c r="M27" s="10" t="n">
        <v>0</v>
      </c>
      <c r="N27" s="10" t="n">
        <v>0</v>
      </c>
      <c r="O27" s="10" t="n">
        <v>0</v>
      </c>
      <c r="P27" s="10" t="n">
        <v>0</v>
      </c>
      <c r="Q27" s="9" t="s">
        <v>533</v>
      </c>
    </row>
    <row r="28" customFormat="false" ht="15" hidden="false" customHeight="false" outlineLevel="0" collapsed="false">
      <c r="A28" s="9" t="s">
        <v>403</v>
      </c>
      <c r="B28" s="9" t="s">
        <v>404</v>
      </c>
      <c r="C28" s="9" t="s">
        <v>92</v>
      </c>
      <c r="D28" s="9" t="s">
        <v>318</v>
      </c>
      <c r="E28" s="9" t="s">
        <v>163</v>
      </c>
      <c r="F28" s="9" t="s">
        <v>301</v>
      </c>
      <c r="G28" s="9" t="s">
        <v>531</v>
      </c>
      <c r="H28" s="9" t="s">
        <v>532</v>
      </c>
      <c r="I28" s="10" t="n">
        <v>2</v>
      </c>
      <c r="J28" s="10" t="n">
        <v>2</v>
      </c>
      <c r="K28" s="10" t="n">
        <v>4</v>
      </c>
      <c r="L28" s="10" t="n">
        <v>4</v>
      </c>
      <c r="M28" s="10" t="n">
        <v>0</v>
      </c>
      <c r="N28" s="10" t="n">
        <v>0</v>
      </c>
      <c r="O28" s="10" t="n">
        <v>0</v>
      </c>
      <c r="P28" s="10" t="n">
        <v>0</v>
      </c>
      <c r="Q28" s="9" t="s">
        <v>533</v>
      </c>
    </row>
    <row r="29" customFormat="false" ht="15" hidden="false" customHeight="false" outlineLevel="0" collapsed="false">
      <c r="A29" s="9" t="s">
        <v>403</v>
      </c>
      <c r="B29" s="9" t="s">
        <v>404</v>
      </c>
      <c r="C29" s="9" t="s">
        <v>92</v>
      </c>
      <c r="D29" s="9" t="s">
        <v>319</v>
      </c>
      <c r="E29" s="9" t="s">
        <v>163</v>
      </c>
      <c r="F29" s="9" t="s">
        <v>305</v>
      </c>
      <c r="G29" s="9" t="s">
        <v>531</v>
      </c>
      <c r="H29" s="9" t="s">
        <v>532</v>
      </c>
      <c r="I29" s="10" t="n">
        <v>2</v>
      </c>
      <c r="J29" s="10" t="n">
        <v>2</v>
      </c>
      <c r="K29" s="10" t="n">
        <v>4</v>
      </c>
      <c r="L29" s="10" t="n">
        <v>4</v>
      </c>
      <c r="M29" s="10" t="n">
        <v>0</v>
      </c>
      <c r="N29" s="10" t="n">
        <v>0</v>
      </c>
      <c r="O29" s="10" t="n">
        <v>0</v>
      </c>
      <c r="P29" s="10" t="n">
        <v>0</v>
      </c>
      <c r="Q29" s="9" t="s">
        <v>533</v>
      </c>
    </row>
    <row r="30" customFormat="false" ht="15" hidden="false" customHeight="false" outlineLevel="0" collapsed="false">
      <c r="A30" s="9" t="s">
        <v>403</v>
      </c>
      <c r="B30" s="9" t="s">
        <v>404</v>
      </c>
      <c r="C30" s="9" t="s">
        <v>92</v>
      </c>
      <c r="D30" s="9" t="s">
        <v>320</v>
      </c>
      <c r="E30" s="9" t="s">
        <v>163</v>
      </c>
      <c r="F30" s="9" t="s">
        <v>309</v>
      </c>
      <c r="G30" s="9" t="s">
        <v>531</v>
      </c>
      <c r="H30" s="9" t="s">
        <v>532</v>
      </c>
      <c r="I30" s="10" t="n">
        <v>2</v>
      </c>
      <c r="J30" s="10" t="n">
        <v>2</v>
      </c>
      <c r="K30" s="10" t="n">
        <v>4</v>
      </c>
      <c r="L30" s="10" t="n">
        <v>4</v>
      </c>
      <c r="M30" s="10" t="n">
        <v>0</v>
      </c>
      <c r="N30" s="10" t="n">
        <v>0</v>
      </c>
      <c r="O30" s="10" t="n">
        <v>0</v>
      </c>
      <c r="P30" s="10" t="n">
        <v>0</v>
      </c>
      <c r="Q30" s="9" t="s">
        <v>533</v>
      </c>
    </row>
    <row r="31" customFormat="false" ht="15" hidden="false" customHeight="false" outlineLevel="0" collapsed="false">
      <c r="A31" s="9" t="s">
        <v>407</v>
      </c>
      <c r="B31" s="9" t="s">
        <v>408</v>
      </c>
      <c r="C31" s="9" t="s">
        <v>92</v>
      </c>
      <c r="D31" s="9" t="s">
        <v>300</v>
      </c>
      <c r="E31" s="9" t="s">
        <v>144</v>
      </c>
      <c r="F31" s="9" t="s">
        <v>301</v>
      </c>
      <c r="G31" s="9" t="s">
        <v>531</v>
      </c>
      <c r="H31" s="9" t="s">
        <v>532</v>
      </c>
      <c r="I31" s="10" t="n">
        <v>2</v>
      </c>
      <c r="J31" s="10" t="n">
        <v>2</v>
      </c>
      <c r="K31" s="10" t="n">
        <v>4</v>
      </c>
      <c r="L31" s="10" t="n">
        <v>4</v>
      </c>
      <c r="M31" s="10" t="n">
        <v>0</v>
      </c>
      <c r="N31" s="10" t="n">
        <v>0</v>
      </c>
      <c r="O31" s="10" t="n">
        <v>0</v>
      </c>
      <c r="P31" s="10" t="n">
        <v>0</v>
      </c>
      <c r="Q31" s="9" t="s">
        <v>533</v>
      </c>
    </row>
    <row r="32" customFormat="false" ht="15" hidden="false" customHeight="false" outlineLevel="0" collapsed="false">
      <c r="A32" s="9" t="s">
        <v>407</v>
      </c>
      <c r="B32" s="9" t="s">
        <v>408</v>
      </c>
      <c r="C32" s="9" t="s">
        <v>92</v>
      </c>
      <c r="D32" s="9" t="s">
        <v>304</v>
      </c>
      <c r="E32" s="9" t="s">
        <v>144</v>
      </c>
      <c r="F32" s="9" t="s">
        <v>305</v>
      </c>
      <c r="G32" s="9" t="s">
        <v>531</v>
      </c>
      <c r="H32" s="9" t="s">
        <v>532</v>
      </c>
      <c r="I32" s="10" t="n">
        <v>2</v>
      </c>
      <c r="J32" s="10" t="n">
        <v>2</v>
      </c>
      <c r="K32" s="10" t="n">
        <v>4</v>
      </c>
      <c r="L32" s="10" t="n">
        <v>4</v>
      </c>
      <c r="M32" s="10" t="n">
        <v>0</v>
      </c>
      <c r="N32" s="10" t="n">
        <v>0</v>
      </c>
      <c r="O32" s="10" t="n">
        <v>0</v>
      </c>
      <c r="P32" s="10" t="n">
        <v>0</v>
      </c>
      <c r="Q32" s="9" t="s">
        <v>533</v>
      </c>
    </row>
    <row r="33" customFormat="false" ht="15" hidden="false" customHeight="false" outlineLevel="0" collapsed="false">
      <c r="A33" s="9" t="s">
        <v>407</v>
      </c>
      <c r="B33" s="9" t="s">
        <v>408</v>
      </c>
      <c r="C33" s="9" t="s">
        <v>92</v>
      </c>
      <c r="D33" s="9" t="s">
        <v>308</v>
      </c>
      <c r="E33" s="9" t="s">
        <v>144</v>
      </c>
      <c r="F33" s="9" t="s">
        <v>309</v>
      </c>
      <c r="G33" s="9" t="s">
        <v>531</v>
      </c>
      <c r="H33" s="9" t="s">
        <v>532</v>
      </c>
      <c r="I33" s="10" t="n">
        <v>2</v>
      </c>
      <c r="J33" s="10" t="n">
        <v>2</v>
      </c>
      <c r="K33" s="10" t="n">
        <v>4</v>
      </c>
      <c r="L33" s="10" t="n">
        <v>4</v>
      </c>
      <c r="M33" s="10" t="n">
        <v>0</v>
      </c>
      <c r="N33" s="10" t="n">
        <v>0</v>
      </c>
      <c r="O33" s="10" t="n">
        <v>0</v>
      </c>
      <c r="P33" s="10" t="n">
        <v>0</v>
      </c>
      <c r="Q33" s="9" t="s">
        <v>533</v>
      </c>
    </row>
    <row r="34" customFormat="false" ht="15" hidden="false" customHeight="false" outlineLevel="0" collapsed="false">
      <c r="A34" s="9" t="s">
        <v>407</v>
      </c>
      <c r="B34" s="9" t="s">
        <v>408</v>
      </c>
      <c r="C34" s="9" t="s">
        <v>92</v>
      </c>
      <c r="D34" s="9" t="s">
        <v>312</v>
      </c>
      <c r="E34" s="9" t="s">
        <v>151</v>
      </c>
      <c r="F34" s="9" t="s">
        <v>301</v>
      </c>
      <c r="G34" s="9" t="s">
        <v>531</v>
      </c>
      <c r="H34" s="9" t="s">
        <v>532</v>
      </c>
      <c r="I34" s="10" t="n">
        <v>2</v>
      </c>
      <c r="J34" s="10" t="n">
        <v>2</v>
      </c>
      <c r="K34" s="10" t="n">
        <v>4</v>
      </c>
      <c r="L34" s="10" t="n">
        <v>4</v>
      </c>
      <c r="M34" s="10" t="n">
        <v>0</v>
      </c>
      <c r="N34" s="10" t="n">
        <v>0</v>
      </c>
      <c r="O34" s="10" t="n">
        <v>0</v>
      </c>
      <c r="P34" s="10" t="n">
        <v>0</v>
      </c>
      <c r="Q34" s="9" t="s">
        <v>533</v>
      </c>
    </row>
    <row r="35" customFormat="false" ht="15" hidden="false" customHeight="false" outlineLevel="0" collapsed="false">
      <c r="A35" s="9" t="s">
        <v>407</v>
      </c>
      <c r="B35" s="9" t="s">
        <v>408</v>
      </c>
      <c r="C35" s="9" t="s">
        <v>92</v>
      </c>
      <c r="D35" s="9" t="s">
        <v>313</v>
      </c>
      <c r="E35" s="9" t="s">
        <v>151</v>
      </c>
      <c r="F35" s="9" t="s">
        <v>305</v>
      </c>
      <c r="G35" s="9" t="s">
        <v>531</v>
      </c>
      <c r="H35" s="9" t="s">
        <v>532</v>
      </c>
      <c r="I35" s="10" t="n">
        <v>2</v>
      </c>
      <c r="J35" s="10" t="n">
        <v>2</v>
      </c>
      <c r="K35" s="10" t="n">
        <v>4</v>
      </c>
      <c r="L35" s="10" t="n">
        <v>4</v>
      </c>
      <c r="M35" s="10" t="n">
        <v>0</v>
      </c>
      <c r="N35" s="10" t="n">
        <v>0</v>
      </c>
      <c r="O35" s="10" t="n">
        <v>0</v>
      </c>
      <c r="P35" s="10" t="n">
        <v>0</v>
      </c>
      <c r="Q35" s="9" t="s">
        <v>533</v>
      </c>
    </row>
    <row r="36" customFormat="false" ht="15" hidden="false" customHeight="false" outlineLevel="0" collapsed="false">
      <c r="A36" s="9" t="s">
        <v>407</v>
      </c>
      <c r="B36" s="9" t="s">
        <v>408</v>
      </c>
      <c r="C36" s="9" t="s">
        <v>92</v>
      </c>
      <c r="D36" s="9" t="s">
        <v>314</v>
      </c>
      <c r="E36" s="9" t="s">
        <v>151</v>
      </c>
      <c r="F36" s="9" t="s">
        <v>309</v>
      </c>
      <c r="G36" s="9" t="s">
        <v>531</v>
      </c>
      <c r="H36" s="9" t="s">
        <v>532</v>
      </c>
      <c r="I36" s="10" t="n">
        <v>2</v>
      </c>
      <c r="J36" s="10" t="n">
        <v>2</v>
      </c>
      <c r="K36" s="10" t="n">
        <v>4</v>
      </c>
      <c r="L36" s="10" t="n">
        <v>4</v>
      </c>
      <c r="M36" s="10" t="n">
        <v>0</v>
      </c>
      <c r="N36" s="10" t="n">
        <v>0</v>
      </c>
      <c r="O36" s="10" t="n">
        <v>0</v>
      </c>
      <c r="P36" s="10" t="n">
        <v>0</v>
      </c>
      <c r="Q36" s="9" t="s">
        <v>533</v>
      </c>
    </row>
    <row r="37" customFormat="false" ht="15" hidden="false" customHeight="false" outlineLevel="0" collapsed="false">
      <c r="A37" s="9" t="s">
        <v>407</v>
      </c>
      <c r="B37" s="9" t="s">
        <v>408</v>
      </c>
      <c r="C37" s="9" t="s">
        <v>92</v>
      </c>
      <c r="D37" s="9" t="s">
        <v>315</v>
      </c>
      <c r="E37" s="9" t="s">
        <v>157</v>
      </c>
      <c r="F37" s="9" t="s">
        <v>301</v>
      </c>
      <c r="G37" s="9" t="s">
        <v>531</v>
      </c>
      <c r="H37" s="9" t="s">
        <v>532</v>
      </c>
      <c r="I37" s="10" t="n">
        <v>2</v>
      </c>
      <c r="J37" s="10" t="n">
        <v>2</v>
      </c>
      <c r="K37" s="10" t="n">
        <v>4</v>
      </c>
      <c r="L37" s="10" t="n">
        <v>4</v>
      </c>
      <c r="M37" s="10" t="n">
        <v>0</v>
      </c>
      <c r="N37" s="10" t="n">
        <v>0</v>
      </c>
      <c r="O37" s="10" t="n">
        <v>0</v>
      </c>
      <c r="P37" s="10" t="n">
        <v>0</v>
      </c>
      <c r="Q37" s="9" t="s">
        <v>533</v>
      </c>
    </row>
    <row r="38" customFormat="false" ht="15" hidden="false" customHeight="false" outlineLevel="0" collapsed="false">
      <c r="A38" s="9" t="s">
        <v>407</v>
      </c>
      <c r="B38" s="9" t="s">
        <v>408</v>
      </c>
      <c r="C38" s="9" t="s">
        <v>92</v>
      </c>
      <c r="D38" s="9" t="s">
        <v>316</v>
      </c>
      <c r="E38" s="9" t="s">
        <v>157</v>
      </c>
      <c r="F38" s="9" t="s">
        <v>305</v>
      </c>
      <c r="G38" s="9" t="s">
        <v>531</v>
      </c>
      <c r="H38" s="9" t="s">
        <v>532</v>
      </c>
      <c r="I38" s="10" t="n">
        <v>2</v>
      </c>
      <c r="J38" s="10" t="n">
        <v>2</v>
      </c>
      <c r="K38" s="10" t="n">
        <v>4</v>
      </c>
      <c r="L38" s="10" t="n">
        <v>4</v>
      </c>
      <c r="M38" s="10" t="n">
        <v>0</v>
      </c>
      <c r="N38" s="10" t="n">
        <v>0</v>
      </c>
      <c r="O38" s="10" t="n">
        <v>0</v>
      </c>
      <c r="P38" s="10" t="n">
        <v>0</v>
      </c>
      <c r="Q38" s="9" t="s">
        <v>533</v>
      </c>
    </row>
    <row r="39" customFormat="false" ht="15" hidden="false" customHeight="false" outlineLevel="0" collapsed="false">
      <c r="A39" s="9" t="s">
        <v>407</v>
      </c>
      <c r="B39" s="9" t="s">
        <v>408</v>
      </c>
      <c r="C39" s="9" t="s">
        <v>92</v>
      </c>
      <c r="D39" s="9" t="s">
        <v>317</v>
      </c>
      <c r="E39" s="9" t="s">
        <v>157</v>
      </c>
      <c r="F39" s="9" t="s">
        <v>309</v>
      </c>
      <c r="G39" s="9" t="s">
        <v>531</v>
      </c>
      <c r="H39" s="9" t="s">
        <v>532</v>
      </c>
      <c r="I39" s="10" t="n">
        <v>2</v>
      </c>
      <c r="J39" s="10" t="n">
        <v>2</v>
      </c>
      <c r="K39" s="10" t="n">
        <v>4</v>
      </c>
      <c r="L39" s="10" t="n">
        <v>4</v>
      </c>
      <c r="M39" s="10" t="n">
        <v>0</v>
      </c>
      <c r="N39" s="10" t="n">
        <v>0</v>
      </c>
      <c r="O39" s="10" t="n">
        <v>0</v>
      </c>
      <c r="P39" s="10" t="n">
        <v>0</v>
      </c>
      <c r="Q39" s="9" t="s">
        <v>533</v>
      </c>
    </row>
    <row r="40" customFormat="false" ht="15" hidden="false" customHeight="false" outlineLevel="0" collapsed="false">
      <c r="A40" s="9" t="s">
        <v>407</v>
      </c>
      <c r="B40" s="9" t="s">
        <v>408</v>
      </c>
      <c r="C40" s="9" t="s">
        <v>92</v>
      </c>
      <c r="D40" s="9" t="s">
        <v>318</v>
      </c>
      <c r="E40" s="9" t="s">
        <v>163</v>
      </c>
      <c r="F40" s="9" t="s">
        <v>301</v>
      </c>
      <c r="G40" s="9" t="s">
        <v>531</v>
      </c>
      <c r="H40" s="9" t="s">
        <v>532</v>
      </c>
      <c r="I40" s="10" t="n">
        <v>2</v>
      </c>
      <c r="J40" s="10" t="n">
        <v>2</v>
      </c>
      <c r="K40" s="10" t="n">
        <v>4</v>
      </c>
      <c r="L40" s="10" t="n">
        <v>4</v>
      </c>
      <c r="M40" s="10" t="n">
        <v>0</v>
      </c>
      <c r="N40" s="10" t="n">
        <v>0</v>
      </c>
      <c r="O40" s="10" t="n">
        <v>0</v>
      </c>
      <c r="P40" s="10" t="n">
        <v>0</v>
      </c>
      <c r="Q40" s="9" t="s">
        <v>533</v>
      </c>
    </row>
    <row r="41" customFormat="false" ht="15" hidden="false" customHeight="false" outlineLevel="0" collapsed="false">
      <c r="A41" s="9" t="s">
        <v>407</v>
      </c>
      <c r="B41" s="9" t="s">
        <v>408</v>
      </c>
      <c r="C41" s="9" t="s">
        <v>92</v>
      </c>
      <c r="D41" s="9" t="s">
        <v>319</v>
      </c>
      <c r="E41" s="9" t="s">
        <v>163</v>
      </c>
      <c r="F41" s="9" t="s">
        <v>305</v>
      </c>
      <c r="G41" s="9" t="s">
        <v>531</v>
      </c>
      <c r="H41" s="9" t="s">
        <v>532</v>
      </c>
      <c r="I41" s="10" t="n">
        <v>2</v>
      </c>
      <c r="J41" s="10" t="n">
        <v>2</v>
      </c>
      <c r="K41" s="10" t="n">
        <v>4</v>
      </c>
      <c r="L41" s="10" t="n">
        <v>4</v>
      </c>
      <c r="M41" s="10" t="n">
        <v>0</v>
      </c>
      <c r="N41" s="10" t="n">
        <v>0</v>
      </c>
      <c r="O41" s="10" t="n">
        <v>0</v>
      </c>
      <c r="P41" s="10" t="n">
        <v>0</v>
      </c>
      <c r="Q41" s="9" t="s">
        <v>533</v>
      </c>
    </row>
    <row r="42" customFormat="false" ht="15" hidden="false" customHeight="false" outlineLevel="0" collapsed="false">
      <c r="A42" s="9" t="s">
        <v>407</v>
      </c>
      <c r="B42" s="9" t="s">
        <v>408</v>
      </c>
      <c r="C42" s="9" t="s">
        <v>92</v>
      </c>
      <c r="D42" s="9" t="s">
        <v>320</v>
      </c>
      <c r="E42" s="9" t="s">
        <v>163</v>
      </c>
      <c r="F42" s="9" t="s">
        <v>309</v>
      </c>
      <c r="G42" s="9" t="s">
        <v>531</v>
      </c>
      <c r="H42" s="9" t="s">
        <v>532</v>
      </c>
      <c r="I42" s="10" t="n">
        <v>2</v>
      </c>
      <c r="J42" s="10" t="n">
        <v>2</v>
      </c>
      <c r="K42" s="10" t="n">
        <v>4</v>
      </c>
      <c r="L42" s="10" t="n">
        <v>4</v>
      </c>
      <c r="M42" s="10" t="n">
        <v>0</v>
      </c>
      <c r="N42" s="10" t="n">
        <v>0</v>
      </c>
      <c r="O42" s="10" t="n">
        <v>0</v>
      </c>
      <c r="P42" s="10" t="n">
        <v>0</v>
      </c>
      <c r="Q42" s="9" t="s">
        <v>533</v>
      </c>
    </row>
    <row r="43" customFormat="false" ht="15" hidden="false" customHeight="false" outlineLevel="0" collapsed="false">
      <c r="A43" s="9" t="s">
        <v>411</v>
      </c>
      <c r="B43" s="9" t="s">
        <v>412</v>
      </c>
      <c r="C43" s="9" t="s">
        <v>92</v>
      </c>
      <c r="D43" s="9" t="s">
        <v>300</v>
      </c>
      <c r="E43" s="9" t="s">
        <v>144</v>
      </c>
      <c r="F43" s="9" t="s">
        <v>301</v>
      </c>
      <c r="G43" s="9" t="s">
        <v>531</v>
      </c>
      <c r="H43" s="9" t="s">
        <v>532</v>
      </c>
      <c r="I43" s="10" t="n">
        <v>2</v>
      </c>
      <c r="J43" s="10" t="n">
        <v>2</v>
      </c>
      <c r="K43" s="10" t="n">
        <v>4</v>
      </c>
      <c r="L43" s="10" t="n">
        <v>4</v>
      </c>
      <c r="M43" s="10" t="n">
        <v>0</v>
      </c>
      <c r="N43" s="10" t="n">
        <v>0</v>
      </c>
      <c r="O43" s="10" t="n">
        <v>0</v>
      </c>
      <c r="P43" s="10" t="n">
        <v>0</v>
      </c>
      <c r="Q43" s="9" t="s">
        <v>533</v>
      </c>
    </row>
    <row r="44" customFormat="false" ht="15" hidden="false" customHeight="false" outlineLevel="0" collapsed="false">
      <c r="A44" s="9" t="s">
        <v>411</v>
      </c>
      <c r="B44" s="9" t="s">
        <v>412</v>
      </c>
      <c r="C44" s="9" t="s">
        <v>92</v>
      </c>
      <c r="D44" s="9" t="s">
        <v>304</v>
      </c>
      <c r="E44" s="9" t="s">
        <v>144</v>
      </c>
      <c r="F44" s="9" t="s">
        <v>305</v>
      </c>
      <c r="G44" s="9" t="s">
        <v>531</v>
      </c>
      <c r="H44" s="9" t="s">
        <v>532</v>
      </c>
      <c r="I44" s="10" t="n">
        <v>2</v>
      </c>
      <c r="J44" s="10" t="n">
        <v>2</v>
      </c>
      <c r="K44" s="10" t="n">
        <v>4</v>
      </c>
      <c r="L44" s="10" t="n">
        <v>4</v>
      </c>
      <c r="M44" s="10" t="n">
        <v>0</v>
      </c>
      <c r="N44" s="10" t="n">
        <v>0</v>
      </c>
      <c r="O44" s="10" t="n">
        <v>0</v>
      </c>
      <c r="P44" s="10" t="n">
        <v>0</v>
      </c>
      <c r="Q44" s="9" t="s">
        <v>533</v>
      </c>
    </row>
    <row r="45" customFormat="false" ht="15" hidden="false" customHeight="false" outlineLevel="0" collapsed="false">
      <c r="A45" s="9" t="s">
        <v>411</v>
      </c>
      <c r="B45" s="9" t="s">
        <v>412</v>
      </c>
      <c r="C45" s="9" t="s">
        <v>92</v>
      </c>
      <c r="D45" s="9" t="s">
        <v>308</v>
      </c>
      <c r="E45" s="9" t="s">
        <v>144</v>
      </c>
      <c r="F45" s="9" t="s">
        <v>309</v>
      </c>
      <c r="G45" s="9" t="s">
        <v>531</v>
      </c>
      <c r="H45" s="9" t="s">
        <v>532</v>
      </c>
      <c r="I45" s="10" t="n">
        <v>2</v>
      </c>
      <c r="J45" s="10" t="n">
        <v>2</v>
      </c>
      <c r="K45" s="10" t="n">
        <v>4</v>
      </c>
      <c r="L45" s="10" t="n">
        <v>4</v>
      </c>
      <c r="M45" s="10" t="n">
        <v>0</v>
      </c>
      <c r="N45" s="10" t="n">
        <v>0</v>
      </c>
      <c r="O45" s="10" t="n">
        <v>0</v>
      </c>
      <c r="P45" s="10" t="n">
        <v>0</v>
      </c>
      <c r="Q45" s="9" t="s">
        <v>533</v>
      </c>
    </row>
    <row r="46" customFormat="false" ht="15" hidden="false" customHeight="false" outlineLevel="0" collapsed="false">
      <c r="A46" s="9" t="s">
        <v>411</v>
      </c>
      <c r="B46" s="9" t="s">
        <v>412</v>
      </c>
      <c r="C46" s="9" t="s">
        <v>92</v>
      </c>
      <c r="D46" s="9" t="s">
        <v>312</v>
      </c>
      <c r="E46" s="9" t="s">
        <v>151</v>
      </c>
      <c r="F46" s="9" t="s">
        <v>301</v>
      </c>
      <c r="G46" s="9" t="s">
        <v>531</v>
      </c>
      <c r="H46" s="9" t="s">
        <v>532</v>
      </c>
      <c r="I46" s="10" t="n">
        <v>2</v>
      </c>
      <c r="J46" s="10" t="n">
        <v>2</v>
      </c>
      <c r="K46" s="10" t="n">
        <v>4</v>
      </c>
      <c r="L46" s="10" t="n">
        <v>4</v>
      </c>
      <c r="M46" s="10" t="n">
        <v>0</v>
      </c>
      <c r="N46" s="10" t="n">
        <v>0</v>
      </c>
      <c r="O46" s="10" t="n">
        <v>0</v>
      </c>
      <c r="P46" s="10" t="n">
        <v>0</v>
      </c>
      <c r="Q46" s="9" t="s">
        <v>533</v>
      </c>
    </row>
    <row r="47" customFormat="false" ht="15" hidden="false" customHeight="false" outlineLevel="0" collapsed="false">
      <c r="A47" s="9" t="s">
        <v>411</v>
      </c>
      <c r="B47" s="9" t="s">
        <v>412</v>
      </c>
      <c r="C47" s="9" t="s">
        <v>92</v>
      </c>
      <c r="D47" s="9" t="s">
        <v>313</v>
      </c>
      <c r="E47" s="9" t="s">
        <v>151</v>
      </c>
      <c r="F47" s="9" t="s">
        <v>305</v>
      </c>
      <c r="G47" s="9" t="s">
        <v>531</v>
      </c>
      <c r="H47" s="9" t="s">
        <v>532</v>
      </c>
      <c r="I47" s="10" t="n">
        <v>2</v>
      </c>
      <c r="J47" s="10" t="n">
        <v>2</v>
      </c>
      <c r="K47" s="10" t="n">
        <v>4</v>
      </c>
      <c r="L47" s="10" t="n">
        <v>4</v>
      </c>
      <c r="M47" s="10" t="n">
        <v>0</v>
      </c>
      <c r="N47" s="10" t="n">
        <v>0</v>
      </c>
      <c r="O47" s="10" t="n">
        <v>0</v>
      </c>
      <c r="P47" s="10" t="n">
        <v>0</v>
      </c>
      <c r="Q47" s="9" t="s">
        <v>533</v>
      </c>
    </row>
    <row r="48" customFormat="false" ht="15" hidden="false" customHeight="false" outlineLevel="0" collapsed="false">
      <c r="A48" s="9" t="s">
        <v>411</v>
      </c>
      <c r="B48" s="9" t="s">
        <v>412</v>
      </c>
      <c r="C48" s="9" t="s">
        <v>92</v>
      </c>
      <c r="D48" s="9" t="s">
        <v>314</v>
      </c>
      <c r="E48" s="9" t="s">
        <v>151</v>
      </c>
      <c r="F48" s="9" t="s">
        <v>309</v>
      </c>
      <c r="G48" s="9" t="s">
        <v>531</v>
      </c>
      <c r="H48" s="9" t="s">
        <v>532</v>
      </c>
      <c r="I48" s="10" t="n">
        <v>2</v>
      </c>
      <c r="J48" s="10" t="n">
        <v>2</v>
      </c>
      <c r="K48" s="10" t="n">
        <v>4</v>
      </c>
      <c r="L48" s="10" t="n">
        <v>4</v>
      </c>
      <c r="M48" s="10" t="n">
        <v>0</v>
      </c>
      <c r="N48" s="10" t="n">
        <v>0</v>
      </c>
      <c r="O48" s="10" t="n">
        <v>0</v>
      </c>
      <c r="P48" s="10" t="n">
        <v>0</v>
      </c>
      <c r="Q48" s="9" t="s">
        <v>533</v>
      </c>
    </row>
    <row r="49" customFormat="false" ht="15" hidden="false" customHeight="false" outlineLevel="0" collapsed="false">
      <c r="A49" s="9" t="s">
        <v>411</v>
      </c>
      <c r="B49" s="9" t="s">
        <v>412</v>
      </c>
      <c r="C49" s="9" t="s">
        <v>92</v>
      </c>
      <c r="D49" s="9" t="s">
        <v>315</v>
      </c>
      <c r="E49" s="9" t="s">
        <v>157</v>
      </c>
      <c r="F49" s="9" t="s">
        <v>301</v>
      </c>
      <c r="G49" s="9" t="s">
        <v>531</v>
      </c>
      <c r="H49" s="9" t="s">
        <v>532</v>
      </c>
      <c r="I49" s="10" t="n">
        <v>2</v>
      </c>
      <c r="J49" s="10" t="n">
        <v>2</v>
      </c>
      <c r="K49" s="10" t="n">
        <v>4</v>
      </c>
      <c r="L49" s="10" t="n">
        <v>4</v>
      </c>
      <c r="M49" s="10" t="n">
        <v>0</v>
      </c>
      <c r="N49" s="10" t="n">
        <v>0</v>
      </c>
      <c r="O49" s="10" t="n">
        <v>0</v>
      </c>
      <c r="P49" s="10" t="n">
        <v>0</v>
      </c>
      <c r="Q49" s="9" t="s">
        <v>533</v>
      </c>
    </row>
    <row r="50" customFormat="false" ht="15" hidden="false" customHeight="false" outlineLevel="0" collapsed="false">
      <c r="A50" s="9" t="s">
        <v>411</v>
      </c>
      <c r="B50" s="9" t="s">
        <v>412</v>
      </c>
      <c r="C50" s="9" t="s">
        <v>92</v>
      </c>
      <c r="D50" s="9" t="s">
        <v>316</v>
      </c>
      <c r="E50" s="9" t="s">
        <v>157</v>
      </c>
      <c r="F50" s="9" t="s">
        <v>305</v>
      </c>
      <c r="G50" s="9" t="s">
        <v>531</v>
      </c>
      <c r="H50" s="9" t="s">
        <v>532</v>
      </c>
      <c r="I50" s="10" t="n">
        <v>2</v>
      </c>
      <c r="J50" s="10" t="n">
        <v>2</v>
      </c>
      <c r="K50" s="10" t="n">
        <v>4</v>
      </c>
      <c r="L50" s="10" t="n">
        <v>4</v>
      </c>
      <c r="M50" s="10" t="n">
        <v>0</v>
      </c>
      <c r="N50" s="10" t="n">
        <v>0</v>
      </c>
      <c r="O50" s="10" t="n">
        <v>0</v>
      </c>
      <c r="P50" s="10" t="n">
        <v>0</v>
      </c>
      <c r="Q50" s="9" t="s">
        <v>533</v>
      </c>
    </row>
    <row r="51" customFormat="false" ht="15" hidden="false" customHeight="false" outlineLevel="0" collapsed="false">
      <c r="A51" s="9" t="s">
        <v>411</v>
      </c>
      <c r="B51" s="9" t="s">
        <v>412</v>
      </c>
      <c r="C51" s="9" t="s">
        <v>92</v>
      </c>
      <c r="D51" s="9" t="s">
        <v>317</v>
      </c>
      <c r="E51" s="9" t="s">
        <v>157</v>
      </c>
      <c r="F51" s="9" t="s">
        <v>309</v>
      </c>
      <c r="G51" s="9" t="s">
        <v>531</v>
      </c>
      <c r="H51" s="9" t="s">
        <v>532</v>
      </c>
      <c r="I51" s="10" t="n">
        <v>2</v>
      </c>
      <c r="J51" s="10" t="n">
        <v>2</v>
      </c>
      <c r="K51" s="10" t="n">
        <v>4</v>
      </c>
      <c r="L51" s="10" t="n">
        <v>4</v>
      </c>
      <c r="M51" s="10" t="n">
        <v>0</v>
      </c>
      <c r="N51" s="10" t="n">
        <v>0</v>
      </c>
      <c r="O51" s="10" t="n">
        <v>0</v>
      </c>
      <c r="P51" s="10" t="n">
        <v>0</v>
      </c>
      <c r="Q51" s="9" t="s">
        <v>533</v>
      </c>
    </row>
    <row r="52" customFormat="false" ht="15" hidden="false" customHeight="false" outlineLevel="0" collapsed="false">
      <c r="A52" s="9" t="s">
        <v>411</v>
      </c>
      <c r="B52" s="9" t="s">
        <v>412</v>
      </c>
      <c r="C52" s="9" t="s">
        <v>92</v>
      </c>
      <c r="D52" s="9" t="s">
        <v>318</v>
      </c>
      <c r="E52" s="9" t="s">
        <v>163</v>
      </c>
      <c r="F52" s="9" t="s">
        <v>301</v>
      </c>
      <c r="G52" s="9" t="s">
        <v>531</v>
      </c>
      <c r="H52" s="9" t="s">
        <v>532</v>
      </c>
      <c r="I52" s="10" t="n">
        <v>2</v>
      </c>
      <c r="J52" s="10" t="n">
        <v>2</v>
      </c>
      <c r="K52" s="10" t="n">
        <v>4</v>
      </c>
      <c r="L52" s="10" t="n">
        <v>4</v>
      </c>
      <c r="M52" s="10" t="n">
        <v>0</v>
      </c>
      <c r="N52" s="10" t="n">
        <v>0</v>
      </c>
      <c r="O52" s="10" t="n">
        <v>0</v>
      </c>
      <c r="P52" s="10" t="n">
        <v>0</v>
      </c>
      <c r="Q52" s="9" t="s">
        <v>533</v>
      </c>
    </row>
    <row r="53" customFormat="false" ht="15" hidden="false" customHeight="false" outlineLevel="0" collapsed="false">
      <c r="A53" s="9" t="s">
        <v>411</v>
      </c>
      <c r="B53" s="9" t="s">
        <v>412</v>
      </c>
      <c r="C53" s="9" t="s">
        <v>92</v>
      </c>
      <c r="D53" s="9" t="s">
        <v>319</v>
      </c>
      <c r="E53" s="9" t="s">
        <v>163</v>
      </c>
      <c r="F53" s="9" t="s">
        <v>305</v>
      </c>
      <c r="G53" s="9" t="s">
        <v>531</v>
      </c>
      <c r="H53" s="9" t="s">
        <v>532</v>
      </c>
      <c r="I53" s="10" t="n">
        <v>2</v>
      </c>
      <c r="J53" s="10" t="n">
        <v>2</v>
      </c>
      <c r="K53" s="10" t="n">
        <v>4</v>
      </c>
      <c r="L53" s="10" t="n">
        <v>4</v>
      </c>
      <c r="M53" s="10" t="n">
        <v>0</v>
      </c>
      <c r="N53" s="10" t="n">
        <v>0</v>
      </c>
      <c r="O53" s="10" t="n">
        <v>0</v>
      </c>
      <c r="P53" s="10" t="n">
        <v>0</v>
      </c>
      <c r="Q53" s="9" t="s">
        <v>533</v>
      </c>
    </row>
    <row r="54" customFormat="false" ht="15" hidden="false" customHeight="false" outlineLevel="0" collapsed="false">
      <c r="A54" s="9" t="s">
        <v>411</v>
      </c>
      <c r="B54" s="9" t="s">
        <v>412</v>
      </c>
      <c r="C54" s="9" t="s">
        <v>92</v>
      </c>
      <c r="D54" s="9" t="s">
        <v>320</v>
      </c>
      <c r="E54" s="9" t="s">
        <v>163</v>
      </c>
      <c r="F54" s="9" t="s">
        <v>309</v>
      </c>
      <c r="G54" s="9" t="s">
        <v>531</v>
      </c>
      <c r="H54" s="9" t="s">
        <v>532</v>
      </c>
      <c r="I54" s="10" t="n">
        <v>2</v>
      </c>
      <c r="J54" s="10" t="n">
        <v>2</v>
      </c>
      <c r="K54" s="10" t="n">
        <v>4</v>
      </c>
      <c r="L54" s="10" t="n">
        <v>4</v>
      </c>
      <c r="M54" s="10" t="n">
        <v>0</v>
      </c>
      <c r="N54" s="10" t="n">
        <v>0</v>
      </c>
      <c r="O54" s="10" t="n">
        <v>0</v>
      </c>
      <c r="P54" s="10" t="n">
        <v>0</v>
      </c>
      <c r="Q54" s="9" t="s">
        <v>533</v>
      </c>
    </row>
    <row r="55" customFormat="false" ht="15" hidden="false" customHeight="false" outlineLevel="0" collapsed="false">
      <c r="A55" s="9" t="s">
        <v>415</v>
      </c>
      <c r="B55" s="9" t="s">
        <v>416</v>
      </c>
      <c r="C55" s="9" t="s">
        <v>100</v>
      </c>
      <c r="D55" s="9" t="s">
        <v>321</v>
      </c>
      <c r="E55" s="9" t="s">
        <v>169</v>
      </c>
      <c r="F55" s="9" t="s">
        <v>301</v>
      </c>
      <c r="G55" s="9" t="s">
        <v>531</v>
      </c>
      <c r="H55" s="9" t="s">
        <v>532</v>
      </c>
      <c r="I55" s="10" t="n">
        <v>2</v>
      </c>
      <c r="J55" s="10" t="n">
        <v>2</v>
      </c>
      <c r="K55" s="10" t="n">
        <v>4</v>
      </c>
      <c r="L55" s="10" t="n">
        <v>4</v>
      </c>
      <c r="M55" s="10" t="n">
        <v>0</v>
      </c>
      <c r="N55" s="10" t="n">
        <v>0</v>
      </c>
      <c r="O55" s="10" t="n">
        <v>0</v>
      </c>
      <c r="P55" s="10" t="n">
        <v>0</v>
      </c>
      <c r="Q55" s="9" t="s">
        <v>533</v>
      </c>
    </row>
    <row r="56" customFormat="false" ht="15" hidden="false" customHeight="false" outlineLevel="0" collapsed="false">
      <c r="A56" s="9" t="s">
        <v>415</v>
      </c>
      <c r="B56" s="9" t="s">
        <v>416</v>
      </c>
      <c r="C56" s="9" t="s">
        <v>100</v>
      </c>
      <c r="D56" s="9" t="s">
        <v>322</v>
      </c>
      <c r="E56" s="9" t="s">
        <v>169</v>
      </c>
      <c r="F56" s="9" t="s">
        <v>305</v>
      </c>
      <c r="G56" s="9" t="s">
        <v>531</v>
      </c>
      <c r="H56" s="9" t="s">
        <v>532</v>
      </c>
      <c r="I56" s="10" t="n">
        <v>2</v>
      </c>
      <c r="J56" s="10" t="n">
        <v>2</v>
      </c>
      <c r="K56" s="10" t="n">
        <v>4</v>
      </c>
      <c r="L56" s="10" t="n">
        <v>4</v>
      </c>
      <c r="M56" s="10" t="n">
        <v>0</v>
      </c>
      <c r="N56" s="10" t="n">
        <v>0</v>
      </c>
      <c r="O56" s="10" t="n">
        <v>0</v>
      </c>
      <c r="P56" s="10" t="n">
        <v>0</v>
      </c>
      <c r="Q56" s="9" t="s">
        <v>533</v>
      </c>
    </row>
    <row r="57" customFormat="false" ht="15" hidden="false" customHeight="false" outlineLevel="0" collapsed="false">
      <c r="A57" s="9" t="s">
        <v>415</v>
      </c>
      <c r="B57" s="9" t="s">
        <v>416</v>
      </c>
      <c r="C57" s="9" t="s">
        <v>100</v>
      </c>
      <c r="D57" s="9" t="s">
        <v>323</v>
      </c>
      <c r="E57" s="9" t="s">
        <v>169</v>
      </c>
      <c r="F57" s="9" t="s">
        <v>309</v>
      </c>
      <c r="G57" s="9" t="s">
        <v>531</v>
      </c>
      <c r="H57" s="9" t="s">
        <v>532</v>
      </c>
      <c r="I57" s="10" t="n">
        <v>2</v>
      </c>
      <c r="J57" s="10" t="n">
        <v>2</v>
      </c>
      <c r="K57" s="10" t="n">
        <v>4</v>
      </c>
      <c r="L57" s="10" t="n">
        <v>4</v>
      </c>
      <c r="M57" s="10" t="n">
        <v>0</v>
      </c>
      <c r="N57" s="10" t="n">
        <v>0</v>
      </c>
      <c r="O57" s="10" t="n">
        <v>0</v>
      </c>
      <c r="P57" s="10" t="n">
        <v>0</v>
      </c>
      <c r="Q57" s="9" t="s">
        <v>533</v>
      </c>
    </row>
    <row r="58" customFormat="false" ht="15" hidden="false" customHeight="false" outlineLevel="0" collapsed="false">
      <c r="A58" s="9" t="s">
        <v>415</v>
      </c>
      <c r="B58" s="9" t="s">
        <v>416</v>
      </c>
      <c r="C58" s="9" t="s">
        <v>100</v>
      </c>
      <c r="D58" s="9" t="s">
        <v>324</v>
      </c>
      <c r="E58" s="9" t="s">
        <v>175</v>
      </c>
      <c r="F58" s="9" t="s">
        <v>301</v>
      </c>
      <c r="G58" s="9" t="s">
        <v>531</v>
      </c>
      <c r="H58" s="9" t="s">
        <v>532</v>
      </c>
      <c r="I58" s="10" t="n">
        <v>2</v>
      </c>
      <c r="J58" s="10" t="n">
        <v>2</v>
      </c>
      <c r="K58" s="10" t="n">
        <v>4</v>
      </c>
      <c r="L58" s="10" t="n">
        <v>4</v>
      </c>
      <c r="M58" s="10" t="n">
        <v>0</v>
      </c>
      <c r="N58" s="10" t="n">
        <v>0</v>
      </c>
      <c r="O58" s="10" t="n">
        <v>0</v>
      </c>
      <c r="P58" s="10" t="n">
        <v>0</v>
      </c>
      <c r="Q58" s="9" t="s">
        <v>533</v>
      </c>
    </row>
    <row r="59" customFormat="false" ht="15" hidden="false" customHeight="false" outlineLevel="0" collapsed="false">
      <c r="A59" s="9" t="s">
        <v>415</v>
      </c>
      <c r="B59" s="9" t="s">
        <v>416</v>
      </c>
      <c r="C59" s="9" t="s">
        <v>100</v>
      </c>
      <c r="D59" s="9" t="s">
        <v>325</v>
      </c>
      <c r="E59" s="9" t="s">
        <v>175</v>
      </c>
      <c r="F59" s="9" t="s">
        <v>305</v>
      </c>
      <c r="G59" s="9" t="s">
        <v>531</v>
      </c>
      <c r="H59" s="9" t="s">
        <v>532</v>
      </c>
      <c r="I59" s="10" t="n">
        <v>2</v>
      </c>
      <c r="J59" s="10" t="n">
        <v>2</v>
      </c>
      <c r="K59" s="10" t="n">
        <v>4</v>
      </c>
      <c r="L59" s="10" t="n">
        <v>4</v>
      </c>
      <c r="M59" s="10" t="n">
        <v>0</v>
      </c>
      <c r="N59" s="10" t="n">
        <v>0</v>
      </c>
      <c r="O59" s="10" t="n">
        <v>0</v>
      </c>
      <c r="P59" s="10" t="n">
        <v>0</v>
      </c>
      <c r="Q59" s="9" t="s">
        <v>533</v>
      </c>
    </row>
    <row r="60" customFormat="false" ht="15" hidden="false" customHeight="false" outlineLevel="0" collapsed="false">
      <c r="A60" s="9" t="s">
        <v>415</v>
      </c>
      <c r="B60" s="9" t="s">
        <v>416</v>
      </c>
      <c r="C60" s="9" t="s">
        <v>100</v>
      </c>
      <c r="D60" s="9" t="s">
        <v>326</v>
      </c>
      <c r="E60" s="9" t="s">
        <v>175</v>
      </c>
      <c r="F60" s="9" t="s">
        <v>309</v>
      </c>
      <c r="G60" s="9" t="s">
        <v>531</v>
      </c>
      <c r="H60" s="9" t="s">
        <v>532</v>
      </c>
      <c r="I60" s="10" t="n">
        <v>2</v>
      </c>
      <c r="J60" s="10" t="n">
        <v>2</v>
      </c>
      <c r="K60" s="10" t="n">
        <v>4</v>
      </c>
      <c r="L60" s="10" t="n">
        <v>4</v>
      </c>
      <c r="M60" s="10" t="n">
        <v>0</v>
      </c>
      <c r="N60" s="10" t="n">
        <v>0</v>
      </c>
      <c r="O60" s="10" t="n">
        <v>0</v>
      </c>
      <c r="P60" s="10" t="n">
        <v>0</v>
      </c>
      <c r="Q60" s="9" t="s">
        <v>533</v>
      </c>
    </row>
    <row r="61" customFormat="false" ht="15" hidden="false" customHeight="false" outlineLevel="0" collapsed="false">
      <c r="A61" s="9" t="s">
        <v>415</v>
      </c>
      <c r="B61" s="9" t="s">
        <v>416</v>
      </c>
      <c r="C61" s="9" t="s">
        <v>100</v>
      </c>
      <c r="D61" s="9" t="s">
        <v>327</v>
      </c>
      <c r="E61" s="9" t="s">
        <v>181</v>
      </c>
      <c r="F61" s="9" t="s">
        <v>301</v>
      </c>
      <c r="G61" s="9" t="s">
        <v>531</v>
      </c>
      <c r="H61" s="9" t="s">
        <v>532</v>
      </c>
      <c r="I61" s="10" t="n">
        <v>2</v>
      </c>
      <c r="J61" s="10" t="n">
        <v>2</v>
      </c>
      <c r="K61" s="10" t="n">
        <v>4</v>
      </c>
      <c r="L61" s="10" t="n">
        <v>4</v>
      </c>
      <c r="M61" s="10" t="n">
        <v>0</v>
      </c>
      <c r="N61" s="10" t="n">
        <v>0</v>
      </c>
      <c r="O61" s="10" t="n">
        <v>0</v>
      </c>
      <c r="P61" s="10" t="n">
        <v>0</v>
      </c>
      <c r="Q61" s="9" t="s">
        <v>533</v>
      </c>
    </row>
    <row r="62" customFormat="false" ht="15" hidden="false" customHeight="false" outlineLevel="0" collapsed="false">
      <c r="A62" s="9" t="s">
        <v>415</v>
      </c>
      <c r="B62" s="9" t="s">
        <v>416</v>
      </c>
      <c r="C62" s="9" t="s">
        <v>100</v>
      </c>
      <c r="D62" s="9" t="s">
        <v>328</v>
      </c>
      <c r="E62" s="9" t="s">
        <v>181</v>
      </c>
      <c r="F62" s="9" t="s">
        <v>305</v>
      </c>
      <c r="G62" s="9" t="s">
        <v>531</v>
      </c>
      <c r="H62" s="9" t="s">
        <v>532</v>
      </c>
      <c r="I62" s="10" t="n">
        <v>2</v>
      </c>
      <c r="J62" s="10" t="n">
        <v>2</v>
      </c>
      <c r="K62" s="10" t="n">
        <v>4</v>
      </c>
      <c r="L62" s="10" t="n">
        <v>4</v>
      </c>
      <c r="M62" s="10" t="n">
        <v>0</v>
      </c>
      <c r="N62" s="10" t="n">
        <v>0</v>
      </c>
      <c r="O62" s="10" t="n">
        <v>0</v>
      </c>
      <c r="P62" s="10" t="n">
        <v>0</v>
      </c>
      <c r="Q62" s="9" t="s">
        <v>533</v>
      </c>
    </row>
    <row r="63" customFormat="false" ht="15" hidden="false" customHeight="false" outlineLevel="0" collapsed="false">
      <c r="A63" s="9" t="s">
        <v>415</v>
      </c>
      <c r="B63" s="9" t="s">
        <v>416</v>
      </c>
      <c r="C63" s="9" t="s">
        <v>100</v>
      </c>
      <c r="D63" s="9" t="s">
        <v>329</v>
      </c>
      <c r="E63" s="9" t="s">
        <v>181</v>
      </c>
      <c r="F63" s="9" t="s">
        <v>309</v>
      </c>
      <c r="G63" s="9" t="s">
        <v>531</v>
      </c>
      <c r="H63" s="9" t="s">
        <v>532</v>
      </c>
      <c r="I63" s="10" t="n">
        <v>2</v>
      </c>
      <c r="J63" s="10" t="n">
        <v>2</v>
      </c>
      <c r="K63" s="10" t="n">
        <v>4</v>
      </c>
      <c r="L63" s="10" t="n">
        <v>4</v>
      </c>
      <c r="M63" s="10" t="n">
        <v>0</v>
      </c>
      <c r="N63" s="10" t="n">
        <v>0</v>
      </c>
      <c r="O63" s="10" t="n">
        <v>0</v>
      </c>
      <c r="P63" s="10" t="n">
        <v>0</v>
      </c>
      <c r="Q63" s="9" t="s">
        <v>533</v>
      </c>
    </row>
    <row r="64" customFormat="false" ht="15" hidden="false" customHeight="false" outlineLevel="0" collapsed="false">
      <c r="A64" s="9" t="s">
        <v>415</v>
      </c>
      <c r="B64" s="9" t="s">
        <v>416</v>
      </c>
      <c r="C64" s="9" t="s">
        <v>100</v>
      </c>
      <c r="D64" s="9" t="s">
        <v>330</v>
      </c>
      <c r="E64" s="9" t="s">
        <v>187</v>
      </c>
      <c r="F64" s="9" t="s">
        <v>301</v>
      </c>
      <c r="G64" s="9" t="s">
        <v>531</v>
      </c>
      <c r="H64" s="9" t="s">
        <v>532</v>
      </c>
      <c r="I64" s="10" t="n">
        <v>2</v>
      </c>
      <c r="J64" s="10" t="n">
        <v>2</v>
      </c>
      <c r="K64" s="10" t="n">
        <v>4</v>
      </c>
      <c r="L64" s="10" t="n">
        <v>4</v>
      </c>
      <c r="M64" s="10" t="n">
        <v>0</v>
      </c>
      <c r="N64" s="10" t="n">
        <v>0</v>
      </c>
      <c r="O64" s="10" t="n">
        <v>0</v>
      </c>
      <c r="P64" s="10" t="n">
        <v>0</v>
      </c>
      <c r="Q64" s="9" t="s">
        <v>533</v>
      </c>
    </row>
    <row r="65" customFormat="false" ht="15" hidden="false" customHeight="false" outlineLevel="0" collapsed="false">
      <c r="A65" s="9" t="s">
        <v>415</v>
      </c>
      <c r="B65" s="9" t="s">
        <v>416</v>
      </c>
      <c r="C65" s="9" t="s">
        <v>100</v>
      </c>
      <c r="D65" s="9" t="s">
        <v>331</v>
      </c>
      <c r="E65" s="9" t="s">
        <v>187</v>
      </c>
      <c r="F65" s="9" t="s">
        <v>305</v>
      </c>
      <c r="G65" s="9" t="s">
        <v>531</v>
      </c>
      <c r="H65" s="9" t="s">
        <v>532</v>
      </c>
      <c r="I65" s="10" t="n">
        <v>2</v>
      </c>
      <c r="J65" s="10" t="n">
        <v>2</v>
      </c>
      <c r="K65" s="10" t="n">
        <v>4</v>
      </c>
      <c r="L65" s="10" t="n">
        <v>4</v>
      </c>
      <c r="M65" s="10" t="n">
        <v>0</v>
      </c>
      <c r="N65" s="10" t="n">
        <v>0</v>
      </c>
      <c r="O65" s="10" t="n">
        <v>0</v>
      </c>
      <c r="P65" s="10" t="n">
        <v>0</v>
      </c>
      <c r="Q65" s="9" t="s">
        <v>533</v>
      </c>
    </row>
    <row r="66" customFormat="false" ht="15" hidden="false" customHeight="false" outlineLevel="0" collapsed="false">
      <c r="A66" s="9" t="s">
        <v>415</v>
      </c>
      <c r="B66" s="9" t="s">
        <v>416</v>
      </c>
      <c r="C66" s="9" t="s">
        <v>100</v>
      </c>
      <c r="D66" s="9" t="s">
        <v>332</v>
      </c>
      <c r="E66" s="9" t="s">
        <v>187</v>
      </c>
      <c r="F66" s="9" t="s">
        <v>309</v>
      </c>
      <c r="G66" s="9" t="s">
        <v>531</v>
      </c>
      <c r="H66" s="9" t="s">
        <v>532</v>
      </c>
      <c r="I66" s="10" t="n">
        <v>2</v>
      </c>
      <c r="J66" s="10" t="n">
        <v>2</v>
      </c>
      <c r="K66" s="10" t="n">
        <v>4</v>
      </c>
      <c r="L66" s="10" t="n">
        <v>4</v>
      </c>
      <c r="M66" s="10" t="n">
        <v>0</v>
      </c>
      <c r="N66" s="10" t="n">
        <v>0</v>
      </c>
      <c r="O66" s="10" t="n">
        <v>0</v>
      </c>
      <c r="P66" s="10" t="n">
        <v>0</v>
      </c>
      <c r="Q66" s="9" t="s">
        <v>533</v>
      </c>
    </row>
    <row r="67" customFormat="false" ht="15" hidden="false" customHeight="false" outlineLevel="0" collapsed="false">
      <c r="A67" s="9" t="s">
        <v>419</v>
      </c>
      <c r="B67" s="9" t="s">
        <v>420</v>
      </c>
      <c r="C67" s="9" t="s">
        <v>100</v>
      </c>
      <c r="D67" s="9" t="s">
        <v>321</v>
      </c>
      <c r="E67" s="9" t="s">
        <v>169</v>
      </c>
      <c r="F67" s="9" t="s">
        <v>301</v>
      </c>
      <c r="G67" s="9" t="s">
        <v>531</v>
      </c>
      <c r="H67" s="9" t="s">
        <v>532</v>
      </c>
      <c r="I67" s="10" t="n">
        <v>2</v>
      </c>
      <c r="J67" s="10" t="n">
        <v>2</v>
      </c>
      <c r="K67" s="10" t="n">
        <v>4</v>
      </c>
      <c r="L67" s="10" t="n">
        <v>4</v>
      </c>
      <c r="M67" s="10" t="n">
        <v>0</v>
      </c>
      <c r="N67" s="10" t="n">
        <v>0</v>
      </c>
      <c r="O67" s="10" t="n">
        <v>0</v>
      </c>
      <c r="P67" s="10" t="n">
        <v>0</v>
      </c>
      <c r="Q67" s="9" t="s">
        <v>533</v>
      </c>
    </row>
    <row r="68" customFormat="false" ht="15" hidden="false" customHeight="false" outlineLevel="0" collapsed="false">
      <c r="A68" s="9" t="s">
        <v>419</v>
      </c>
      <c r="B68" s="9" t="s">
        <v>420</v>
      </c>
      <c r="C68" s="9" t="s">
        <v>100</v>
      </c>
      <c r="D68" s="9" t="s">
        <v>322</v>
      </c>
      <c r="E68" s="9" t="s">
        <v>169</v>
      </c>
      <c r="F68" s="9" t="s">
        <v>305</v>
      </c>
      <c r="G68" s="9" t="s">
        <v>531</v>
      </c>
      <c r="H68" s="9" t="s">
        <v>532</v>
      </c>
      <c r="I68" s="10" t="n">
        <v>2</v>
      </c>
      <c r="J68" s="10" t="n">
        <v>2</v>
      </c>
      <c r="K68" s="10" t="n">
        <v>4</v>
      </c>
      <c r="L68" s="10" t="n">
        <v>4</v>
      </c>
      <c r="M68" s="10" t="n">
        <v>0</v>
      </c>
      <c r="N68" s="10" t="n">
        <v>0</v>
      </c>
      <c r="O68" s="10" t="n">
        <v>0</v>
      </c>
      <c r="P68" s="10" t="n">
        <v>0</v>
      </c>
      <c r="Q68" s="9" t="s">
        <v>533</v>
      </c>
    </row>
    <row r="69" customFormat="false" ht="15" hidden="false" customHeight="false" outlineLevel="0" collapsed="false">
      <c r="A69" s="9" t="s">
        <v>419</v>
      </c>
      <c r="B69" s="9" t="s">
        <v>420</v>
      </c>
      <c r="C69" s="9" t="s">
        <v>100</v>
      </c>
      <c r="D69" s="9" t="s">
        <v>323</v>
      </c>
      <c r="E69" s="9" t="s">
        <v>169</v>
      </c>
      <c r="F69" s="9" t="s">
        <v>309</v>
      </c>
      <c r="G69" s="9" t="s">
        <v>531</v>
      </c>
      <c r="H69" s="9" t="s">
        <v>532</v>
      </c>
      <c r="I69" s="10" t="n">
        <v>2</v>
      </c>
      <c r="J69" s="10" t="n">
        <v>2</v>
      </c>
      <c r="K69" s="10" t="n">
        <v>4</v>
      </c>
      <c r="L69" s="10" t="n">
        <v>4</v>
      </c>
      <c r="M69" s="10" t="n">
        <v>0</v>
      </c>
      <c r="N69" s="10" t="n">
        <v>0</v>
      </c>
      <c r="O69" s="10" t="n">
        <v>0</v>
      </c>
      <c r="P69" s="10" t="n">
        <v>0</v>
      </c>
      <c r="Q69" s="9" t="s">
        <v>533</v>
      </c>
    </row>
    <row r="70" customFormat="false" ht="15" hidden="false" customHeight="false" outlineLevel="0" collapsed="false">
      <c r="A70" s="9" t="s">
        <v>419</v>
      </c>
      <c r="B70" s="9" t="s">
        <v>420</v>
      </c>
      <c r="C70" s="9" t="s">
        <v>100</v>
      </c>
      <c r="D70" s="9" t="s">
        <v>324</v>
      </c>
      <c r="E70" s="9" t="s">
        <v>175</v>
      </c>
      <c r="F70" s="9" t="s">
        <v>301</v>
      </c>
      <c r="G70" s="9" t="s">
        <v>531</v>
      </c>
      <c r="H70" s="9" t="s">
        <v>532</v>
      </c>
      <c r="I70" s="10" t="n">
        <v>2</v>
      </c>
      <c r="J70" s="10" t="n">
        <v>2</v>
      </c>
      <c r="K70" s="10" t="n">
        <v>4</v>
      </c>
      <c r="L70" s="10" t="n">
        <v>4</v>
      </c>
      <c r="M70" s="10" t="n">
        <v>0</v>
      </c>
      <c r="N70" s="10" t="n">
        <v>0</v>
      </c>
      <c r="O70" s="10" t="n">
        <v>0</v>
      </c>
      <c r="P70" s="10" t="n">
        <v>0</v>
      </c>
      <c r="Q70" s="9" t="s">
        <v>533</v>
      </c>
    </row>
    <row r="71" customFormat="false" ht="15" hidden="false" customHeight="false" outlineLevel="0" collapsed="false">
      <c r="A71" s="9" t="s">
        <v>419</v>
      </c>
      <c r="B71" s="9" t="s">
        <v>420</v>
      </c>
      <c r="C71" s="9" t="s">
        <v>100</v>
      </c>
      <c r="D71" s="9" t="s">
        <v>325</v>
      </c>
      <c r="E71" s="9" t="s">
        <v>175</v>
      </c>
      <c r="F71" s="9" t="s">
        <v>305</v>
      </c>
      <c r="G71" s="9" t="s">
        <v>531</v>
      </c>
      <c r="H71" s="9" t="s">
        <v>532</v>
      </c>
      <c r="I71" s="10" t="n">
        <v>2</v>
      </c>
      <c r="J71" s="10" t="n">
        <v>2</v>
      </c>
      <c r="K71" s="10" t="n">
        <v>4</v>
      </c>
      <c r="L71" s="10" t="n">
        <v>4</v>
      </c>
      <c r="M71" s="10" t="n">
        <v>0</v>
      </c>
      <c r="N71" s="10" t="n">
        <v>0</v>
      </c>
      <c r="O71" s="10" t="n">
        <v>0</v>
      </c>
      <c r="P71" s="10" t="n">
        <v>0</v>
      </c>
      <c r="Q71" s="9" t="s">
        <v>533</v>
      </c>
    </row>
    <row r="72" customFormat="false" ht="15" hidden="false" customHeight="false" outlineLevel="0" collapsed="false">
      <c r="A72" s="9" t="s">
        <v>419</v>
      </c>
      <c r="B72" s="9" t="s">
        <v>420</v>
      </c>
      <c r="C72" s="9" t="s">
        <v>100</v>
      </c>
      <c r="D72" s="9" t="s">
        <v>326</v>
      </c>
      <c r="E72" s="9" t="s">
        <v>175</v>
      </c>
      <c r="F72" s="9" t="s">
        <v>309</v>
      </c>
      <c r="G72" s="9" t="s">
        <v>531</v>
      </c>
      <c r="H72" s="9" t="s">
        <v>532</v>
      </c>
      <c r="I72" s="10" t="n">
        <v>2</v>
      </c>
      <c r="J72" s="10" t="n">
        <v>2</v>
      </c>
      <c r="K72" s="10" t="n">
        <v>4</v>
      </c>
      <c r="L72" s="10" t="n">
        <v>4</v>
      </c>
      <c r="M72" s="10" t="n">
        <v>0</v>
      </c>
      <c r="N72" s="10" t="n">
        <v>0</v>
      </c>
      <c r="O72" s="10" t="n">
        <v>0</v>
      </c>
      <c r="P72" s="10" t="n">
        <v>0</v>
      </c>
      <c r="Q72" s="9" t="s">
        <v>533</v>
      </c>
    </row>
    <row r="73" customFormat="false" ht="15" hidden="false" customHeight="false" outlineLevel="0" collapsed="false">
      <c r="A73" s="9" t="s">
        <v>419</v>
      </c>
      <c r="B73" s="9" t="s">
        <v>420</v>
      </c>
      <c r="C73" s="9" t="s">
        <v>100</v>
      </c>
      <c r="D73" s="9" t="s">
        <v>327</v>
      </c>
      <c r="E73" s="9" t="s">
        <v>181</v>
      </c>
      <c r="F73" s="9" t="s">
        <v>301</v>
      </c>
      <c r="G73" s="9" t="s">
        <v>531</v>
      </c>
      <c r="H73" s="9" t="s">
        <v>532</v>
      </c>
      <c r="I73" s="10" t="n">
        <v>2</v>
      </c>
      <c r="J73" s="10" t="n">
        <v>2</v>
      </c>
      <c r="K73" s="10" t="n">
        <v>4</v>
      </c>
      <c r="L73" s="10" t="n">
        <v>4</v>
      </c>
      <c r="M73" s="10" t="n">
        <v>0</v>
      </c>
      <c r="N73" s="10" t="n">
        <v>0</v>
      </c>
      <c r="O73" s="10" t="n">
        <v>0</v>
      </c>
      <c r="P73" s="10" t="n">
        <v>0</v>
      </c>
      <c r="Q73" s="9" t="s">
        <v>533</v>
      </c>
    </row>
    <row r="74" customFormat="false" ht="15" hidden="false" customHeight="false" outlineLevel="0" collapsed="false">
      <c r="A74" s="9" t="s">
        <v>419</v>
      </c>
      <c r="B74" s="9" t="s">
        <v>420</v>
      </c>
      <c r="C74" s="9" t="s">
        <v>100</v>
      </c>
      <c r="D74" s="9" t="s">
        <v>328</v>
      </c>
      <c r="E74" s="9" t="s">
        <v>181</v>
      </c>
      <c r="F74" s="9" t="s">
        <v>305</v>
      </c>
      <c r="G74" s="9" t="s">
        <v>531</v>
      </c>
      <c r="H74" s="9" t="s">
        <v>532</v>
      </c>
      <c r="I74" s="10" t="n">
        <v>2</v>
      </c>
      <c r="J74" s="10" t="n">
        <v>2</v>
      </c>
      <c r="K74" s="10" t="n">
        <v>4</v>
      </c>
      <c r="L74" s="10" t="n">
        <v>4</v>
      </c>
      <c r="M74" s="10" t="n">
        <v>0</v>
      </c>
      <c r="N74" s="10" t="n">
        <v>0</v>
      </c>
      <c r="O74" s="10" t="n">
        <v>0</v>
      </c>
      <c r="P74" s="10" t="n">
        <v>0</v>
      </c>
      <c r="Q74" s="9" t="s">
        <v>533</v>
      </c>
    </row>
    <row r="75" customFormat="false" ht="15" hidden="false" customHeight="false" outlineLevel="0" collapsed="false">
      <c r="A75" s="9" t="s">
        <v>419</v>
      </c>
      <c r="B75" s="9" t="s">
        <v>420</v>
      </c>
      <c r="C75" s="9" t="s">
        <v>100</v>
      </c>
      <c r="D75" s="9" t="s">
        <v>329</v>
      </c>
      <c r="E75" s="9" t="s">
        <v>181</v>
      </c>
      <c r="F75" s="9" t="s">
        <v>309</v>
      </c>
      <c r="G75" s="9" t="s">
        <v>531</v>
      </c>
      <c r="H75" s="9" t="s">
        <v>532</v>
      </c>
      <c r="I75" s="10" t="n">
        <v>2</v>
      </c>
      <c r="J75" s="10" t="n">
        <v>2</v>
      </c>
      <c r="K75" s="10" t="n">
        <v>4</v>
      </c>
      <c r="L75" s="10" t="n">
        <v>4</v>
      </c>
      <c r="M75" s="10" t="n">
        <v>0</v>
      </c>
      <c r="N75" s="10" t="n">
        <v>0</v>
      </c>
      <c r="O75" s="10" t="n">
        <v>0</v>
      </c>
      <c r="P75" s="10" t="n">
        <v>0</v>
      </c>
      <c r="Q75" s="9" t="s">
        <v>533</v>
      </c>
    </row>
    <row r="76" customFormat="false" ht="15" hidden="false" customHeight="false" outlineLevel="0" collapsed="false">
      <c r="A76" s="9" t="s">
        <v>419</v>
      </c>
      <c r="B76" s="9" t="s">
        <v>420</v>
      </c>
      <c r="C76" s="9" t="s">
        <v>100</v>
      </c>
      <c r="D76" s="9" t="s">
        <v>330</v>
      </c>
      <c r="E76" s="9" t="s">
        <v>187</v>
      </c>
      <c r="F76" s="9" t="s">
        <v>301</v>
      </c>
      <c r="G76" s="9" t="s">
        <v>531</v>
      </c>
      <c r="H76" s="9" t="s">
        <v>532</v>
      </c>
      <c r="I76" s="10" t="n">
        <v>2</v>
      </c>
      <c r="J76" s="10" t="n">
        <v>2</v>
      </c>
      <c r="K76" s="10" t="n">
        <v>4</v>
      </c>
      <c r="L76" s="10" t="n">
        <v>4</v>
      </c>
      <c r="M76" s="10" t="n">
        <v>0</v>
      </c>
      <c r="N76" s="10" t="n">
        <v>0</v>
      </c>
      <c r="O76" s="10" t="n">
        <v>0</v>
      </c>
      <c r="P76" s="10" t="n">
        <v>0</v>
      </c>
      <c r="Q76" s="9" t="s">
        <v>533</v>
      </c>
    </row>
    <row r="77" customFormat="false" ht="15" hidden="false" customHeight="false" outlineLevel="0" collapsed="false">
      <c r="A77" s="9" t="s">
        <v>419</v>
      </c>
      <c r="B77" s="9" t="s">
        <v>420</v>
      </c>
      <c r="C77" s="9" t="s">
        <v>100</v>
      </c>
      <c r="D77" s="9" t="s">
        <v>331</v>
      </c>
      <c r="E77" s="9" t="s">
        <v>187</v>
      </c>
      <c r="F77" s="9" t="s">
        <v>305</v>
      </c>
      <c r="G77" s="9" t="s">
        <v>531</v>
      </c>
      <c r="H77" s="9" t="s">
        <v>532</v>
      </c>
      <c r="I77" s="10" t="n">
        <v>2</v>
      </c>
      <c r="J77" s="10" t="n">
        <v>2</v>
      </c>
      <c r="K77" s="10" t="n">
        <v>4</v>
      </c>
      <c r="L77" s="10" t="n">
        <v>4</v>
      </c>
      <c r="M77" s="10" t="n">
        <v>0</v>
      </c>
      <c r="N77" s="10" t="n">
        <v>0</v>
      </c>
      <c r="O77" s="10" t="n">
        <v>0</v>
      </c>
      <c r="P77" s="10" t="n">
        <v>0</v>
      </c>
      <c r="Q77" s="9" t="s">
        <v>533</v>
      </c>
    </row>
    <row r="78" customFormat="false" ht="15" hidden="false" customHeight="false" outlineLevel="0" collapsed="false">
      <c r="A78" s="9" t="s">
        <v>419</v>
      </c>
      <c r="B78" s="9" t="s">
        <v>420</v>
      </c>
      <c r="C78" s="9" t="s">
        <v>100</v>
      </c>
      <c r="D78" s="9" t="s">
        <v>332</v>
      </c>
      <c r="E78" s="9" t="s">
        <v>187</v>
      </c>
      <c r="F78" s="9" t="s">
        <v>309</v>
      </c>
      <c r="G78" s="9" t="s">
        <v>531</v>
      </c>
      <c r="H78" s="9" t="s">
        <v>532</v>
      </c>
      <c r="I78" s="10" t="n">
        <v>2</v>
      </c>
      <c r="J78" s="10" t="n">
        <v>2</v>
      </c>
      <c r="K78" s="10" t="n">
        <v>4</v>
      </c>
      <c r="L78" s="10" t="n">
        <v>4</v>
      </c>
      <c r="M78" s="10" t="n">
        <v>0</v>
      </c>
      <c r="N78" s="10" t="n">
        <v>0</v>
      </c>
      <c r="O78" s="10" t="n">
        <v>0</v>
      </c>
      <c r="P78" s="10" t="n">
        <v>0</v>
      </c>
      <c r="Q78" s="9" t="s">
        <v>533</v>
      </c>
    </row>
    <row r="79" customFormat="false" ht="15" hidden="false" customHeight="false" outlineLevel="0" collapsed="false">
      <c r="A79" s="9" t="s">
        <v>423</v>
      </c>
      <c r="B79" s="9" t="s">
        <v>424</v>
      </c>
      <c r="C79" s="9" t="s">
        <v>100</v>
      </c>
      <c r="D79" s="9" t="s">
        <v>321</v>
      </c>
      <c r="E79" s="9" t="s">
        <v>169</v>
      </c>
      <c r="F79" s="9" t="s">
        <v>301</v>
      </c>
      <c r="G79" s="9" t="s">
        <v>531</v>
      </c>
      <c r="H79" s="9" t="s">
        <v>532</v>
      </c>
      <c r="I79" s="10" t="n">
        <v>2</v>
      </c>
      <c r="J79" s="10" t="n">
        <v>2</v>
      </c>
      <c r="K79" s="10" t="n">
        <v>4</v>
      </c>
      <c r="L79" s="10" t="n">
        <v>4</v>
      </c>
      <c r="M79" s="10" t="n">
        <v>0</v>
      </c>
      <c r="N79" s="10" t="n">
        <v>0</v>
      </c>
      <c r="O79" s="10" t="n">
        <v>0</v>
      </c>
      <c r="P79" s="10" t="n">
        <v>0</v>
      </c>
      <c r="Q79" s="9" t="s">
        <v>533</v>
      </c>
    </row>
    <row r="80" customFormat="false" ht="15" hidden="false" customHeight="false" outlineLevel="0" collapsed="false">
      <c r="A80" s="9" t="s">
        <v>423</v>
      </c>
      <c r="B80" s="9" t="s">
        <v>424</v>
      </c>
      <c r="C80" s="9" t="s">
        <v>100</v>
      </c>
      <c r="D80" s="9" t="s">
        <v>322</v>
      </c>
      <c r="E80" s="9" t="s">
        <v>169</v>
      </c>
      <c r="F80" s="9" t="s">
        <v>305</v>
      </c>
      <c r="G80" s="9" t="s">
        <v>531</v>
      </c>
      <c r="H80" s="9" t="s">
        <v>532</v>
      </c>
      <c r="I80" s="10" t="n">
        <v>2</v>
      </c>
      <c r="J80" s="10" t="n">
        <v>2</v>
      </c>
      <c r="K80" s="10" t="n">
        <v>4</v>
      </c>
      <c r="L80" s="10" t="n">
        <v>4</v>
      </c>
      <c r="M80" s="10" t="n">
        <v>0</v>
      </c>
      <c r="N80" s="10" t="n">
        <v>0</v>
      </c>
      <c r="O80" s="10" t="n">
        <v>0</v>
      </c>
      <c r="P80" s="10" t="n">
        <v>0</v>
      </c>
      <c r="Q80" s="9" t="s">
        <v>533</v>
      </c>
    </row>
    <row r="81" customFormat="false" ht="15" hidden="false" customHeight="false" outlineLevel="0" collapsed="false">
      <c r="A81" s="9" t="s">
        <v>423</v>
      </c>
      <c r="B81" s="9" t="s">
        <v>424</v>
      </c>
      <c r="C81" s="9" t="s">
        <v>100</v>
      </c>
      <c r="D81" s="9" t="s">
        <v>323</v>
      </c>
      <c r="E81" s="9" t="s">
        <v>169</v>
      </c>
      <c r="F81" s="9" t="s">
        <v>309</v>
      </c>
      <c r="G81" s="9" t="s">
        <v>531</v>
      </c>
      <c r="H81" s="9" t="s">
        <v>532</v>
      </c>
      <c r="I81" s="10" t="n">
        <v>2</v>
      </c>
      <c r="J81" s="10" t="n">
        <v>2</v>
      </c>
      <c r="K81" s="10" t="n">
        <v>4</v>
      </c>
      <c r="L81" s="10" t="n">
        <v>4</v>
      </c>
      <c r="M81" s="10" t="n">
        <v>0</v>
      </c>
      <c r="N81" s="10" t="n">
        <v>0</v>
      </c>
      <c r="O81" s="10" t="n">
        <v>0</v>
      </c>
      <c r="P81" s="10" t="n">
        <v>0</v>
      </c>
      <c r="Q81" s="9" t="s">
        <v>533</v>
      </c>
    </row>
    <row r="82" customFormat="false" ht="15" hidden="false" customHeight="false" outlineLevel="0" collapsed="false">
      <c r="A82" s="9" t="s">
        <v>423</v>
      </c>
      <c r="B82" s="9" t="s">
        <v>424</v>
      </c>
      <c r="C82" s="9" t="s">
        <v>100</v>
      </c>
      <c r="D82" s="9" t="s">
        <v>324</v>
      </c>
      <c r="E82" s="9" t="s">
        <v>175</v>
      </c>
      <c r="F82" s="9" t="s">
        <v>301</v>
      </c>
      <c r="G82" s="9" t="s">
        <v>531</v>
      </c>
      <c r="H82" s="9" t="s">
        <v>532</v>
      </c>
      <c r="I82" s="10" t="n">
        <v>2</v>
      </c>
      <c r="J82" s="10" t="n">
        <v>2</v>
      </c>
      <c r="K82" s="10" t="n">
        <v>4</v>
      </c>
      <c r="L82" s="10" t="n">
        <v>4</v>
      </c>
      <c r="M82" s="10" t="n">
        <v>0</v>
      </c>
      <c r="N82" s="10" t="n">
        <v>0</v>
      </c>
      <c r="O82" s="10" t="n">
        <v>0</v>
      </c>
      <c r="P82" s="10" t="n">
        <v>0</v>
      </c>
      <c r="Q82" s="9" t="s">
        <v>533</v>
      </c>
    </row>
    <row r="83" customFormat="false" ht="15" hidden="false" customHeight="false" outlineLevel="0" collapsed="false">
      <c r="A83" s="9" t="s">
        <v>423</v>
      </c>
      <c r="B83" s="9" t="s">
        <v>424</v>
      </c>
      <c r="C83" s="9" t="s">
        <v>100</v>
      </c>
      <c r="D83" s="9" t="s">
        <v>325</v>
      </c>
      <c r="E83" s="9" t="s">
        <v>175</v>
      </c>
      <c r="F83" s="9" t="s">
        <v>305</v>
      </c>
      <c r="G83" s="9" t="s">
        <v>531</v>
      </c>
      <c r="H83" s="9" t="s">
        <v>532</v>
      </c>
      <c r="I83" s="10" t="n">
        <v>2</v>
      </c>
      <c r="J83" s="10" t="n">
        <v>2</v>
      </c>
      <c r="K83" s="10" t="n">
        <v>4</v>
      </c>
      <c r="L83" s="10" t="n">
        <v>4</v>
      </c>
      <c r="M83" s="10" t="n">
        <v>0</v>
      </c>
      <c r="N83" s="10" t="n">
        <v>0</v>
      </c>
      <c r="O83" s="10" t="n">
        <v>0</v>
      </c>
      <c r="P83" s="10" t="n">
        <v>0</v>
      </c>
      <c r="Q83" s="9" t="s">
        <v>533</v>
      </c>
    </row>
    <row r="84" customFormat="false" ht="15" hidden="false" customHeight="false" outlineLevel="0" collapsed="false">
      <c r="A84" s="9" t="s">
        <v>423</v>
      </c>
      <c r="B84" s="9" t="s">
        <v>424</v>
      </c>
      <c r="C84" s="9" t="s">
        <v>100</v>
      </c>
      <c r="D84" s="9" t="s">
        <v>326</v>
      </c>
      <c r="E84" s="9" t="s">
        <v>175</v>
      </c>
      <c r="F84" s="9" t="s">
        <v>309</v>
      </c>
      <c r="G84" s="9" t="s">
        <v>531</v>
      </c>
      <c r="H84" s="9" t="s">
        <v>532</v>
      </c>
      <c r="I84" s="10" t="n">
        <v>2</v>
      </c>
      <c r="J84" s="10" t="n">
        <v>2</v>
      </c>
      <c r="K84" s="10" t="n">
        <v>4</v>
      </c>
      <c r="L84" s="10" t="n">
        <v>4</v>
      </c>
      <c r="M84" s="10" t="n">
        <v>0</v>
      </c>
      <c r="N84" s="10" t="n">
        <v>0</v>
      </c>
      <c r="O84" s="10" t="n">
        <v>0</v>
      </c>
      <c r="P84" s="10" t="n">
        <v>0</v>
      </c>
      <c r="Q84" s="9" t="s">
        <v>533</v>
      </c>
    </row>
    <row r="85" customFormat="false" ht="15" hidden="false" customHeight="false" outlineLevel="0" collapsed="false">
      <c r="A85" s="9" t="s">
        <v>423</v>
      </c>
      <c r="B85" s="9" t="s">
        <v>424</v>
      </c>
      <c r="C85" s="9" t="s">
        <v>100</v>
      </c>
      <c r="D85" s="9" t="s">
        <v>327</v>
      </c>
      <c r="E85" s="9" t="s">
        <v>181</v>
      </c>
      <c r="F85" s="9" t="s">
        <v>301</v>
      </c>
      <c r="G85" s="9" t="s">
        <v>531</v>
      </c>
      <c r="H85" s="9" t="s">
        <v>532</v>
      </c>
      <c r="I85" s="10" t="n">
        <v>2</v>
      </c>
      <c r="J85" s="10" t="n">
        <v>2</v>
      </c>
      <c r="K85" s="10" t="n">
        <v>4</v>
      </c>
      <c r="L85" s="10" t="n">
        <v>4</v>
      </c>
      <c r="M85" s="10" t="n">
        <v>0</v>
      </c>
      <c r="N85" s="10" t="n">
        <v>0</v>
      </c>
      <c r="O85" s="10" t="n">
        <v>0</v>
      </c>
      <c r="P85" s="10" t="n">
        <v>0</v>
      </c>
      <c r="Q85" s="9" t="s">
        <v>533</v>
      </c>
    </row>
    <row r="86" customFormat="false" ht="15" hidden="false" customHeight="false" outlineLevel="0" collapsed="false">
      <c r="A86" s="9" t="s">
        <v>423</v>
      </c>
      <c r="B86" s="9" t="s">
        <v>424</v>
      </c>
      <c r="C86" s="9" t="s">
        <v>100</v>
      </c>
      <c r="D86" s="9" t="s">
        <v>328</v>
      </c>
      <c r="E86" s="9" t="s">
        <v>181</v>
      </c>
      <c r="F86" s="9" t="s">
        <v>305</v>
      </c>
      <c r="G86" s="9" t="s">
        <v>531</v>
      </c>
      <c r="H86" s="9" t="s">
        <v>532</v>
      </c>
      <c r="I86" s="10" t="n">
        <v>2</v>
      </c>
      <c r="J86" s="10" t="n">
        <v>2</v>
      </c>
      <c r="K86" s="10" t="n">
        <v>4</v>
      </c>
      <c r="L86" s="10" t="n">
        <v>4</v>
      </c>
      <c r="M86" s="10" t="n">
        <v>0</v>
      </c>
      <c r="N86" s="10" t="n">
        <v>0</v>
      </c>
      <c r="O86" s="10" t="n">
        <v>0</v>
      </c>
      <c r="P86" s="10" t="n">
        <v>0</v>
      </c>
      <c r="Q86" s="9" t="s">
        <v>533</v>
      </c>
    </row>
    <row r="87" customFormat="false" ht="15" hidden="false" customHeight="false" outlineLevel="0" collapsed="false">
      <c r="A87" s="9" t="s">
        <v>423</v>
      </c>
      <c r="B87" s="9" t="s">
        <v>424</v>
      </c>
      <c r="C87" s="9" t="s">
        <v>100</v>
      </c>
      <c r="D87" s="9" t="s">
        <v>329</v>
      </c>
      <c r="E87" s="9" t="s">
        <v>181</v>
      </c>
      <c r="F87" s="9" t="s">
        <v>309</v>
      </c>
      <c r="G87" s="9" t="s">
        <v>531</v>
      </c>
      <c r="H87" s="9" t="s">
        <v>532</v>
      </c>
      <c r="I87" s="10" t="n">
        <v>2</v>
      </c>
      <c r="J87" s="10" t="n">
        <v>2</v>
      </c>
      <c r="K87" s="10" t="n">
        <v>4</v>
      </c>
      <c r="L87" s="10" t="n">
        <v>4</v>
      </c>
      <c r="M87" s="10" t="n">
        <v>0</v>
      </c>
      <c r="N87" s="10" t="n">
        <v>0</v>
      </c>
      <c r="O87" s="10" t="n">
        <v>0</v>
      </c>
      <c r="P87" s="10" t="n">
        <v>0</v>
      </c>
      <c r="Q87" s="9" t="s">
        <v>533</v>
      </c>
    </row>
    <row r="88" customFormat="false" ht="15" hidden="false" customHeight="false" outlineLevel="0" collapsed="false">
      <c r="A88" s="9" t="s">
        <v>423</v>
      </c>
      <c r="B88" s="9" t="s">
        <v>424</v>
      </c>
      <c r="C88" s="9" t="s">
        <v>100</v>
      </c>
      <c r="D88" s="9" t="s">
        <v>330</v>
      </c>
      <c r="E88" s="9" t="s">
        <v>187</v>
      </c>
      <c r="F88" s="9" t="s">
        <v>301</v>
      </c>
      <c r="G88" s="9" t="s">
        <v>531</v>
      </c>
      <c r="H88" s="9" t="s">
        <v>532</v>
      </c>
      <c r="I88" s="10" t="n">
        <v>2</v>
      </c>
      <c r="J88" s="10" t="n">
        <v>2</v>
      </c>
      <c r="K88" s="10" t="n">
        <v>4</v>
      </c>
      <c r="L88" s="10" t="n">
        <v>4</v>
      </c>
      <c r="M88" s="10" t="n">
        <v>0</v>
      </c>
      <c r="N88" s="10" t="n">
        <v>0</v>
      </c>
      <c r="O88" s="10" t="n">
        <v>0</v>
      </c>
      <c r="P88" s="10" t="n">
        <v>0</v>
      </c>
      <c r="Q88" s="9" t="s">
        <v>533</v>
      </c>
    </row>
    <row r="89" customFormat="false" ht="15" hidden="false" customHeight="false" outlineLevel="0" collapsed="false">
      <c r="A89" s="9" t="s">
        <v>423</v>
      </c>
      <c r="B89" s="9" t="s">
        <v>424</v>
      </c>
      <c r="C89" s="9" t="s">
        <v>100</v>
      </c>
      <c r="D89" s="9" t="s">
        <v>331</v>
      </c>
      <c r="E89" s="9" t="s">
        <v>187</v>
      </c>
      <c r="F89" s="9" t="s">
        <v>305</v>
      </c>
      <c r="G89" s="9" t="s">
        <v>531</v>
      </c>
      <c r="H89" s="9" t="s">
        <v>532</v>
      </c>
      <c r="I89" s="10" t="n">
        <v>2</v>
      </c>
      <c r="J89" s="10" t="n">
        <v>2</v>
      </c>
      <c r="K89" s="10" t="n">
        <v>4</v>
      </c>
      <c r="L89" s="10" t="n">
        <v>4</v>
      </c>
      <c r="M89" s="10" t="n">
        <v>0</v>
      </c>
      <c r="N89" s="10" t="n">
        <v>0</v>
      </c>
      <c r="O89" s="10" t="n">
        <v>0</v>
      </c>
      <c r="P89" s="10" t="n">
        <v>0</v>
      </c>
      <c r="Q89" s="9" t="s">
        <v>533</v>
      </c>
    </row>
    <row r="90" customFormat="false" ht="15" hidden="false" customHeight="false" outlineLevel="0" collapsed="false">
      <c r="A90" s="9" t="s">
        <v>423</v>
      </c>
      <c r="B90" s="9" t="s">
        <v>424</v>
      </c>
      <c r="C90" s="9" t="s">
        <v>100</v>
      </c>
      <c r="D90" s="9" t="s">
        <v>332</v>
      </c>
      <c r="E90" s="9" t="s">
        <v>187</v>
      </c>
      <c r="F90" s="9" t="s">
        <v>309</v>
      </c>
      <c r="G90" s="9" t="s">
        <v>531</v>
      </c>
      <c r="H90" s="9" t="s">
        <v>532</v>
      </c>
      <c r="I90" s="10" t="n">
        <v>2</v>
      </c>
      <c r="J90" s="10" t="n">
        <v>2</v>
      </c>
      <c r="K90" s="10" t="n">
        <v>4</v>
      </c>
      <c r="L90" s="10" t="n">
        <v>4</v>
      </c>
      <c r="M90" s="10" t="n">
        <v>0</v>
      </c>
      <c r="N90" s="10" t="n">
        <v>0</v>
      </c>
      <c r="O90" s="10" t="n">
        <v>0</v>
      </c>
      <c r="P90" s="10" t="n">
        <v>0</v>
      </c>
      <c r="Q90" s="9" t="s">
        <v>533</v>
      </c>
    </row>
    <row r="91" customFormat="false" ht="15" hidden="false" customHeight="false" outlineLevel="0" collapsed="false">
      <c r="A91" s="9" t="s">
        <v>427</v>
      </c>
      <c r="B91" s="9" t="s">
        <v>428</v>
      </c>
      <c r="C91" s="9" t="s">
        <v>100</v>
      </c>
      <c r="D91" s="9" t="s">
        <v>321</v>
      </c>
      <c r="E91" s="9" t="s">
        <v>169</v>
      </c>
      <c r="F91" s="9" t="s">
        <v>301</v>
      </c>
      <c r="G91" s="9" t="s">
        <v>531</v>
      </c>
      <c r="H91" s="9" t="s">
        <v>532</v>
      </c>
      <c r="I91" s="10" t="n">
        <v>2</v>
      </c>
      <c r="J91" s="10" t="n">
        <v>2</v>
      </c>
      <c r="K91" s="10" t="n">
        <v>4</v>
      </c>
      <c r="L91" s="10" t="n">
        <v>4</v>
      </c>
      <c r="M91" s="10" t="n">
        <v>0</v>
      </c>
      <c r="N91" s="10" t="n">
        <v>0</v>
      </c>
      <c r="O91" s="10" t="n">
        <v>0</v>
      </c>
      <c r="P91" s="10" t="n">
        <v>0</v>
      </c>
      <c r="Q91" s="9" t="s">
        <v>533</v>
      </c>
    </row>
    <row r="92" customFormat="false" ht="15" hidden="false" customHeight="false" outlineLevel="0" collapsed="false">
      <c r="A92" s="9" t="s">
        <v>427</v>
      </c>
      <c r="B92" s="9" t="s">
        <v>428</v>
      </c>
      <c r="C92" s="9" t="s">
        <v>100</v>
      </c>
      <c r="D92" s="9" t="s">
        <v>322</v>
      </c>
      <c r="E92" s="9" t="s">
        <v>169</v>
      </c>
      <c r="F92" s="9" t="s">
        <v>305</v>
      </c>
      <c r="G92" s="9" t="s">
        <v>531</v>
      </c>
      <c r="H92" s="9" t="s">
        <v>532</v>
      </c>
      <c r="I92" s="10" t="n">
        <v>2</v>
      </c>
      <c r="J92" s="10" t="n">
        <v>2</v>
      </c>
      <c r="K92" s="10" t="n">
        <v>4</v>
      </c>
      <c r="L92" s="10" t="n">
        <v>4</v>
      </c>
      <c r="M92" s="10" t="n">
        <v>0</v>
      </c>
      <c r="N92" s="10" t="n">
        <v>0</v>
      </c>
      <c r="O92" s="10" t="n">
        <v>0</v>
      </c>
      <c r="P92" s="10" t="n">
        <v>0</v>
      </c>
      <c r="Q92" s="9" t="s">
        <v>533</v>
      </c>
    </row>
    <row r="93" customFormat="false" ht="15" hidden="false" customHeight="false" outlineLevel="0" collapsed="false">
      <c r="A93" s="9" t="s">
        <v>427</v>
      </c>
      <c r="B93" s="9" t="s">
        <v>428</v>
      </c>
      <c r="C93" s="9" t="s">
        <v>100</v>
      </c>
      <c r="D93" s="9" t="s">
        <v>323</v>
      </c>
      <c r="E93" s="9" t="s">
        <v>169</v>
      </c>
      <c r="F93" s="9" t="s">
        <v>309</v>
      </c>
      <c r="G93" s="9" t="s">
        <v>531</v>
      </c>
      <c r="H93" s="9" t="s">
        <v>532</v>
      </c>
      <c r="I93" s="10" t="n">
        <v>2</v>
      </c>
      <c r="J93" s="10" t="n">
        <v>2</v>
      </c>
      <c r="K93" s="10" t="n">
        <v>4</v>
      </c>
      <c r="L93" s="10" t="n">
        <v>4</v>
      </c>
      <c r="M93" s="10" t="n">
        <v>0</v>
      </c>
      <c r="N93" s="10" t="n">
        <v>0</v>
      </c>
      <c r="O93" s="10" t="n">
        <v>0</v>
      </c>
      <c r="P93" s="10" t="n">
        <v>0</v>
      </c>
      <c r="Q93" s="9" t="s">
        <v>533</v>
      </c>
    </row>
    <row r="94" customFormat="false" ht="15" hidden="false" customHeight="false" outlineLevel="0" collapsed="false">
      <c r="A94" s="9" t="s">
        <v>427</v>
      </c>
      <c r="B94" s="9" t="s">
        <v>428</v>
      </c>
      <c r="C94" s="9" t="s">
        <v>100</v>
      </c>
      <c r="D94" s="9" t="s">
        <v>324</v>
      </c>
      <c r="E94" s="9" t="s">
        <v>175</v>
      </c>
      <c r="F94" s="9" t="s">
        <v>301</v>
      </c>
      <c r="G94" s="9" t="s">
        <v>531</v>
      </c>
      <c r="H94" s="9" t="s">
        <v>532</v>
      </c>
      <c r="I94" s="10" t="n">
        <v>2</v>
      </c>
      <c r="J94" s="10" t="n">
        <v>2</v>
      </c>
      <c r="K94" s="10" t="n">
        <v>4</v>
      </c>
      <c r="L94" s="10" t="n">
        <v>4</v>
      </c>
      <c r="M94" s="10" t="n">
        <v>0</v>
      </c>
      <c r="N94" s="10" t="n">
        <v>0</v>
      </c>
      <c r="O94" s="10" t="n">
        <v>0</v>
      </c>
      <c r="P94" s="10" t="n">
        <v>0</v>
      </c>
      <c r="Q94" s="9" t="s">
        <v>533</v>
      </c>
    </row>
    <row r="95" customFormat="false" ht="15" hidden="false" customHeight="false" outlineLevel="0" collapsed="false">
      <c r="A95" s="9" t="s">
        <v>427</v>
      </c>
      <c r="B95" s="9" t="s">
        <v>428</v>
      </c>
      <c r="C95" s="9" t="s">
        <v>100</v>
      </c>
      <c r="D95" s="9" t="s">
        <v>325</v>
      </c>
      <c r="E95" s="9" t="s">
        <v>175</v>
      </c>
      <c r="F95" s="9" t="s">
        <v>305</v>
      </c>
      <c r="G95" s="9" t="s">
        <v>531</v>
      </c>
      <c r="H95" s="9" t="s">
        <v>532</v>
      </c>
      <c r="I95" s="10" t="n">
        <v>2</v>
      </c>
      <c r="J95" s="10" t="n">
        <v>2</v>
      </c>
      <c r="K95" s="10" t="n">
        <v>4</v>
      </c>
      <c r="L95" s="10" t="n">
        <v>4</v>
      </c>
      <c r="M95" s="10" t="n">
        <v>0</v>
      </c>
      <c r="N95" s="10" t="n">
        <v>0</v>
      </c>
      <c r="O95" s="10" t="n">
        <v>0</v>
      </c>
      <c r="P95" s="10" t="n">
        <v>0</v>
      </c>
      <c r="Q95" s="9" t="s">
        <v>533</v>
      </c>
    </row>
    <row r="96" customFormat="false" ht="15" hidden="false" customHeight="false" outlineLevel="0" collapsed="false">
      <c r="A96" s="9" t="s">
        <v>427</v>
      </c>
      <c r="B96" s="9" t="s">
        <v>428</v>
      </c>
      <c r="C96" s="9" t="s">
        <v>100</v>
      </c>
      <c r="D96" s="9" t="s">
        <v>326</v>
      </c>
      <c r="E96" s="9" t="s">
        <v>175</v>
      </c>
      <c r="F96" s="9" t="s">
        <v>309</v>
      </c>
      <c r="G96" s="9" t="s">
        <v>531</v>
      </c>
      <c r="H96" s="9" t="s">
        <v>532</v>
      </c>
      <c r="I96" s="10" t="n">
        <v>2</v>
      </c>
      <c r="J96" s="10" t="n">
        <v>2</v>
      </c>
      <c r="K96" s="10" t="n">
        <v>4</v>
      </c>
      <c r="L96" s="10" t="n">
        <v>4</v>
      </c>
      <c r="M96" s="10" t="n">
        <v>0</v>
      </c>
      <c r="N96" s="10" t="n">
        <v>0</v>
      </c>
      <c r="O96" s="10" t="n">
        <v>0</v>
      </c>
      <c r="P96" s="10" t="n">
        <v>0</v>
      </c>
      <c r="Q96" s="9" t="s">
        <v>533</v>
      </c>
    </row>
    <row r="97" customFormat="false" ht="15" hidden="false" customHeight="false" outlineLevel="0" collapsed="false">
      <c r="A97" s="9" t="s">
        <v>427</v>
      </c>
      <c r="B97" s="9" t="s">
        <v>428</v>
      </c>
      <c r="C97" s="9" t="s">
        <v>100</v>
      </c>
      <c r="D97" s="9" t="s">
        <v>327</v>
      </c>
      <c r="E97" s="9" t="s">
        <v>181</v>
      </c>
      <c r="F97" s="9" t="s">
        <v>301</v>
      </c>
      <c r="G97" s="9" t="s">
        <v>531</v>
      </c>
      <c r="H97" s="9" t="s">
        <v>532</v>
      </c>
      <c r="I97" s="10" t="n">
        <v>2</v>
      </c>
      <c r="J97" s="10" t="n">
        <v>2</v>
      </c>
      <c r="K97" s="10" t="n">
        <v>4</v>
      </c>
      <c r="L97" s="10" t="n">
        <v>4</v>
      </c>
      <c r="M97" s="10" t="n">
        <v>0</v>
      </c>
      <c r="N97" s="10" t="n">
        <v>0</v>
      </c>
      <c r="O97" s="10" t="n">
        <v>0</v>
      </c>
      <c r="P97" s="10" t="n">
        <v>0</v>
      </c>
      <c r="Q97" s="9" t="s">
        <v>533</v>
      </c>
    </row>
    <row r="98" customFormat="false" ht="15" hidden="false" customHeight="false" outlineLevel="0" collapsed="false">
      <c r="A98" s="9" t="s">
        <v>427</v>
      </c>
      <c r="B98" s="9" t="s">
        <v>428</v>
      </c>
      <c r="C98" s="9" t="s">
        <v>100</v>
      </c>
      <c r="D98" s="9" t="s">
        <v>328</v>
      </c>
      <c r="E98" s="9" t="s">
        <v>181</v>
      </c>
      <c r="F98" s="9" t="s">
        <v>305</v>
      </c>
      <c r="G98" s="9" t="s">
        <v>531</v>
      </c>
      <c r="H98" s="9" t="s">
        <v>532</v>
      </c>
      <c r="I98" s="10" t="n">
        <v>2</v>
      </c>
      <c r="J98" s="10" t="n">
        <v>2</v>
      </c>
      <c r="K98" s="10" t="n">
        <v>4</v>
      </c>
      <c r="L98" s="10" t="n">
        <v>4</v>
      </c>
      <c r="M98" s="10" t="n">
        <v>0</v>
      </c>
      <c r="N98" s="10" t="n">
        <v>0</v>
      </c>
      <c r="O98" s="10" t="n">
        <v>0</v>
      </c>
      <c r="P98" s="10" t="n">
        <v>0</v>
      </c>
      <c r="Q98" s="9" t="s">
        <v>533</v>
      </c>
    </row>
    <row r="99" customFormat="false" ht="15" hidden="false" customHeight="false" outlineLevel="0" collapsed="false">
      <c r="A99" s="9" t="s">
        <v>427</v>
      </c>
      <c r="B99" s="9" t="s">
        <v>428</v>
      </c>
      <c r="C99" s="9" t="s">
        <v>100</v>
      </c>
      <c r="D99" s="9" t="s">
        <v>329</v>
      </c>
      <c r="E99" s="9" t="s">
        <v>181</v>
      </c>
      <c r="F99" s="9" t="s">
        <v>309</v>
      </c>
      <c r="G99" s="9" t="s">
        <v>531</v>
      </c>
      <c r="H99" s="9" t="s">
        <v>532</v>
      </c>
      <c r="I99" s="10" t="n">
        <v>2</v>
      </c>
      <c r="J99" s="10" t="n">
        <v>2</v>
      </c>
      <c r="K99" s="10" t="n">
        <v>4</v>
      </c>
      <c r="L99" s="10" t="n">
        <v>4</v>
      </c>
      <c r="M99" s="10" t="n">
        <v>0</v>
      </c>
      <c r="N99" s="10" t="n">
        <v>0</v>
      </c>
      <c r="O99" s="10" t="n">
        <v>0</v>
      </c>
      <c r="P99" s="10" t="n">
        <v>0</v>
      </c>
      <c r="Q99" s="9" t="s">
        <v>533</v>
      </c>
    </row>
    <row r="100" customFormat="false" ht="15" hidden="false" customHeight="false" outlineLevel="0" collapsed="false">
      <c r="A100" s="9" t="s">
        <v>427</v>
      </c>
      <c r="B100" s="9" t="s">
        <v>428</v>
      </c>
      <c r="C100" s="9" t="s">
        <v>100</v>
      </c>
      <c r="D100" s="9" t="s">
        <v>330</v>
      </c>
      <c r="E100" s="9" t="s">
        <v>187</v>
      </c>
      <c r="F100" s="9" t="s">
        <v>301</v>
      </c>
      <c r="G100" s="9" t="s">
        <v>531</v>
      </c>
      <c r="H100" s="9" t="s">
        <v>532</v>
      </c>
      <c r="I100" s="10" t="n">
        <v>2</v>
      </c>
      <c r="J100" s="10" t="n">
        <v>2</v>
      </c>
      <c r="K100" s="10" t="n">
        <v>4</v>
      </c>
      <c r="L100" s="10" t="n">
        <v>4</v>
      </c>
      <c r="M100" s="10" t="n">
        <v>0</v>
      </c>
      <c r="N100" s="10" t="n">
        <v>0</v>
      </c>
      <c r="O100" s="10" t="n">
        <v>0</v>
      </c>
      <c r="P100" s="10" t="n">
        <v>0</v>
      </c>
      <c r="Q100" s="9" t="s">
        <v>533</v>
      </c>
    </row>
    <row r="101" customFormat="false" ht="15" hidden="false" customHeight="false" outlineLevel="0" collapsed="false">
      <c r="A101" s="9" t="s">
        <v>427</v>
      </c>
      <c r="B101" s="9" t="s">
        <v>428</v>
      </c>
      <c r="C101" s="9" t="s">
        <v>100</v>
      </c>
      <c r="D101" s="9" t="s">
        <v>331</v>
      </c>
      <c r="E101" s="9" t="s">
        <v>187</v>
      </c>
      <c r="F101" s="9" t="s">
        <v>305</v>
      </c>
      <c r="G101" s="9" t="s">
        <v>531</v>
      </c>
      <c r="H101" s="9" t="s">
        <v>532</v>
      </c>
      <c r="I101" s="10" t="n">
        <v>2</v>
      </c>
      <c r="J101" s="10" t="n">
        <v>2</v>
      </c>
      <c r="K101" s="10" t="n">
        <v>4</v>
      </c>
      <c r="L101" s="10" t="n">
        <v>4</v>
      </c>
      <c r="M101" s="10" t="n">
        <v>0</v>
      </c>
      <c r="N101" s="10" t="n">
        <v>0</v>
      </c>
      <c r="O101" s="10" t="n">
        <v>0</v>
      </c>
      <c r="P101" s="10" t="n">
        <v>0</v>
      </c>
      <c r="Q101" s="9" t="s">
        <v>533</v>
      </c>
    </row>
    <row r="102" customFormat="false" ht="15" hidden="false" customHeight="false" outlineLevel="0" collapsed="false">
      <c r="A102" s="9" t="s">
        <v>427</v>
      </c>
      <c r="B102" s="9" t="s">
        <v>428</v>
      </c>
      <c r="C102" s="9" t="s">
        <v>100</v>
      </c>
      <c r="D102" s="9" t="s">
        <v>332</v>
      </c>
      <c r="E102" s="9" t="s">
        <v>187</v>
      </c>
      <c r="F102" s="9" t="s">
        <v>309</v>
      </c>
      <c r="G102" s="9" t="s">
        <v>531</v>
      </c>
      <c r="H102" s="9" t="s">
        <v>532</v>
      </c>
      <c r="I102" s="10" t="n">
        <v>2</v>
      </c>
      <c r="J102" s="10" t="n">
        <v>2</v>
      </c>
      <c r="K102" s="10" t="n">
        <v>4</v>
      </c>
      <c r="L102" s="10" t="n">
        <v>4</v>
      </c>
      <c r="M102" s="10" t="n">
        <v>0</v>
      </c>
      <c r="N102" s="10" t="n">
        <v>0</v>
      </c>
      <c r="O102" s="10" t="n">
        <v>0</v>
      </c>
      <c r="P102" s="10" t="n">
        <v>0</v>
      </c>
      <c r="Q102" s="9" t="s">
        <v>533</v>
      </c>
    </row>
    <row r="103" customFormat="false" ht="15" hidden="false" customHeight="false" outlineLevel="0" collapsed="false">
      <c r="A103" s="9" t="s">
        <v>431</v>
      </c>
      <c r="B103" s="9" t="s">
        <v>432</v>
      </c>
      <c r="C103" s="9" t="s">
        <v>107</v>
      </c>
      <c r="D103" s="9" t="s">
        <v>333</v>
      </c>
      <c r="E103" s="9" t="s">
        <v>193</v>
      </c>
      <c r="F103" s="9" t="s">
        <v>301</v>
      </c>
      <c r="G103" s="9" t="s">
        <v>531</v>
      </c>
      <c r="H103" s="9" t="s">
        <v>532</v>
      </c>
      <c r="I103" s="10" t="n">
        <v>2</v>
      </c>
      <c r="J103" s="10" t="n">
        <v>2</v>
      </c>
      <c r="K103" s="10" t="n">
        <v>4</v>
      </c>
      <c r="L103" s="10" t="n">
        <v>4</v>
      </c>
      <c r="M103" s="10" t="n">
        <v>0</v>
      </c>
      <c r="N103" s="10" t="n">
        <v>0</v>
      </c>
      <c r="O103" s="10" t="n">
        <v>0</v>
      </c>
      <c r="P103" s="10" t="n">
        <v>0</v>
      </c>
      <c r="Q103" s="9" t="s">
        <v>533</v>
      </c>
    </row>
    <row r="104" customFormat="false" ht="15" hidden="false" customHeight="false" outlineLevel="0" collapsed="false">
      <c r="A104" s="9" t="s">
        <v>431</v>
      </c>
      <c r="B104" s="9" t="s">
        <v>432</v>
      </c>
      <c r="C104" s="9" t="s">
        <v>107</v>
      </c>
      <c r="D104" s="9" t="s">
        <v>334</v>
      </c>
      <c r="E104" s="9" t="s">
        <v>193</v>
      </c>
      <c r="F104" s="9" t="s">
        <v>305</v>
      </c>
      <c r="G104" s="9" t="s">
        <v>531</v>
      </c>
      <c r="H104" s="9" t="s">
        <v>532</v>
      </c>
      <c r="I104" s="10" t="n">
        <v>2</v>
      </c>
      <c r="J104" s="10" t="n">
        <v>2</v>
      </c>
      <c r="K104" s="10" t="n">
        <v>4</v>
      </c>
      <c r="L104" s="10" t="n">
        <v>4</v>
      </c>
      <c r="M104" s="10" t="n">
        <v>0</v>
      </c>
      <c r="N104" s="10" t="n">
        <v>0</v>
      </c>
      <c r="O104" s="10" t="n">
        <v>0</v>
      </c>
      <c r="P104" s="10" t="n">
        <v>0</v>
      </c>
      <c r="Q104" s="9" t="s">
        <v>533</v>
      </c>
    </row>
    <row r="105" customFormat="false" ht="15" hidden="false" customHeight="false" outlineLevel="0" collapsed="false">
      <c r="A105" s="9" t="s">
        <v>431</v>
      </c>
      <c r="B105" s="9" t="s">
        <v>432</v>
      </c>
      <c r="C105" s="9" t="s">
        <v>107</v>
      </c>
      <c r="D105" s="9" t="s">
        <v>335</v>
      </c>
      <c r="E105" s="9" t="s">
        <v>193</v>
      </c>
      <c r="F105" s="9" t="s">
        <v>309</v>
      </c>
      <c r="G105" s="9" t="s">
        <v>531</v>
      </c>
      <c r="H105" s="9" t="s">
        <v>532</v>
      </c>
      <c r="I105" s="10" t="n">
        <v>2</v>
      </c>
      <c r="J105" s="10" t="n">
        <v>2</v>
      </c>
      <c r="K105" s="10" t="n">
        <v>4</v>
      </c>
      <c r="L105" s="10" t="n">
        <v>4</v>
      </c>
      <c r="M105" s="10" t="n">
        <v>0</v>
      </c>
      <c r="N105" s="10" t="n">
        <v>0</v>
      </c>
      <c r="O105" s="10" t="n">
        <v>0</v>
      </c>
      <c r="P105" s="10" t="n">
        <v>0</v>
      </c>
      <c r="Q105" s="9" t="s">
        <v>533</v>
      </c>
    </row>
    <row r="106" customFormat="false" ht="15" hidden="false" customHeight="false" outlineLevel="0" collapsed="false">
      <c r="A106" s="9" t="s">
        <v>431</v>
      </c>
      <c r="B106" s="9" t="s">
        <v>432</v>
      </c>
      <c r="C106" s="9" t="s">
        <v>107</v>
      </c>
      <c r="D106" s="9" t="s">
        <v>336</v>
      </c>
      <c r="E106" s="9" t="s">
        <v>199</v>
      </c>
      <c r="F106" s="9" t="s">
        <v>301</v>
      </c>
      <c r="G106" s="9" t="s">
        <v>531</v>
      </c>
      <c r="H106" s="9" t="s">
        <v>532</v>
      </c>
      <c r="I106" s="10" t="n">
        <v>2</v>
      </c>
      <c r="J106" s="10" t="n">
        <v>2</v>
      </c>
      <c r="K106" s="10" t="n">
        <v>4</v>
      </c>
      <c r="L106" s="10" t="n">
        <v>4</v>
      </c>
      <c r="M106" s="10" t="n">
        <v>0</v>
      </c>
      <c r="N106" s="10" t="n">
        <v>0</v>
      </c>
      <c r="O106" s="10" t="n">
        <v>0</v>
      </c>
      <c r="P106" s="10" t="n">
        <v>0</v>
      </c>
      <c r="Q106" s="9" t="s">
        <v>533</v>
      </c>
    </row>
    <row r="107" customFormat="false" ht="15" hidden="false" customHeight="false" outlineLevel="0" collapsed="false">
      <c r="A107" s="9" t="s">
        <v>431</v>
      </c>
      <c r="B107" s="9" t="s">
        <v>432</v>
      </c>
      <c r="C107" s="9" t="s">
        <v>107</v>
      </c>
      <c r="D107" s="9" t="s">
        <v>337</v>
      </c>
      <c r="E107" s="9" t="s">
        <v>199</v>
      </c>
      <c r="F107" s="9" t="s">
        <v>305</v>
      </c>
      <c r="G107" s="9" t="s">
        <v>531</v>
      </c>
      <c r="H107" s="9" t="s">
        <v>532</v>
      </c>
      <c r="I107" s="10" t="n">
        <v>2</v>
      </c>
      <c r="J107" s="10" t="n">
        <v>2</v>
      </c>
      <c r="K107" s="10" t="n">
        <v>4</v>
      </c>
      <c r="L107" s="10" t="n">
        <v>4</v>
      </c>
      <c r="M107" s="10" t="n">
        <v>0</v>
      </c>
      <c r="N107" s="10" t="n">
        <v>0</v>
      </c>
      <c r="O107" s="10" t="n">
        <v>0</v>
      </c>
      <c r="P107" s="10" t="n">
        <v>0</v>
      </c>
      <c r="Q107" s="9" t="s">
        <v>533</v>
      </c>
    </row>
    <row r="108" customFormat="false" ht="15" hidden="false" customHeight="false" outlineLevel="0" collapsed="false">
      <c r="A108" s="9" t="s">
        <v>431</v>
      </c>
      <c r="B108" s="9" t="s">
        <v>432</v>
      </c>
      <c r="C108" s="9" t="s">
        <v>107</v>
      </c>
      <c r="D108" s="9" t="s">
        <v>338</v>
      </c>
      <c r="E108" s="9" t="s">
        <v>199</v>
      </c>
      <c r="F108" s="9" t="s">
        <v>309</v>
      </c>
      <c r="G108" s="9" t="s">
        <v>531</v>
      </c>
      <c r="H108" s="9" t="s">
        <v>532</v>
      </c>
      <c r="I108" s="10" t="n">
        <v>2</v>
      </c>
      <c r="J108" s="10" t="n">
        <v>2</v>
      </c>
      <c r="K108" s="10" t="n">
        <v>4</v>
      </c>
      <c r="L108" s="10" t="n">
        <v>4</v>
      </c>
      <c r="M108" s="10" t="n">
        <v>0</v>
      </c>
      <c r="N108" s="10" t="n">
        <v>0</v>
      </c>
      <c r="O108" s="10" t="n">
        <v>0</v>
      </c>
      <c r="P108" s="10" t="n">
        <v>0</v>
      </c>
      <c r="Q108" s="9" t="s">
        <v>533</v>
      </c>
    </row>
    <row r="109" customFormat="false" ht="15" hidden="false" customHeight="false" outlineLevel="0" collapsed="false">
      <c r="A109" s="9" t="s">
        <v>431</v>
      </c>
      <c r="B109" s="9" t="s">
        <v>432</v>
      </c>
      <c r="C109" s="9" t="s">
        <v>107</v>
      </c>
      <c r="D109" s="9" t="s">
        <v>339</v>
      </c>
      <c r="E109" s="9" t="s">
        <v>205</v>
      </c>
      <c r="F109" s="9" t="s">
        <v>301</v>
      </c>
      <c r="G109" s="9" t="s">
        <v>531</v>
      </c>
      <c r="H109" s="9" t="s">
        <v>532</v>
      </c>
      <c r="I109" s="10" t="n">
        <v>2</v>
      </c>
      <c r="J109" s="10" t="n">
        <v>2</v>
      </c>
      <c r="K109" s="10" t="n">
        <v>4</v>
      </c>
      <c r="L109" s="10" t="n">
        <v>4</v>
      </c>
      <c r="M109" s="10" t="n">
        <v>0</v>
      </c>
      <c r="N109" s="10" t="n">
        <v>0</v>
      </c>
      <c r="O109" s="10" t="n">
        <v>0</v>
      </c>
      <c r="P109" s="10" t="n">
        <v>0</v>
      </c>
      <c r="Q109" s="9" t="s">
        <v>533</v>
      </c>
    </row>
    <row r="110" customFormat="false" ht="15" hidden="false" customHeight="false" outlineLevel="0" collapsed="false">
      <c r="A110" s="9" t="s">
        <v>431</v>
      </c>
      <c r="B110" s="9" t="s">
        <v>432</v>
      </c>
      <c r="C110" s="9" t="s">
        <v>107</v>
      </c>
      <c r="D110" s="9" t="s">
        <v>340</v>
      </c>
      <c r="E110" s="9" t="s">
        <v>205</v>
      </c>
      <c r="F110" s="9" t="s">
        <v>305</v>
      </c>
      <c r="G110" s="9" t="s">
        <v>531</v>
      </c>
      <c r="H110" s="9" t="s">
        <v>532</v>
      </c>
      <c r="I110" s="10" t="n">
        <v>2</v>
      </c>
      <c r="J110" s="10" t="n">
        <v>2</v>
      </c>
      <c r="K110" s="10" t="n">
        <v>4</v>
      </c>
      <c r="L110" s="10" t="n">
        <v>4</v>
      </c>
      <c r="M110" s="10" t="n">
        <v>0</v>
      </c>
      <c r="N110" s="10" t="n">
        <v>0</v>
      </c>
      <c r="O110" s="10" t="n">
        <v>0</v>
      </c>
      <c r="P110" s="10" t="n">
        <v>0</v>
      </c>
      <c r="Q110" s="9" t="s">
        <v>533</v>
      </c>
    </row>
    <row r="111" customFormat="false" ht="15" hidden="false" customHeight="false" outlineLevel="0" collapsed="false">
      <c r="A111" s="9" t="s">
        <v>431</v>
      </c>
      <c r="B111" s="9" t="s">
        <v>432</v>
      </c>
      <c r="C111" s="9" t="s">
        <v>107</v>
      </c>
      <c r="D111" s="9" t="s">
        <v>341</v>
      </c>
      <c r="E111" s="9" t="s">
        <v>205</v>
      </c>
      <c r="F111" s="9" t="s">
        <v>309</v>
      </c>
      <c r="G111" s="9" t="s">
        <v>531</v>
      </c>
      <c r="H111" s="9" t="s">
        <v>532</v>
      </c>
      <c r="I111" s="10" t="n">
        <v>2</v>
      </c>
      <c r="J111" s="10" t="n">
        <v>2</v>
      </c>
      <c r="K111" s="10" t="n">
        <v>4</v>
      </c>
      <c r="L111" s="10" t="n">
        <v>4</v>
      </c>
      <c r="M111" s="10" t="n">
        <v>0</v>
      </c>
      <c r="N111" s="10" t="n">
        <v>0</v>
      </c>
      <c r="O111" s="10" t="n">
        <v>0</v>
      </c>
      <c r="P111" s="10" t="n">
        <v>0</v>
      </c>
      <c r="Q111" s="9" t="s">
        <v>533</v>
      </c>
    </row>
    <row r="112" customFormat="false" ht="15" hidden="false" customHeight="false" outlineLevel="0" collapsed="false">
      <c r="A112" s="9" t="s">
        <v>431</v>
      </c>
      <c r="B112" s="9" t="s">
        <v>432</v>
      </c>
      <c r="C112" s="9" t="s">
        <v>107</v>
      </c>
      <c r="D112" s="9" t="s">
        <v>342</v>
      </c>
      <c r="E112" s="9" t="s">
        <v>211</v>
      </c>
      <c r="F112" s="9" t="s">
        <v>301</v>
      </c>
      <c r="G112" s="9" t="s">
        <v>531</v>
      </c>
      <c r="H112" s="9" t="s">
        <v>532</v>
      </c>
      <c r="I112" s="10" t="n">
        <v>2</v>
      </c>
      <c r="J112" s="10" t="n">
        <v>2</v>
      </c>
      <c r="K112" s="10" t="n">
        <v>4</v>
      </c>
      <c r="L112" s="10" t="n">
        <v>4</v>
      </c>
      <c r="M112" s="10" t="n">
        <v>0</v>
      </c>
      <c r="N112" s="10" t="n">
        <v>0</v>
      </c>
      <c r="O112" s="10" t="n">
        <v>0</v>
      </c>
      <c r="P112" s="10" t="n">
        <v>0</v>
      </c>
      <c r="Q112" s="9" t="s">
        <v>533</v>
      </c>
    </row>
    <row r="113" customFormat="false" ht="15" hidden="false" customHeight="false" outlineLevel="0" collapsed="false">
      <c r="A113" s="9" t="s">
        <v>431</v>
      </c>
      <c r="B113" s="9" t="s">
        <v>432</v>
      </c>
      <c r="C113" s="9" t="s">
        <v>107</v>
      </c>
      <c r="D113" s="9" t="s">
        <v>343</v>
      </c>
      <c r="E113" s="9" t="s">
        <v>211</v>
      </c>
      <c r="F113" s="9" t="s">
        <v>305</v>
      </c>
      <c r="G113" s="9" t="s">
        <v>531</v>
      </c>
      <c r="H113" s="9" t="s">
        <v>532</v>
      </c>
      <c r="I113" s="10" t="n">
        <v>2</v>
      </c>
      <c r="J113" s="10" t="n">
        <v>2</v>
      </c>
      <c r="K113" s="10" t="n">
        <v>4</v>
      </c>
      <c r="L113" s="10" t="n">
        <v>4</v>
      </c>
      <c r="M113" s="10" t="n">
        <v>0</v>
      </c>
      <c r="N113" s="10" t="n">
        <v>0</v>
      </c>
      <c r="O113" s="10" t="n">
        <v>0</v>
      </c>
      <c r="P113" s="10" t="n">
        <v>0</v>
      </c>
      <c r="Q113" s="9" t="s">
        <v>533</v>
      </c>
    </row>
    <row r="114" customFormat="false" ht="15" hidden="false" customHeight="false" outlineLevel="0" collapsed="false">
      <c r="A114" s="9" t="s">
        <v>431</v>
      </c>
      <c r="B114" s="9" t="s">
        <v>432</v>
      </c>
      <c r="C114" s="9" t="s">
        <v>107</v>
      </c>
      <c r="D114" s="9" t="s">
        <v>344</v>
      </c>
      <c r="E114" s="9" t="s">
        <v>211</v>
      </c>
      <c r="F114" s="9" t="s">
        <v>309</v>
      </c>
      <c r="G114" s="9" t="s">
        <v>531</v>
      </c>
      <c r="H114" s="9" t="s">
        <v>532</v>
      </c>
      <c r="I114" s="10" t="n">
        <v>2</v>
      </c>
      <c r="J114" s="10" t="n">
        <v>2</v>
      </c>
      <c r="K114" s="10" t="n">
        <v>4</v>
      </c>
      <c r="L114" s="10" t="n">
        <v>4</v>
      </c>
      <c r="M114" s="10" t="n">
        <v>0</v>
      </c>
      <c r="N114" s="10" t="n">
        <v>0</v>
      </c>
      <c r="O114" s="10" t="n">
        <v>0</v>
      </c>
      <c r="P114" s="10" t="n">
        <v>0</v>
      </c>
      <c r="Q114" s="9" t="s">
        <v>533</v>
      </c>
    </row>
    <row r="115" customFormat="false" ht="15" hidden="false" customHeight="false" outlineLevel="0" collapsed="false">
      <c r="A115" s="9" t="s">
        <v>435</v>
      </c>
      <c r="B115" s="9" t="s">
        <v>436</v>
      </c>
      <c r="C115" s="9" t="s">
        <v>107</v>
      </c>
      <c r="D115" s="9" t="s">
        <v>333</v>
      </c>
      <c r="E115" s="9" t="s">
        <v>193</v>
      </c>
      <c r="F115" s="9" t="s">
        <v>301</v>
      </c>
      <c r="G115" s="9" t="s">
        <v>531</v>
      </c>
      <c r="H115" s="9" t="s">
        <v>532</v>
      </c>
      <c r="I115" s="10" t="n">
        <v>2</v>
      </c>
      <c r="J115" s="10" t="n">
        <v>2</v>
      </c>
      <c r="K115" s="10" t="n">
        <v>4</v>
      </c>
      <c r="L115" s="10" t="n">
        <v>4</v>
      </c>
      <c r="M115" s="10" t="n">
        <v>0</v>
      </c>
      <c r="N115" s="10" t="n">
        <v>0</v>
      </c>
      <c r="O115" s="10" t="n">
        <v>0</v>
      </c>
      <c r="P115" s="10" t="n">
        <v>0</v>
      </c>
      <c r="Q115" s="9" t="s">
        <v>533</v>
      </c>
    </row>
    <row r="116" customFormat="false" ht="15" hidden="false" customHeight="false" outlineLevel="0" collapsed="false">
      <c r="A116" s="9" t="s">
        <v>435</v>
      </c>
      <c r="B116" s="9" t="s">
        <v>436</v>
      </c>
      <c r="C116" s="9" t="s">
        <v>107</v>
      </c>
      <c r="D116" s="9" t="s">
        <v>334</v>
      </c>
      <c r="E116" s="9" t="s">
        <v>193</v>
      </c>
      <c r="F116" s="9" t="s">
        <v>305</v>
      </c>
      <c r="G116" s="9" t="s">
        <v>531</v>
      </c>
      <c r="H116" s="9" t="s">
        <v>532</v>
      </c>
      <c r="I116" s="10" t="n">
        <v>2</v>
      </c>
      <c r="J116" s="10" t="n">
        <v>2</v>
      </c>
      <c r="K116" s="10" t="n">
        <v>4</v>
      </c>
      <c r="L116" s="10" t="n">
        <v>4</v>
      </c>
      <c r="M116" s="10" t="n">
        <v>0</v>
      </c>
      <c r="N116" s="10" t="n">
        <v>0</v>
      </c>
      <c r="O116" s="10" t="n">
        <v>0</v>
      </c>
      <c r="P116" s="10" t="n">
        <v>0</v>
      </c>
      <c r="Q116" s="9" t="s">
        <v>533</v>
      </c>
    </row>
    <row r="117" customFormat="false" ht="15" hidden="false" customHeight="false" outlineLevel="0" collapsed="false">
      <c r="A117" s="9" t="s">
        <v>435</v>
      </c>
      <c r="B117" s="9" t="s">
        <v>436</v>
      </c>
      <c r="C117" s="9" t="s">
        <v>107</v>
      </c>
      <c r="D117" s="9" t="s">
        <v>335</v>
      </c>
      <c r="E117" s="9" t="s">
        <v>193</v>
      </c>
      <c r="F117" s="9" t="s">
        <v>309</v>
      </c>
      <c r="G117" s="9" t="s">
        <v>531</v>
      </c>
      <c r="H117" s="9" t="s">
        <v>532</v>
      </c>
      <c r="I117" s="10" t="n">
        <v>2</v>
      </c>
      <c r="J117" s="10" t="n">
        <v>2</v>
      </c>
      <c r="K117" s="10" t="n">
        <v>4</v>
      </c>
      <c r="L117" s="10" t="n">
        <v>4</v>
      </c>
      <c r="M117" s="10" t="n">
        <v>0</v>
      </c>
      <c r="N117" s="10" t="n">
        <v>0</v>
      </c>
      <c r="O117" s="10" t="n">
        <v>0</v>
      </c>
      <c r="P117" s="10" t="n">
        <v>0</v>
      </c>
      <c r="Q117" s="9" t="s">
        <v>533</v>
      </c>
    </row>
    <row r="118" customFormat="false" ht="15" hidden="false" customHeight="false" outlineLevel="0" collapsed="false">
      <c r="A118" s="9" t="s">
        <v>435</v>
      </c>
      <c r="B118" s="9" t="s">
        <v>436</v>
      </c>
      <c r="C118" s="9" t="s">
        <v>107</v>
      </c>
      <c r="D118" s="9" t="s">
        <v>336</v>
      </c>
      <c r="E118" s="9" t="s">
        <v>199</v>
      </c>
      <c r="F118" s="9" t="s">
        <v>301</v>
      </c>
      <c r="G118" s="9" t="s">
        <v>531</v>
      </c>
      <c r="H118" s="9" t="s">
        <v>532</v>
      </c>
      <c r="I118" s="10" t="n">
        <v>2</v>
      </c>
      <c r="J118" s="10" t="n">
        <v>2</v>
      </c>
      <c r="K118" s="10" t="n">
        <v>4</v>
      </c>
      <c r="L118" s="10" t="n">
        <v>4</v>
      </c>
      <c r="M118" s="10" t="n">
        <v>0</v>
      </c>
      <c r="N118" s="10" t="n">
        <v>0</v>
      </c>
      <c r="O118" s="10" t="n">
        <v>0</v>
      </c>
      <c r="P118" s="10" t="n">
        <v>0</v>
      </c>
      <c r="Q118" s="9" t="s">
        <v>533</v>
      </c>
    </row>
    <row r="119" customFormat="false" ht="15" hidden="false" customHeight="false" outlineLevel="0" collapsed="false">
      <c r="A119" s="9" t="s">
        <v>435</v>
      </c>
      <c r="B119" s="9" t="s">
        <v>436</v>
      </c>
      <c r="C119" s="9" t="s">
        <v>107</v>
      </c>
      <c r="D119" s="9" t="s">
        <v>337</v>
      </c>
      <c r="E119" s="9" t="s">
        <v>199</v>
      </c>
      <c r="F119" s="9" t="s">
        <v>305</v>
      </c>
      <c r="G119" s="9" t="s">
        <v>531</v>
      </c>
      <c r="H119" s="9" t="s">
        <v>532</v>
      </c>
      <c r="I119" s="10" t="n">
        <v>2</v>
      </c>
      <c r="J119" s="10" t="n">
        <v>2</v>
      </c>
      <c r="K119" s="10" t="n">
        <v>4</v>
      </c>
      <c r="L119" s="10" t="n">
        <v>4</v>
      </c>
      <c r="M119" s="10" t="n">
        <v>0</v>
      </c>
      <c r="N119" s="10" t="n">
        <v>0</v>
      </c>
      <c r="O119" s="10" t="n">
        <v>0</v>
      </c>
      <c r="P119" s="10" t="n">
        <v>0</v>
      </c>
      <c r="Q119" s="9" t="s">
        <v>533</v>
      </c>
    </row>
    <row r="120" customFormat="false" ht="15" hidden="false" customHeight="false" outlineLevel="0" collapsed="false">
      <c r="A120" s="9" t="s">
        <v>435</v>
      </c>
      <c r="B120" s="9" t="s">
        <v>436</v>
      </c>
      <c r="C120" s="9" t="s">
        <v>107</v>
      </c>
      <c r="D120" s="9" t="s">
        <v>338</v>
      </c>
      <c r="E120" s="9" t="s">
        <v>199</v>
      </c>
      <c r="F120" s="9" t="s">
        <v>309</v>
      </c>
      <c r="G120" s="9" t="s">
        <v>531</v>
      </c>
      <c r="H120" s="9" t="s">
        <v>532</v>
      </c>
      <c r="I120" s="10" t="n">
        <v>2</v>
      </c>
      <c r="J120" s="10" t="n">
        <v>2</v>
      </c>
      <c r="K120" s="10" t="n">
        <v>4</v>
      </c>
      <c r="L120" s="10" t="n">
        <v>4</v>
      </c>
      <c r="M120" s="10" t="n">
        <v>0</v>
      </c>
      <c r="N120" s="10" t="n">
        <v>0</v>
      </c>
      <c r="O120" s="10" t="n">
        <v>0</v>
      </c>
      <c r="P120" s="10" t="n">
        <v>0</v>
      </c>
      <c r="Q120" s="9" t="s">
        <v>533</v>
      </c>
    </row>
    <row r="121" customFormat="false" ht="15" hidden="false" customHeight="false" outlineLevel="0" collapsed="false">
      <c r="A121" s="9" t="s">
        <v>435</v>
      </c>
      <c r="B121" s="9" t="s">
        <v>436</v>
      </c>
      <c r="C121" s="9" t="s">
        <v>107</v>
      </c>
      <c r="D121" s="9" t="s">
        <v>339</v>
      </c>
      <c r="E121" s="9" t="s">
        <v>205</v>
      </c>
      <c r="F121" s="9" t="s">
        <v>301</v>
      </c>
      <c r="G121" s="9" t="s">
        <v>531</v>
      </c>
      <c r="H121" s="9" t="s">
        <v>532</v>
      </c>
      <c r="I121" s="10" t="n">
        <v>2</v>
      </c>
      <c r="J121" s="10" t="n">
        <v>2</v>
      </c>
      <c r="K121" s="10" t="n">
        <v>4</v>
      </c>
      <c r="L121" s="10" t="n">
        <v>4</v>
      </c>
      <c r="M121" s="10" t="n">
        <v>0</v>
      </c>
      <c r="N121" s="10" t="n">
        <v>0</v>
      </c>
      <c r="O121" s="10" t="n">
        <v>0</v>
      </c>
      <c r="P121" s="10" t="n">
        <v>0</v>
      </c>
      <c r="Q121" s="9" t="s">
        <v>533</v>
      </c>
    </row>
    <row r="122" customFormat="false" ht="15" hidden="false" customHeight="false" outlineLevel="0" collapsed="false">
      <c r="A122" s="9" t="s">
        <v>435</v>
      </c>
      <c r="B122" s="9" t="s">
        <v>436</v>
      </c>
      <c r="C122" s="9" t="s">
        <v>107</v>
      </c>
      <c r="D122" s="9" t="s">
        <v>340</v>
      </c>
      <c r="E122" s="9" t="s">
        <v>205</v>
      </c>
      <c r="F122" s="9" t="s">
        <v>305</v>
      </c>
      <c r="G122" s="9" t="s">
        <v>531</v>
      </c>
      <c r="H122" s="9" t="s">
        <v>532</v>
      </c>
      <c r="I122" s="10" t="n">
        <v>2</v>
      </c>
      <c r="J122" s="10" t="n">
        <v>2</v>
      </c>
      <c r="K122" s="10" t="n">
        <v>4</v>
      </c>
      <c r="L122" s="10" t="n">
        <v>4</v>
      </c>
      <c r="M122" s="10" t="n">
        <v>0</v>
      </c>
      <c r="N122" s="10" t="n">
        <v>0</v>
      </c>
      <c r="O122" s="10" t="n">
        <v>0</v>
      </c>
      <c r="P122" s="10" t="n">
        <v>0</v>
      </c>
      <c r="Q122" s="9" t="s">
        <v>533</v>
      </c>
    </row>
    <row r="123" customFormat="false" ht="15" hidden="false" customHeight="false" outlineLevel="0" collapsed="false">
      <c r="A123" s="9" t="s">
        <v>435</v>
      </c>
      <c r="B123" s="9" t="s">
        <v>436</v>
      </c>
      <c r="C123" s="9" t="s">
        <v>107</v>
      </c>
      <c r="D123" s="9" t="s">
        <v>341</v>
      </c>
      <c r="E123" s="9" t="s">
        <v>205</v>
      </c>
      <c r="F123" s="9" t="s">
        <v>309</v>
      </c>
      <c r="G123" s="9" t="s">
        <v>531</v>
      </c>
      <c r="H123" s="9" t="s">
        <v>532</v>
      </c>
      <c r="I123" s="10" t="n">
        <v>2</v>
      </c>
      <c r="J123" s="10" t="n">
        <v>2</v>
      </c>
      <c r="K123" s="10" t="n">
        <v>4</v>
      </c>
      <c r="L123" s="10" t="n">
        <v>4</v>
      </c>
      <c r="M123" s="10" t="n">
        <v>0</v>
      </c>
      <c r="N123" s="10" t="n">
        <v>0</v>
      </c>
      <c r="O123" s="10" t="n">
        <v>0</v>
      </c>
      <c r="P123" s="10" t="n">
        <v>0</v>
      </c>
      <c r="Q123" s="9" t="s">
        <v>533</v>
      </c>
    </row>
    <row r="124" customFormat="false" ht="15" hidden="false" customHeight="false" outlineLevel="0" collapsed="false">
      <c r="A124" s="9" t="s">
        <v>435</v>
      </c>
      <c r="B124" s="9" t="s">
        <v>436</v>
      </c>
      <c r="C124" s="9" t="s">
        <v>107</v>
      </c>
      <c r="D124" s="9" t="s">
        <v>342</v>
      </c>
      <c r="E124" s="9" t="s">
        <v>211</v>
      </c>
      <c r="F124" s="9" t="s">
        <v>301</v>
      </c>
      <c r="G124" s="9" t="s">
        <v>531</v>
      </c>
      <c r="H124" s="9" t="s">
        <v>532</v>
      </c>
      <c r="I124" s="10" t="n">
        <v>2</v>
      </c>
      <c r="J124" s="10" t="n">
        <v>2</v>
      </c>
      <c r="K124" s="10" t="n">
        <v>4</v>
      </c>
      <c r="L124" s="10" t="n">
        <v>4</v>
      </c>
      <c r="M124" s="10" t="n">
        <v>0</v>
      </c>
      <c r="N124" s="10" t="n">
        <v>0</v>
      </c>
      <c r="O124" s="10" t="n">
        <v>0</v>
      </c>
      <c r="P124" s="10" t="n">
        <v>0</v>
      </c>
      <c r="Q124" s="9" t="s">
        <v>533</v>
      </c>
    </row>
    <row r="125" customFormat="false" ht="15" hidden="false" customHeight="false" outlineLevel="0" collapsed="false">
      <c r="A125" s="9" t="s">
        <v>435</v>
      </c>
      <c r="B125" s="9" t="s">
        <v>436</v>
      </c>
      <c r="C125" s="9" t="s">
        <v>107</v>
      </c>
      <c r="D125" s="9" t="s">
        <v>343</v>
      </c>
      <c r="E125" s="9" t="s">
        <v>211</v>
      </c>
      <c r="F125" s="9" t="s">
        <v>305</v>
      </c>
      <c r="G125" s="9" t="s">
        <v>531</v>
      </c>
      <c r="H125" s="9" t="s">
        <v>532</v>
      </c>
      <c r="I125" s="10" t="n">
        <v>2</v>
      </c>
      <c r="J125" s="10" t="n">
        <v>2</v>
      </c>
      <c r="K125" s="10" t="n">
        <v>4</v>
      </c>
      <c r="L125" s="10" t="n">
        <v>4</v>
      </c>
      <c r="M125" s="10" t="n">
        <v>0</v>
      </c>
      <c r="N125" s="10" t="n">
        <v>0</v>
      </c>
      <c r="O125" s="10" t="n">
        <v>0</v>
      </c>
      <c r="P125" s="10" t="n">
        <v>0</v>
      </c>
      <c r="Q125" s="9" t="s">
        <v>533</v>
      </c>
    </row>
    <row r="126" customFormat="false" ht="15" hidden="false" customHeight="false" outlineLevel="0" collapsed="false">
      <c r="A126" s="9" t="s">
        <v>435</v>
      </c>
      <c r="B126" s="9" t="s">
        <v>436</v>
      </c>
      <c r="C126" s="9" t="s">
        <v>107</v>
      </c>
      <c r="D126" s="9" t="s">
        <v>344</v>
      </c>
      <c r="E126" s="9" t="s">
        <v>211</v>
      </c>
      <c r="F126" s="9" t="s">
        <v>309</v>
      </c>
      <c r="G126" s="9" t="s">
        <v>531</v>
      </c>
      <c r="H126" s="9" t="s">
        <v>532</v>
      </c>
      <c r="I126" s="10" t="n">
        <v>2</v>
      </c>
      <c r="J126" s="10" t="n">
        <v>2</v>
      </c>
      <c r="K126" s="10" t="n">
        <v>4</v>
      </c>
      <c r="L126" s="10" t="n">
        <v>4</v>
      </c>
      <c r="M126" s="10" t="n">
        <v>0</v>
      </c>
      <c r="N126" s="10" t="n">
        <v>0</v>
      </c>
      <c r="O126" s="10" t="n">
        <v>0</v>
      </c>
      <c r="P126" s="10" t="n">
        <v>0</v>
      </c>
      <c r="Q126" s="9" t="s">
        <v>533</v>
      </c>
    </row>
    <row r="127" customFormat="false" ht="15" hidden="false" customHeight="false" outlineLevel="0" collapsed="false">
      <c r="A127" s="9" t="s">
        <v>439</v>
      </c>
      <c r="B127" s="9" t="s">
        <v>440</v>
      </c>
      <c r="C127" s="9" t="s">
        <v>107</v>
      </c>
      <c r="D127" s="9" t="s">
        <v>333</v>
      </c>
      <c r="E127" s="9" t="s">
        <v>193</v>
      </c>
      <c r="F127" s="9" t="s">
        <v>301</v>
      </c>
      <c r="G127" s="9" t="s">
        <v>531</v>
      </c>
      <c r="H127" s="9" t="s">
        <v>532</v>
      </c>
      <c r="I127" s="10" t="n">
        <v>2</v>
      </c>
      <c r="J127" s="10" t="n">
        <v>2</v>
      </c>
      <c r="K127" s="10" t="n">
        <v>4</v>
      </c>
      <c r="L127" s="10" t="n">
        <v>4</v>
      </c>
      <c r="M127" s="10" t="n">
        <v>0</v>
      </c>
      <c r="N127" s="10" t="n">
        <v>0</v>
      </c>
      <c r="O127" s="10" t="n">
        <v>0</v>
      </c>
      <c r="P127" s="10" t="n">
        <v>0</v>
      </c>
      <c r="Q127" s="9" t="s">
        <v>533</v>
      </c>
    </row>
    <row r="128" customFormat="false" ht="15" hidden="false" customHeight="false" outlineLevel="0" collapsed="false">
      <c r="A128" s="9" t="s">
        <v>439</v>
      </c>
      <c r="B128" s="9" t="s">
        <v>440</v>
      </c>
      <c r="C128" s="9" t="s">
        <v>107</v>
      </c>
      <c r="D128" s="9" t="s">
        <v>334</v>
      </c>
      <c r="E128" s="9" t="s">
        <v>193</v>
      </c>
      <c r="F128" s="9" t="s">
        <v>305</v>
      </c>
      <c r="G128" s="9" t="s">
        <v>531</v>
      </c>
      <c r="H128" s="9" t="s">
        <v>532</v>
      </c>
      <c r="I128" s="10" t="n">
        <v>2</v>
      </c>
      <c r="J128" s="10" t="n">
        <v>2</v>
      </c>
      <c r="K128" s="10" t="n">
        <v>4</v>
      </c>
      <c r="L128" s="10" t="n">
        <v>4</v>
      </c>
      <c r="M128" s="10" t="n">
        <v>0</v>
      </c>
      <c r="N128" s="10" t="n">
        <v>0</v>
      </c>
      <c r="O128" s="10" t="n">
        <v>0</v>
      </c>
      <c r="P128" s="10" t="n">
        <v>0</v>
      </c>
      <c r="Q128" s="9" t="s">
        <v>533</v>
      </c>
    </row>
    <row r="129" customFormat="false" ht="15" hidden="false" customHeight="false" outlineLevel="0" collapsed="false">
      <c r="A129" s="9" t="s">
        <v>439</v>
      </c>
      <c r="B129" s="9" t="s">
        <v>440</v>
      </c>
      <c r="C129" s="9" t="s">
        <v>107</v>
      </c>
      <c r="D129" s="9" t="s">
        <v>335</v>
      </c>
      <c r="E129" s="9" t="s">
        <v>193</v>
      </c>
      <c r="F129" s="9" t="s">
        <v>309</v>
      </c>
      <c r="G129" s="9" t="s">
        <v>531</v>
      </c>
      <c r="H129" s="9" t="s">
        <v>532</v>
      </c>
      <c r="I129" s="10" t="n">
        <v>2</v>
      </c>
      <c r="J129" s="10" t="n">
        <v>2</v>
      </c>
      <c r="K129" s="10" t="n">
        <v>4</v>
      </c>
      <c r="L129" s="10" t="n">
        <v>4</v>
      </c>
      <c r="M129" s="10" t="n">
        <v>0</v>
      </c>
      <c r="N129" s="10" t="n">
        <v>0</v>
      </c>
      <c r="O129" s="10" t="n">
        <v>0</v>
      </c>
      <c r="P129" s="10" t="n">
        <v>0</v>
      </c>
      <c r="Q129" s="9" t="s">
        <v>533</v>
      </c>
    </row>
    <row r="130" customFormat="false" ht="15" hidden="false" customHeight="false" outlineLevel="0" collapsed="false">
      <c r="A130" s="9" t="s">
        <v>439</v>
      </c>
      <c r="B130" s="9" t="s">
        <v>440</v>
      </c>
      <c r="C130" s="9" t="s">
        <v>107</v>
      </c>
      <c r="D130" s="9" t="s">
        <v>336</v>
      </c>
      <c r="E130" s="9" t="s">
        <v>199</v>
      </c>
      <c r="F130" s="9" t="s">
        <v>301</v>
      </c>
      <c r="G130" s="9" t="s">
        <v>531</v>
      </c>
      <c r="H130" s="9" t="s">
        <v>532</v>
      </c>
      <c r="I130" s="10" t="n">
        <v>2</v>
      </c>
      <c r="J130" s="10" t="n">
        <v>2</v>
      </c>
      <c r="K130" s="10" t="n">
        <v>4</v>
      </c>
      <c r="L130" s="10" t="n">
        <v>4</v>
      </c>
      <c r="M130" s="10" t="n">
        <v>0</v>
      </c>
      <c r="N130" s="10" t="n">
        <v>0</v>
      </c>
      <c r="O130" s="10" t="n">
        <v>0</v>
      </c>
      <c r="P130" s="10" t="n">
        <v>0</v>
      </c>
      <c r="Q130" s="9" t="s">
        <v>533</v>
      </c>
    </row>
    <row r="131" customFormat="false" ht="15" hidden="false" customHeight="false" outlineLevel="0" collapsed="false">
      <c r="A131" s="9" t="s">
        <v>439</v>
      </c>
      <c r="B131" s="9" t="s">
        <v>440</v>
      </c>
      <c r="C131" s="9" t="s">
        <v>107</v>
      </c>
      <c r="D131" s="9" t="s">
        <v>337</v>
      </c>
      <c r="E131" s="9" t="s">
        <v>199</v>
      </c>
      <c r="F131" s="9" t="s">
        <v>305</v>
      </c>
      <c r="G131" s="9" t="s">
        <v>531</v>
      </c>
      <c r="H131" s="9" t="s">
        <v>532</v>
      </c>
      <c r="I131" s="10" t="n">
        <v>2</v>
      </c>
      <c r="J131" s="10" t="n">
        <v>2</v>
      </c>
      <c r="K131" s="10" t="n">
        <v>4</v>
      </c>
      <c r="L131" s="10" t="n">
        <v>4</v>
      </c>
      <c r="M131" s="10" t="n">
        <v>0</v>
      </c>
      <c r="N131" s="10" t="n">
        <v>0</v>
      </c>
      <c r="O131" s="10" t="n">
        <v>0</v>
      </c>
      <c r="P131" s="10" t="n">
        <v>0</v>
      </c>
      <c r="Q131" s="9" t="s">
        <v>533</v>
      </c>
    </row>
    <row r="132" customFormat="false" ht="15" hidden="false" customHeight="false" outlineLevel="0" collapsed="false">
      <c r="A132" s="9" t="s">
        <v>439</v>
      </c>
      <c r="B132" s="9" t="s">
        <v>440</v>
      </c>
      <c r="C132" s="9" t="s">
        <v>107</v>
      </c>
      <c r="D132" s="9" t="s">
        <v>338</v>
      </c>
      <c r="E132" s="9" t="s">
        <v>199</v>
      </c>
      <c r="F132" s="9" t="s">
        <v>309</v>
      </c>
      <c r="G132" s="9" t="s">
        <v>531</v>
      </c>
      <c r="H132" s="9" t="s">
        <v>532</v>
      </c>
      <c r="I132" s="10" t="n">
        <v>2</v>
      </c>
      <c r="J132" s="10" t="n">
        <v>2</v>
      </c>
      <c r="K132" s="10" t="n">
        <v>4</v>
      </c>
      <c r="L132" s="10" t="n">
        <v>4</v>
      </c>
      <c r="M132" s="10" t="n">
        <v>0</v>
      </c>
      <c r="N132" s="10" t="n">
        <v>0</v>
      </c>
      <c r="O132" s="10" t="n">
        <v>0</v>
      </c>
      <c r="P132" s="10" t="n">
        <v>0</v>
      </c>
      <c r="Q132" s="9" t="s">
        <v>533</v>
      </c>
    </row>
    <row r="133" customFormat="false" ht="15" hidden="false" customHeight="false" outlineLevel="0" collapsed="false">
      <c r="A133" s="9" t="s">
        <v>439</v>
      </c>
      <c r="B133" s="9" t="s">
        <v>440</v>
      </c>
      <c r="C133" s="9" t="s">
        <v>107</v>
      </c>
      <c r="D133" s="9" t="s">
        <v>339</v>
      </c>
      <c r="E133" s="9" t="s">
        <v>205</v>
      </c>
      <c r="F133" s="9" t="s">
        <v>301</v>
      </c>
      <c r="G133" s="9" t="s">
        <v>531</v>
      </c>
      <c r="H133" s="9" t="s">
        <v>532</v>
      </c>
      <c r="I133" s="10" t="n">
        <v>2</v>
      </c>
      <c r="J133" s="10" t="n">
        <v>2</v>
      </c>
      <c r="K133" s="10" t="n">
        <v>4</v>
      </c>
      <c r="L133" s="10" t="n">
        <v>4</v>
      </c>
      <c r="M133" s="10" t="n">
        <v>0</v>
      </c>
      <c r="N133" s="10" t="n">
        <v>0</v>
      </c>
      <c r="O133" s="10" t="n">
        <v>0</v>
      </c>
      <c r="P133" s="10" t="n">
        <v>0</v>
      </c>
      <c r="Q133" s="9" t="s">
        <v>533</v>
      </c>
    </row>
    <row r="134" customFormat="false" ht="15" hidden="false" customHeight="false" outlineLevel="0" collapsed="false">
      <c r="A134" s="9" t="s">
        <v>439</v>
      </c>
      <c r="B134" s="9" t="s">
        <v>440</v>
      </c>
      <c r="C134" s="9" t="s">
        <v>107</v>
      </c>
      <c r="D134" s="9" t="s">
        <v>340</v>
      </c>
      <c r="E134" s="9" t="s">
        <v>205</v>
      </c>
      <c r="F134" s="9" t="s">
        <v>305</v>
      </c>
      <c r="G134" s="9" t="s">
        <v>531</v>
      </c>
      <c r="H134" s="9" t="s">
        <v>532</v>
      </c>
      <c r="I134" s="10" t="n">
        <v>2</v>
      </c>
      <c r="J134" s="10" t="n">
        <v>2</v>
      </c>
      <c r="K134" s="10" t="n">
        <v>4</v>
      </c>
      <c r="L134" s="10" t="n">
        <v>4</v>
      </c>
      <c r="M134" s="10" t="n">
        <v>0</v>
      </c>
      <c r="N134" s="10" t="n">
        <v>0</v>
      </c>
      <c r="O134" s="10" t="n">
        <v>0</v>
      </c>
      <c r="P134" s="10" t="n">
        <v>0</v>
      </c>
      <c r="Q134" s="9" t="s">
        <v>533</v>
      </c>
    </row>
    <row r="135" customFormat="false" ht="15" hidden="false" customHeight="false" outlineLevel="0" collapsed="false">
      <c r="A135" s="9" t="s">
        <v>439</v>
      </c>
      <c r="B135" s="9" t="s">
        <v>440</v>
      </c>
      <c r="C135" s="9" t="s">
        <v>107</v>
      </c>
      <c r="D135" s="9" t="s">
        <v>341</v>
      </c>
      <c r="E135" s="9" t="s">
        <v>205</v>
      </c>
      <c r="F135" s="9" t="s">
        <v>309</v>
      </c>
      <c r="G135" s="9" t="s">
        <v>531</v>
      </c>
      <c r="H135" s="9" t="s">
        <v>532</v>
      </c>
      <c r="I135" s="10" t="n">
        <v>2</v>
      </c>
      <c r="J135" s="10" t="n">
        <v>2</v>
      </c>
      <c r="K135" s="10" t="n">
        <v>4</v>
      </c>
      <c r="L135" s="10" t="n">
        <v>4</v>
      </c>
      <c r="M135" s="10" t="n">
        <v>0</v>
      </c>
      <c r="N135" s="10" t="n">
        <v>0</v>
      </c>
      <c r="O135" s="10" t="n">
        <v>0</v>
      </c>
      <c r="P135" s="10" t="n">
        <v>0</v>
      </c>
      <c r="Q135" s="9" t="s">
        <v>533</v>
      </c>
    </row>
    <row r="136" customFormat="false" ht="15" hidden="false" customHeight="false" outlineLevel="0" collapsed="false">
      <c r="A136" s="9" t="s">
        <v>439</v>
      </c>
      <c r="B136" s="9" t="s">
        <v>440</v>
      </c>
      <c r="C136" s="9" t="s">
        <v>107</v>
      </c>
      <c r="D136" s="9" t="s">
        <v>342</v>
      </c>
      <c r="E136" s="9" t="s">
        <v>211</v>
      </c>
      <c r="F136" s="9" t="s">
        <v>301</v>
      </c>
      <c r="G136" s="9" t="s">
        <v>531</v>
      </c>
      <c r="H136" s="9" t="s">
        <v>532</v>
      </c>
      <c r="I136" s="10" t="n">
        <v>2</v>
      </c>
      <c r="J136" s="10" t="n">
        <v>2</v>
      </c>
      <c r="K136" s="10" t="n">
        <v>4</v>
      </c>
      <c r="L136" s="10" t="n">
        <v>4</v>
      </c>
      <c r="M136" s="10" t="n">
        <v>0</v>
      </c>
      <c r="N136" s="10" t="n">
        <v>0</v>
      </c>
      <c r="O136" s="10" t="n">
        <v>0</v>
      </c>
      <c r="P136" s="10" t="n">
        <v>0</v>
      </c>
      <c r="Q136" s="9" t="s">
        <v>533</v>
      </c>
    </row>
    <row r="137" customFormat="false" ht="15" hidden="false" customHeight="false" outlineLevel="0" collapsed="false">
      <c r="A137" s="9" t="s">
        <v>439</v>
      </c>
      <c r="B137" s="9" t="s">
        <v>440</v>
      </c>
      <c r="C137" s="9" t="s">
        <v>107</v>
      </c>
      <c r="D137" s="9" t="s">
        <v>343</v>
      </c>
      <c r="E137" s="9" t="s">
        <v>211</v>
      </c>
      <c r="F137" s="9" t="s">
        <v>305</v>
      </c>
      <c r="G137" s="9" t="s">
        <v>531</v>
      </c>
      <c r="H137" s="9" t="s">
        <v>532</v>
      </c>
      <c r="I137" s="10" t="n">
        <v>2</v>
      </c>
      <c r="J137" s="10" t="n">
        <v>2</v>
      </c>
      <c r="K137" s="10" t="n">
        <v>4</v>
      </c>
      <c r="L137" s="10" t="n">
        <v>4</v>
      </c>
      <c r="M137" s="10" t="n">
        <v>0</v>
      </c>
      <c r="N137" s="10" t="n">
        <v>0</v>
      </c>
      <c r="O137" s="10" t="n">
        <v>0</v>
      </c>
      <c r="P137" s="10" t="n">
        <v>0</v>
      </c>
      <c r="Q137" s="9" t="s">
        <v>533</v>
      </c>
    </row>
    <row r="138" customFormat="false" ht="15" hidden="false" customHeight="false" outlineLevel="0" collapsed="false">
      <c r="A138" s="9" t="s">
        <v>439</v>
      </c>
      <c r="B138" s="9" t="s">
        <v>440</v>
      </c>
      <c r="C138" s="9" t="s">
        <v>107</v>
      </c>
      <c r="D138" s="9" t="s">
        <v>344</v>
      </c>
      <c r="E138" s="9" t="s">
        <v>211</v>
      </c>
      <c r="F138" s="9" t="s">
        <v>309</v>
      </c>
      <c r="G138" s="9" t="s">
        <v>531</v>
      </c>
      <c r="H138" s="9" t="s">
        <v>532</v>
      </c>
      <c r="I138" s="10" t="n">
        <v>2</v>
      </c>
      <c r="J138" s="10" t="n">
        <v>2</v>
      </c>
      <c r="K138" s="10" t="n">
        <v>4</v>
      </c>
      <c r="L138" s="10" t="n">
        <v>4</v>
      </c>
      <c r="M138" s="10" t="n">
        <v>0</v>
      </c>
      <c r="N138" s="10" t="n">
        <v>0</v>
      </c>
      <c r="O138" s="10" t="n">
        <v>0</v>
      </c>
      <c r="P138" s="10" t="n">
        <v>0</v>
      </c>
      <c r="Q138" s="9" t="s">
        <v>533</v>
      </c>
    </row>
    <row r="139" customFormat="false" ht="15" hidden="false" customHeight="false" outlineLevel="0" collapsed="false">
      <c r="A139" s="9" t="s">
        <v>443</v>
      </c>
      <c r="B139" s="9" t="s">
        <v>444</v>
      </c>
      <c r="C139" s="9" t="s">
        <v>107</v>
      </c>
      <c r="D139" s="9" t="s">
        <v>333</v>
      </c>
      <c r="E139" s="9" t="s">
        <v>193</v>
      </c>
      <c r="F139" s="9" t="s">
        <v>301</v>
      </c>
      <c r="G139" s="9" t="s">
        <v>531</v>
      </c>
      <c r="H139" s="9" t="s">
        <v>532</v>
      </c>
      <c r="I139" s="10" t="n">
        <v>2</v>
      </c>
      <c r="J139" s="10" t="n">
        <v>2</v>
      </c>
      <c r="K139" s="10" t="n">
        <v>4</v>
      </c>
      <c r="L139" s="10" t="n">
        <v>4</v>
      </c>
      <c r="M139" s="10" t="n">
        <v>0</v>
      </c>
      <c r="N139" s="10" t="n">
        <v>0</v>
      </c>
      <c r="O139" s="10" t="n">
        <v>0</v>
      </c>
      <c r="P139" s="10" t="n">
        <v>0</v>
      </c>
      <c r="Q139" s="9" t="s">
        <v>533</v>
      </c>
    </row>
    <row r="140" customFormat="false" ht="15" hidden="false" customHeight="false" outlineLevel="0" collapsed="false">
      <c r="A140" s="9" t="s">
        <v>443</v>
      </c>
      <c r="B140" s="9" t="s">
        <v>444</v>
      </c>
      <c r="C140" s="9" t="s">
        <v>107</v>
      </c>
      <c r="D140" s="9" t="s">
        <v>334</v>
      </c>
      <c r="E140" s="9" t="s">
        <v>193</v>
      </c>
      <c r="F140" s="9" t="s">
        <v>305</v>
      </c>
      <c r="G140" s="9" t="s">
        <v>531</v>
      </c>
      <c r="H140" s="9" t="s">
        <v>532</v>
      </c>
      <c r="I140" s="10" t="n">
        <v>2</v>
      </c>
      <c r="J140" s="10" t="n">
        <v>2</v>
      </c>
      <c r="K140" s="10" t="n">
        <v>4</v>
      </c>
      <c r="L140" s="10" t="n">
        <v>4</v>
      </c>
      <c r="M140" s="10" t="n">
        <v>0</v>
      </c>
      <c r="N140" s="10" t="n">
        <v>0</v>
      </c>
      <c r="O140" s="10" t="n">
        <v>0</v>
      </c>
      <c r="P140" s="10" t="n">
        <v>0</v>
      </c>
      <c r="Q140" s="9" t="s">
        <v>533</v>
      </c>
    </row>
    <row r="141" customFormat="false" ht="15" hidden="false" customHeight="false" outlineLevel="0" collapsed="false">
      <c r="A141" s="9" t="s">
        <v>443</v>
      </c>
      <c r="B141" s="9" t="s">
        <v>444</v>
      </c>
      <c r="C141" s="9" t="s">
        <v>107</v>
      </c>
      <c r="D141" s="9" t="s">
        <v>335</v>
      </c>
      <c r="E141" s="9" t="s">
        <v>193</v>
      </c>
      <c r="F141" s="9" t="s">
        <v>309</v>
      </c>
      <c r="G141" s="9" t="s">
        <v>531</v>
      </c>
      <c r="H141" s="9" t="s">
        <v>532</v>
      </c>
      <c r="I141" s="10" t="n">
        <v>2</v>
      </c>
      <c r="J141" s="10" t="n">
        <v>2</v>
      </c>
      <c r="K141" s="10" t="n">
        <v>4</v>
      </c>
      <c r="L141" s="10" t="n">
        <v>4</v>
      </c>
      <c r="M141" s="10" t="n">
        <v>0</v>
      </c>
      <c r="N141" s="10" t="n">
        <v>0</v>
      </c>
      <c r="O141" s="10" t="n">
        <v>0</v>
      </c>
      <c r="P141" s="10" t="n">
        <v>0</v>
      </c>
      <c r="Q141" s="9" t="s">
        <v>533</v>
      </c>
    </row>
    <row r="142" customFormat="false" ht="15" hidden="false" customHeight="false" outlineLevel="0" collapsed="false">
      <c r="A142" s="9" t="s">
        <v>443</v>
      </c>
      <c r="B142" s="9" t="s">
        <v>444</v>
      </c>
      <c r="C142" s="9" t="s">
        <v>107</v>
      </c>
      <c r="D142" s="9" t="s">
        <v>336</v>
      </c>
      <c r="E142" s="9" t="s">
        <v>199</v>
      </c>
      <c r="F142" s="9" t="s">
        <v>301</v>
      </c>
      <c r="G142" s="9" t="s">
        <v>531</v>
      </c>
      <c r="H142" s="9" t="s">
        <v>532</v>
      </c>
      <c r="I142" s="10" t="n">
        <v>2</v>
      </c>
      <c r="J142" s="10" t="n">
        <v>2</v>
      </c>
      <c r="K142" s="10" t="n">
        <v>4</v>
      </c>
      <c r="L142" s="10" t="n">
        <v>4</v>
      </c>
      <c r="M142" s="10" t="n">
        <v>0</v>
      </c>
      <c r="N142" s="10" t="n">
        <v>0</v>
      </c>
      <c r="O142" s="10" t="n">
        <v>0</v>
      </c>
      <c r="P142" s="10" t="n">
        <v>0</v>
      </c>
      <c r="Q142" s="9" t="s">
        <v>533</v>
      </c>
    </row>
    <row r="143" customFormat="false" ht="15" hidden="false" customHeight="false" outlineLevel="0" collapsed="false">
      <c r="A143" s="9" t="s">
        <v>443</v>
      </c>
      <c r="B143" s="9" t="s">
        <v>444</v>
      </c>
      <c r="C143" s="9" t="s">
        <v>107</v>
      </c>
      <c r="D143" s="9" t="s">
        <v>337</v>
      </c>
      <c r="E143" s="9" t="s">
        <v>199</v>
      </c>
      <c r="F143" s="9" t="s">
        <v>305</v>
      </c>
      <c r="G143" s="9" t="s">
        <v>531</v>
      </c>
      <c r="H143" s="9" t="s">
        <v>532</v>
      </c>
      <c r="I143" s="10" t="n">
        <v>2</v>
      </c>
      <c r="J143" s="10" t="n">
        <v>2</v>
      </c>
      <c r="K143" s="10" t="n">
        <v>4</v>
      </c>
      <c r="L143" s="10" t="n">
        <v>4</v>
      </c>
      <c r="M143" s="10" t="n">
        <v>0</v>
      </c>
      <c r="N143" s="10" t="n">
        <v>0</v>
      </c>
      <c r="O143" s="10" t="n">
        <v>0</v>
      </c>
      <c r="P143" s="10" t="n">
        <v>0</v>
      </c>
      <c r="Q143" s="9" t="s">
        <v>533</v>
      </c>
    </row>
    <row r="144" customFormat="false" ht="15" hidden="false" customHeight="false" outlineLevel="0" collapsed="false">
      <c r="A144" s="9" t="s">
        <v>443</v>
      </c>
      <c r="B144" s="9" t="s">
        <v>444</v>
      </c>
      <c r="C144" s="9" t="s">
        <v>107</v>
      </c>
      <c r="D144" s="9" t="s">
        <v>338</v>
      </c>
      <c r="E144" s="9" t="s">
        <v>199</v>
      </c>
      <c r="F144" s="9" t="s">
        <v>309</v>
      </c>
      <c r="G144" s="9" t="s">
        <v>531</v>
      </c>
      <c r="H144" s="9" t="s">
        <v>532</v>
      </c>
      <c r="I144" s="10" t="n">
        <v>2</v>
      </c>
      <c r="J144" s="10" t="n">
        <v>2</v>
      </c>
      <c r="K144" s="10" t="n">
        <v>4</v>
      </c>
      <c r="L144" s="10" t="n">
        <v>4</v>
      </c>
      <c r="M144" s="10" t="n">
        <v>0</v>
      </c>
      <c r="N144" s="10" t="n">
        <v>0</v>
      </c>
      <c r="O144" s="10" t="n">
        <v>0</v>
      </c>
      <c r="P144" s="10" t="n">
        <v>0</v>
      </c>
      <c r="Q144" s="9" t="s">
        <v>533</v>
      </c>
    </row>
    <row r="145" customFormat="false" ht="15" hidden="false" customHeight="false" outlineLevel="0" collapsed="false">
      <c r="A145" s="9" t="s">
        <v>443</v>
      </c>
      <c r="B145" s="9" t="s">
        <v>444</v>
      </c>
      <c r="C145" s="9" t="s">
        <v>107</v>
      </c>
      <c r="D145" s="9" t="s">
        <v>339</v>
      </c>
      <c r="E145" s="9" t="s">
        <v>205</v>
      </c>
      <c r="F145" s="9" t="s">
        <v>301</v>
      </c>
      <c r="G145" s="9" t="s">
        <v>531</v>
      </c>
      <c r="H145" s="9" t="s">
        <v>532</v>
      </c>
      <c r="I145" s="10" t="n">
        <v>2</v>
      </c>
      <c r="J145" s="10" t="n">
        <v>2</v>
      </c>
      <c r="K145" s="10" t="n">
        <v>4</v>
      </c>
      <c r="L145" s="10" t="n">
        <v>4</v>
      </c>
      <c r="M145" s="10" t="n">
        <v>0</v>
      </c>
      <c r="N145" s="10" t="n">
        <v>0</v>
      </c>
      <c r="O145" s="10" t="n">
        <v>0</v>
      </c>
      <c r="P145" s="10" t="n">
        <v>0</v>
      </c>
      <c r="Q145" s="9" t="s">
        <v>533</v>
      </c>
    </row>
    <row r="146" customFormat="false" ht="15" hidden="false" customHeight="false" outlineLevel="0" collapsed="false">
      <c r="A146" s="9" t="s">
        <v>443</v>
      </c>
      <c r="B146" s="9" t="s">
        <v>444</v>
      </c>
      <c r="C146" s="9" t="s">
        <v>107</v>
      </c>
      <c r="D146" s="9" t="s">
        <v>340</v>
      </c>
      <c r="E146" s="9" t="s">
        <v>205</v>
      </c>
      <c r="F146" s="9" t="s">
        <v>305</v>
      </c>
      <c r="G146" s="9" t="s">
        <v>531</v>
      </c>
      <c r="H146" s="9" t="s">
        <v>532</v>
      </c>
      <c r="I146" s="10" t="n">
        <v>2</v>
      </c>
      <c r="J146" s="10" t="n">
        <v>2</v>
      </c>
      <c r="K146" s="10" t="n">
        <v>4</v>
      </c>
      <c r="L146" s="10" t="n">
        <v>4</v>
      </c>
      <c r="M146" s="10" t="n">
        <v>0</v>
      </c>
      <c r="N146" s="10" t="n">
        <v>0</v>
      </c>
      <c r="O146" s="10" t="n">
        <v>0</v>
      </c>
      <c r="P146" s="10" t="n">
        <v>0</v>
      </c>
      <c r="Q146" s="9" t="s">
        <v>533</v>
      </c>
    </row>
    <row r="147" customFormat="false" ht="15" hidden="false" customHeight="false" outlineLevel="0" collapsed="false">
      <c r="A147" s="9" t="s">
        <v>443</v>
      </c>
      <c r="B147" s="9" t="s">
        <v>444</v>
      </c>
      <c r="C147" s="9" t="s">
        <v>107</v>
      </c>
      <c r="D147" s="9" t="s">
        <v>341</v>
      </c>
      <c r="E147" s="9" t="s">
        <v>205</v>
      </c>
      <c r="F147" s="9" t="s">
        <v>309</v>
      </c>
      <c r="G147" s="9" t="s">
        <v>531</v>
      </c>
      <c r="H147" s="9" t="s">
        <v>532</v>
      </c>
      <c r="I147" s="10" t="n">
        <v>2</v>
      </c>
      <c r="J147" s="10" t="n">
        <v>2</v>
      </c>
      <c r="K147" s="10" t="n">
        <v>4</v>
      </c>
      <c r="L147" s="10" t="n">
        <v>4</v>
      </c>
      <c r="M147" s="10" t="n">
        <v>0</v>
      </c>
      <c r="N147" s="10" t="n">
        <v>0</v>
      </c>
      <c r="O147" s="10" t="n">
        <v>0</v>
      </c>
      <c r="P147" s="10" t="n">
        <v>0</v>
      </c>
      <c r="Q147" s="9" t="s">
        <v>533</v>
      </c>
    </row>
    <row r="148" customFormat="false" ht="15" hidden="false" customHeight="false" outlineLevel="0" collapsed="false">
      <c r="A148" s="9" t="s">
        <v>443</v>
      </c>
      <c r="B148" s="9" t="s">
        <v>444</v>
      </c>
      <c r="C148" s="9" t="s">
        <v>107</v>
      </c>
      <c r="D148" s="9" t="s">
        <v>342</v>
      </c>
      <c r="E148" s="9" t="s">
        <v>211</v>
      </c>
      <c r="F148" s="9" t="s">
        <v>301</v>
      </c>
      <c r="G148" s="9" t="s">
        <v>531</v>
      </c>
      <c r="H148" s="9" t="s">
        <v>532</v>
      </c>
      <c r="I148" s="10" t="n">
        <v>2</v>
      </c>
      <c r="J148" s="10" t="n">
        <v>2</v>
      </c>
      <c r="K148" s="10" t="n">
        <v>4</v>
      </c>
      <c r="L148" s="10" t="n">
        <v>4</v>
      </c>
      <c r="M148" s="10" t="n">
        <v>0</v>
      </c>
      <c r="N148" s="10" t="n">
        <v>0</v>
      </c>
      <c r="O148" s="10" t="n">
        <v>0</v>
      </c>
      <c r="P148" s="10" t="n">
        <v>0</v>
      </c>
      <c r="Q148" s="9" t="s">
        <v>533</v>
      </c>
    </row>
    <row r="149" customFormat="false" ht="15" hidden="false" customHeight="false" outlineLevel="0" collapsed="false">
      <c r="A149" s="9" t="s">
        <v>443</v>
      </c>
      <c r="B149" s="9" t="s">
        <v>444</v>
      </c>
      <c r="C149" s="9" t="s">
        <v>107</v>
      </c>
      <c r="D149" s="9" t="s">
        <v>343</v>
      </c>
      <c r="E149" s="9" t="s">
        <v>211</v>
      </c>
      <c r="F149" s="9" t="s">
        <v>305</v>
      </c>
      <c r="G149" s="9" t="s">
        <v>531</v>
      </c>
      <c r="H149" s="9" t="s">
        <v>532</v>
      </c>
      <c r="I149" s="10" t="n">
        <v>2</v>
      </c>
      <c r="J149" s="10" t="n">
        <v>2</v>
      </c>
      <c r="K149" s="10" t="n">
        <v>4</v>
      </c>
      <c r="L149" s="10" t="n">
        <v>4</v>
      </c>
      <c r="M149" s="10" t="n">
        <v>0</v>
      </c>
      <c r="N149" s="10" t="n">
        <v>0</v>
      </c>
      <c r="O149" s="10" t="n">
        <v>0</v>
      </c>
      <c r="P149" s="10" t="n">
        <v>0</v>
      </c>
      <c r="Q149" s="9" t="s">
        <v>533</v>
      </c>
    </row>
    <row r="150" customFormat="false" ht="15" hidden="false" customHeight="false" outlineLevel="0" collapsed="false">
      <c r="A150" s="9" t="s">
        <v>443</v>
      </c>
      <c r="B150" s="9" t="s">
        <v>444</v>
      </c>
      <c r="C150" s="9" t="s">
        <v>107</v>
      </c>
      <c r="D150" s="9" t="s">
        <v>344</v>
      </c>
      <c r="E150" s="9" t="s">
        <v>211</v>
      </c>
      <c r="F150" s="9" t="s">
        <v>309</v>
      </c>
      <c r="G150" s="9" t="s">
        <v>531</v>
      </c>
      <c r="H150" s="9" t="s">
        <v>532</v>
      </c>
      <c r="I150" s="10" t="n">
        <v>2</v>
      </c>
      <c r="J150" s="10" t="n">
        <v>2</v>
      </c>
      <c r="K150" s="10" t="n">
        <v>4</v>
      </c>
      <c r="L150" s="10" t="n">
        <v>4</v>
      </c>
      <c r="M150" s="10" t="n">
        <v>0</v>
      </c>
      <c r="N150" s="10" t="n">
        <v>0</v>
      </c>
      <c r="O150" s="10" t="n">
        <v>0</v>
      </c>
      <c r="P150" s="10" t="n">
        <v>0</v>
      </c>
      <c r="Q150" s="9" t="s">
        <v>533</v>
      </c>
    </row>
    <row r="151" customFormat="false" ht="15" hidden="false" customHeight="false" outlineLevel="0" collapsed="false">
      <c r="A151" s="9" t="s">
        <v>447</v>
      </c>
      <c r="B151" s="9" t="s">
        <v>448</v>
      </c>
      <c r="C151" s="9" t="s">
        <v>114</v>
      </c>
      <c r="D151" s="9" t="s">
        <v>345</v>
      </c>
      <c r="E151" s="9" t="s">
        <v>217</v>
      </c>
      <c r="F151" s="9" t="s">
        <v>301</v>
      </c>
      <c r="G151" s="9" t="s">
        <v>531</v>
      </c>
      <c r="H151" s="9" t="s">
        <v>532</v>
      </c>
      <c r="I151" s="10" t="n">
        <v>2</v>
      </c>
      <c r="J151" s="10" t="n">
        <v>2</v>
      </c>
      <c r="K151" s="10" t="n">
        <v>4</v>
      </c>
      <c r="L151" s="10" t="n">
        <v>4</v>
      </c>
      <c r="M151" s="10" t="n">
        <v>0</v>
      </c>
      <c r="N151" s="10" t="n">
        <v>0</v>
      </c>
      <c r="O151" s="10" t="n">
        <v>0</v>
      </c>
      <c r="P151" s="10" t="n">
        <v>0</v>
      </c>
      <c r="Q151" s="9" t="s">
        <v>533</v>
      </c>
    </row>
    <row r="152" customFormat="false" ht="15" hidden="false" customHeight="false" outlineLevel="0" collapsed="false">
      <c r="A152" s="9" t="s">
        <v>447</v>
      </c>
      <c r="B152" s="9" t="s">
        <v>448</v>
      </c>
      <c r="C152" s="9" t="s">
        <v>114</v>
      </c>
      <c r="D152" s="9" t="s">
        <v>346</v>
      </c>
      <c r="E152" s="9" t="s">
        <v>217</v>
      </c>
      <c r="F152" s="9" t="s">
        <v>305</v>
      </c>
      <c r="G152" s="9" t="s">
        <v>531</v>
      </c>
      <c r="H152" s="9" t="s">
        <v>532</v>
      </c>
      <c r="I152" s="10" t="n">
        <v>2</v>
      </c>
      <c r="J152" s="10" t="n">
        <v>2</v>
      </c>
      <c r="K152" s="10" t="n">
        <v>4</v>
      </c>
      <c r="L152" s="10" t="n">
        <v>4</v>
      </c>
      <c r="M152" s="10" t="n">
        <v>0</v>
      </c>
      <c r="N152" s="10" t="n">
        <v>0</v>
      </c>
      <c r="O152" s="10" t="n">
        <v>0</v>
      </c>
      <c r="P152" s="10" t="n">
        <v>0</v>
      </c>
      <c r="Q152" s="9" t="s">
        <v>533</v>
      </c>
    </row>
    <row r="153" customFormat="false" ht="15" hidden="false" customHeight="false" outlineLevel="0" collapsed="false">
      <c r="A153" s="9" t="s">
        <v>447</v>
      </c>
      <c r="B153" s="9" t="s">
        <v>448</v>
      </c>
      <c r="C153" s="9" t="s">
        <v>114</v>
      </c>
      <c r="D153" s="9" t="s">
        <v>347</v>
      </c>
      <c r="E153" s="9" t="s">
        <v>217</v>
      </c>
      <c r="F153" s="9" t="s">
        <v>309</v>
      </c>
      <c r="G153" s="9" t="s">
        <v>531</v>
      </c>
      <c r="H153" s="9" t="s">
        <v>532</v>
      </c>
      <c r="I153" s="10" t="n">
        <v>2</v>
      </c>
      <c r="J153" s="10" t="n">
        <v>2</v>
      </c>
      <c r="K153" s="10" t="n">
        <v>4</v>
      </c>
      <c r="L153" s="10" t="n">
        <v>4</v>
      </c>
      <c r="M153" s="10" t="n">
        <v>0</v>
      </c>
      <c r="N153" s="10" t="n">
        <v>0</v>
      </c>
      <c r="O153" s="10" t="n">
        <v>0</v>
      </c>
      <c r="P153" s="10" t="n">
        <v>0</v>
      </c>
      <c r="Q153" s="9" t="s">
        <v>533</v>
      </c>
    </row>
    <row r="154" customFormat="false" ht="15" hidden="false" customHeight="false" outlineLevel="0" collapsed="false">
      <c r="A154" s="9" t="s">
        <v>447</v>
      </c>
      <c r="B154" s="9" t="s">
        <v>448</v>
      </c>
      <c r="C154" s="9" t="s">
        <v>114</v>
      </c>
      <c r="D154" s="9" t="s">
        <v>348</v>
      </c>
      <c r="E154" s="9" t="s">
        <v>223</v>
      </c>
      <c r="F154" s="9" t="s">
        <v>301</v>
      </c>
      <c r="G154" s="9" t="s">
        <v>531</v>
      </c>
      <c r="H154" s="9" t="s">
        <v>532</v>
      </c>
      <c r="I154" s="10" t="n">
        <v>2</v>
      </c>
      <c r="J154" s="10" t="n">
        <v>2</v>
      </c>
      <c r="K154" s="10" t="n">
        <v>4</v>
      </c>
      <c r="L154" s="10" t="n">
        <v>4</v>
      </c>
      <c r="M154" s="10" t="n">
        <v>0</v>
      </c>
      <c r="N154" s="10" t="n">
        <v>0</v>
      </c>
      <c r="O154" s="10" t="n">
        <v>0</v>
      </c>
      <c r="P154" s="10" t="n">
        <v>0</v>
      </c>
      <c r="Q154" s="9" t="s">
        <v>533</v>
      </c>
    </row>
    <row r="155" customFormat="false" ht="15" hidden="false" customHeight="false" outlineLevel="0" collapsed="false">
      <c r="A155" s="9" t="s">
        <v>447</v>
      </c>
      <c r="B155" s="9" t="s">
        <v>448</v>
      </c>
      <c r="C155" s="9" t="s">
        <v>114</v>
      </c>
      <c r="D155" s="9" t="s">
        <v>349</v>
      </c>
      <c r="E155" s="9" t="s">
        <v>223</v>
      </c>
      <c r="F155" s="9" t="s">
        <v>305</v>
      </c>
      <c r="G155" s="9" t="s">
        <v>531</v>
      </c>
      <c r="H155" s="9" t="s">
        <v>532</v>
      </c>
      <c r="I155" s="10" t="n">
        <v>2</v>
      </c>
      <c r="J155" s="10" t="n">
        <v>2</v>
      </c>
      <c r="K155" s="10" t="n">
        <v>4</v>
      </c>
      <c r="L155" s="10" t="n">
        <v>4</v>
      </c>
      <c r="M155" s="10" t="n">
        <v>0</v>
      </c>
      <c r="N155" s="10" t="n">
        <v>0</v>
      </c>
      <c r="O155" s="10" t="n">
        <v>0</v>
      </c>
      <c r="P155" s="10" t="n">
        <v>0</v>
      </c>
      <c r="Q155" s="9" t="s">
        <v>533</v>
      </c>
    </row>
    <row r="156" customFormat="false" ht="15" hidden="false" customHeight="false" outlineLevel="0" collapsed="false">
      <c r="A156" s="9" t="s">
        <v>447</v>
      </c>
      <c r="B156" s="9" t="s">
        <v>448</v>
      </c>
      <c r="C156" s="9" t="s">
        <v>114</v>
      </c>
      <c r="D156" s="9" t="s">
        <v>350</v>
      </c>
      <c r="E156" s="9" t="s">
        <v>223</v>
      </c>
      <c r="F156" s="9" t="s">
        <v>309</v>
      </c>
      <c r="G156" s="9" t="s">
        <v>531</v>
      </c>
      <c r="H156" s="9" t="s">
        <v>532</v>
      </c>
      <c r="I156" s="10" t="n">
        <v>2</v>
      </c>
      <c r="J156" s="10" t="n">
        <v>2</v>
      </c>
      <c r="K156" s="10" t="n">
        <v>4</v>
      </c>
      <c r="L156" s="10" t="n">
        <v>4</v>
      </c>
      <c r="M156" s="10" t="n">
        <v>0</v>
      </c>
      <c r="N156" s="10" t="n">
        <v>0</v>
      </c>
      <c r="O156" s="10" t="n">
        <v>0</v>
      </c>
      <c r="P156" s="10" t="n">
        <v>0</v>
      </c>
      <c r="Q156" s="9" t="s">
        <v>533</v>
      </c>
    </row>
    <row r="157" customFormat="false" ht="15" hidden="false" customHeight="false" outlineLevel="0" collapsed="false">
      <c r="A157" s="9" t="s">
        <v>447</v>
      </c>
      <c r="B157" s="9" t="s">
        <v>448</v>
      </c>
      <c r="C157" s="9" t="s">
        <v>114</v>
      </c>
      <c r="D157" s="9" t="s">
        <v>351</v>
      </c>
      <c r="E157" s="9" t="s">
        <v>229</v>
      </c>
      <c r="F157" s="9" t="s">
        <v>301</v>
      </c>
      <c r="G157" s="9" t="s">
        <v>531</v>
      </c>
      <c r="H157" s="9" t="s">
        <v>532</v>
      </c>
      <c r="I157" s="10" t="n">
        <v>2</v>
      </c>
      <c r="J157" s="10" t="n">
        <v>2</v>
      </c>
      <c r="K157" s="10" t="n">
        <v>4</v>
      </c>
      <c r="L157" s="10" t="n">
        <v>4</v>
      </c>
      <c r="M157" s="10" t="n">
        <v>0</v>
      </c>
      <c r="N157" s="10" t="n">
        <v>0</v>
      </c>
      <c r="O157" s="10" t="n">
        <v>0</v>
      </c>
      <c r="P157" s="10" t="n">
        <v>0</v>
      </c>
      <c r="Q157" s="9" t="s">
        <v>533</v>
      </c>
    </row>
    <row r="158" customFormat="false" ht="15" hidden="false" customHeight="false" outlineLevel="0" collapsed="false">
      <c r="A158" s="9" t="s">
        <v>447</v>
      </c>
      <c r="B158" s="9" t="s">
        <v>448</v>
      </c>
      <c r="C158" s="9" t="s">
        <v>114</v>
      </c>
      <c r="D158" s="9" t="s">
        <v>352</v>
      </c>
      <c r="E158" s="9" t="s">
        <v>229</v>
      </c>
      <c r="F158" s="9" t="s">
        <v>305</v>
      </c>
      <c r="G158" s="9" t="s">
        <v>531</v>
      </c>
      <c r="H158" s="9" t="s">
        <v>532</v>
      </c>
      <c r="I158" s="10" t="n">
        <v>2</v>
      </c>
      <c r="J158" s="10" t="n">
        <v>2</v>
      </c>
      <c r="K158" s="10" t="n">
        <v>4</v>
      </c>
      <c r="L158" s="10" t="n">
        <v>4</v>
      </c>
      <c r="M158" s="10" t="n">
        <v>0</v>
      </c>
      <c r="N158" s="10" t="n">
        <v>0</v>
      </c>
      <c r="O158" s="10" t="n">
        <v>0</v>
      </c>
      <c r="P158" s="10" t="n">
        <v>0</v>
      </c>
      <c r="Q158" s="9" t="s">
        <v>533</v>
      </c>
    </row>
    <row r="159" customFormat="false" ht="15" hidden="false" customHeight="false" outlineLevel="0" collapsed="false">
      <c r="A159" s="9" t="s">
        <v>447</v>
      </c>
      <c r="B159" s="9" t="s">
        <v>448</v>
      </c>
      <c r="C159" s="9" t="s">
        <v>114</v>
      </c>
      <c r="D159" s="9" t="s">
        <v>353</v>
      </c>
      <c r="E159" s="9" t="s">
        <v>229</v>
      </c>
      <c r="F159" s="9" t="s">
        <v>309</v>
      </c>
      <c r="G159" s="9" t="s">
        <v>531</v>
      </c>
      <c r="H159" s="9" t="s">
        <v>532</v>
      </c>
      <c r="I159" s="10" t="n">
        <v>2</v>
      </c>
      <c r="J159" s="10" t="n">
        <v>2</v>
      </c>
      <c r="K159" s="10" t="n">
        <v>4</v>
      </c>
      <c r="L159" s="10" t="n">
        <v>4</v>
      </c>
      <c r="M159" s="10" t="n">
        <v>0</v>
      </c>
      <c r="N159" s="10" t="n">
        <v>0</v>
      </c>
      <c r="O159" s="10" t="n">
        <v>0</v>
      </c>
      <c r="P159" s="10" t="n">
        <v>0</v>
      </c>
      <c r="Q159" s="9" t="s">
        <v>533</v>
      </c>
    </row>
    <row r="160" customFormat="false" ht="15" hidden="false" customHeight="false" outlineLevel="0" collapsed="false">
      <c r="A160" s="9" t="s">
        <v>447</v>
      </c>
      <c r="B160" s="9" t="s">
        <v>448</v>
      </c>
      <c r="C160" s="9" t="s">
        <v>114</v>
      </c>
      <c r="D160" s="9" t="s">
        <v>354</v>
      </c>
      <c r="E160" s="9" t="s">
        <v>235</v>
      </c>
      <c r="F160" s="9" t="s">
        <v>301</v>
      </c>
      <c r="G160" s="9" t="s">
        <v>531</v>
      </c>
      <c r="H160" s="9" t="s">
        <v>532</v>
      </c>
      <c r="I160" s="10" t="n">
        <v>2</v>
      </c>
      <c r="J160" s="10" t="n">
        <v>2</v>
      </c>
      <c r="K160" s="10" t="n">
        <v>4</v>
      </c>
      <c r="L160" s="10" t="n">
        <v>4</v>
      </c>
      <c r="M160" s="10" t="n">
        <v>0</v>
      </c>
      <c r="N160" s="10" t="n">
        <v>0</v>
      </c>
      <c r="O160" s="10" t="n">
        <v>0</v>
      </c>
      <c r="P160" s="10" t="n">
        <v>0</v>
      </c>
      <c r="Q160" s="9" t="s">
        <v>533</v>
      </c>
    </row>
    <row r="161" customFormat="false" ht="15" hidden="false" customHeight="false" outlineLevel="0" collapsed="false">
      <c r="A161" s="9" t="s">
        <v>447</v>
      </c>
      <c r="B161" s="9" t="s">
        <v>448</v>
      </c>
      <c r="C161" s="9" t="s">
        <v>114</v>
      </c>
      <c r="D161" s="9" t="s">
        <v>355</v>
      </c>
      <c r="E161" s="9" t="s">
        <v>235</v>
      </c>
      <c r="F161" s="9" t="s">
        <v>305</v>
      </c>
      <c r="G161" s="9" t="s">
        <v>531</v>
      </c>
      <c r="H161" s="9" t="s">
        <v>532</v>
      </c>
      <c r="I161" s="10" t="n">
        <v>2</v>
      </c>
      <c r="J161" s="10" t="n">
        <v>2</v>
      </c>
      <c r="K161" s="10" t="n">
        <v>4</v>
      </c>
      <c r="L161" s="10" t="n">
        <v>4</v>
      </c>
      <c r="M161" s="10" t="n">
        <v>0</v>
      </c>
      <c r="N161" s="10" t="n">
        <v>0</v>
      </c>
      <c r="O161" s="10" t="n">
        <v>0</v>
      </c>
      <c r="P161" s="10" t="n">
        <v>0</v>
      </c>
      <c r="Q161" s="9" t="s">
        <v>533</v>
      </c>
    </row>
    <row r="162" customFormat="false" ht="15" hidden="false" customHeight="false" outlineLevel="0" collapsed="false">
      <c r="A162" s="9" t="s">
        <v>447</v>
      </c>
      <c r="B162" s="9" t="s">
        <v>448</v>
      </c>
      <c r="C162" s="9" t="s">
        <v>114</v>
      </c>
      <c r="D162" s="9" t="s">
        <v>356</v>
      </c>
      <c r="E162" s="9" t="s">
        <v>235</v>
      </c>
      <c r="F162" s="9" t="s">
        <v>309</v>
      </c>
      <c r="G162" s="9" t="s">
        <v>531</v>
      </c>
      <c r="H162" s="9" t="s">
        <v>532</v>
      </c>
      <c r="I162" s="10" t="n">
        <v>2</v>
      </c>
      <c r="J162" s="10" t="n">
        <v>2</v>
      </c>
      <c r="K162" s="10" t="n">
        <v>4</v>
      </c>
      <c r="L162" s="10" t="n">
        <v>4</v>
      </c>
      <c r="M162" s="10" t="n">
        <v>0</v>
      </c>
      <c r="N162" s="10" t="n">
        <v>0</v>
      </c>
      <c r="O162" s="10" t="n">
        <v>0</v>
      </c>
      <c r="P162" s="10" t="n">
        <v>0</v>
      </c>
      <c r="Q162" s="9" t="s">
        <v>533</v>
      </c>
    </row>
    <row r="163" customFormat="false" ht="15" hidden="false" customHeight="false" outlineLevel="0" collapsed="false">
      <c r="A163" s="9" t="s">
        <v>451</v>
      </c>
      <c r="B163" s="9" t="s">
        <v>452</v>
      </c>
      <c r="C163" s="9" t="s">
        <v>114</v>
      </c>
      <c r="D163" s="9" t="s">
        <v>345</v>
      </c>
      <c r="E163" s="9" t="s">
        <v>217</v>
      </c>
      <c r="F163" s="9" t="s">
        <v>301</v>
      </c>
      <c r="G163" s="9" t="s">
        <v>531</v>
      </c>
      <c r="H163" s="9" t="s">
        <v>532</v>
      </c>
      <c r="I163" s="10" t="n">
        <v>2</v>
      </c>
      <c r="J163" s="10" t="n">
        <v>2</v>
      </c>
      <c r="K163" s="10" t="n">
        <v>4</v>
      </c>
      <c r="L163" s="10" t="n">
        <v>4</v>
      </c>
      <c r="M163" s="10" t="n">
        <v>0</v>
      </c>
      <c r="N163" s="10" t="n">
        <v>0</v>
      </c>
      <c r="O163" s="10" t="n">
        <v>0</v>
      </c>
      <c r="P163" s="10" t="n">
        <v>0</v>
      </c>
      <c r="Q163" s="9" t="s">
        <v>533</v>
      </c>
    </row>
    <row r="164" customFormat="false" ht="15" hidden="false" customHeight="false" outlineLevel="0" collapsed="false">
      <c r="A164" s="9" t="s">
        <v>451</v>
      </c>
      <c r="B164" s="9" t="s">
        <v>452</v>
      </c>
      <c r="C164" s="9" t="s">
        <v>114</v>
      </c>
      <c r="D164" s="9" t="s">
        <v>346</v>
      </c>
      <c r="E164" s="9" t="s">
        <v>217</v>
      </c>
      <c r="F164" s="9" t="s">
        <v>305</v>
      </c>
      <c r="G164" s="9" t="s">
        <v>531</v>
      </c>
      <c r="H164" s="9" t="s">
        <v>532</v>
      </c>
      <c r="I164" s="10" t="n">
        <v>2</v>
      </c>
      <c r="J164" s="10" t="n">
        <v>2</v>
      </c>
      <c r="K164" s="10" t="n">
        <v>4</v>
      </c>
      <c r="L164" s="10" t="n">
        <v>4</v>
      </c>
      <c r="M164" s="10" t="n">
        <v>0</v>
      </c>
      <c r="N164" s="10" t="n">
        <v>0</v>
      </c>
      <c r="O164" s="10" t="n">
        <v>0</v>
      </c>
      <c r="P164" s="10" t="n">
        <v>0</v>
      </c>
      <c r="Q164" s="9" t="s">
        <v>533</v>
      </c>
    </row>
    <row r="165" customFormat="false" ht="15" hidden="false" customHeight="false" outlineLevel="0" collapsed="false">
      <c r="A165" s="9" t="s">
        <v>451</v>
      </c>
      <c r="B165" s="9" t="s">
        <v>452</v>
      </c>
      <c r="C165" s="9" t="s">
        <v>114</v>
      </c>
      <c r="D165" s="9" t="s">
        <v>347</v>
      </c>
      <c r="E165" s="9" t="s">
        <v>217</v>
      </c>
      <c r="F165" s="9" t="s">
        <v>309</v>
      </c>
      <c r="G165" s="9" t="s">
        <v>531</v>
      </c>
      <c r="H165" s="9" t="s">
        <v>532</v>
      </c>
      <c r="I165" s="10" t="n">
        <v>2</v>
      </c>
      <c r="J165" s="10" t="n">
        <v>2</v>
      </c>
      <c r="K165" s="10" t="n">
        <v>4</v>
      </c>
      <c r="L165" s="10" t="n">
        <v>4</v>
      </c>
      <c r="M165" s="10" t="n">
        <v>0</v>
      </c>
      <c r="N165" s="10" t="n">
        <v>0</v>
      </c>
      <c r="O165" s="10" t="n">
        <v>0</v>
      </c>
      <c r="P165" s="10" t="n">
        <v>0</v>
      </c>
      <c r="Q165" s="9" t="s">
        <v>533</v>
      </c>
    </row>
    <row r="166" customFormat="false" ht="15" hidden="false" customHeight="false" outlineLevel="0" collapsed="false">
      <c r="A166" s="9" t="s">
        <v>451</v>
      </c>
      <c r="B166" s="9" t="s">
        <v>452</v>
      </c>
      <c r="C166" s="9" t="s">
        <v>114</v>
      </c>
      <c r="D166" s="9" t="s">
        <v>348</v>
      </c>
      <c r="E166" s="9" t="s">
        <v>223</v>
      </c>
      <c r="F166" s="9" t="s">
        <v>301</v>
      </c>
      <c r="G166" s="9" t="s">
        <v>531</v>
      </c>
      <c r="H166" s="9" t="s">
        <v>532</v>
      </c>
      <c r="I166" s="10" t="n">
        <v>2</v>
      </c>
      <c r="J166" s="10" t="n">
        <v>2</v>
      </c>
      <c r="K166" s="10" t="n">
        <v>4</v>
      </c>
      <c r="L166" s="10" t="n">
        <v>4</v>
      </c>
      <c r="M166" s="10" t="n">
        <v>0</v>
      </c>
      <c r="N166" s="10" t="n">
        <v>0</v>
      </c>
      <c r="O166" s="10" t="n">
        <v>0</v>
      </c>
      <c r="P166" s="10" t="n">
        <v>0</v>
      </c>
      <c r="Q166" s="9" t="s">
        <v>533</v>
      </c>
    </row>
    <row r="167" customFormat="false" ht="15" hidden="false" customHeight="false" outlineLevel="0" collapsed="false">
      <c r="A167" s="9" t="s">
        <v>451</v>
      </c>
      <c r="B167" s="9" t="s">
        <v>452</v>
      </c>
      <c r="C167" s="9" t="s">
        <v>114</v>
      </c>
      <c r="D167" s="9" t="s">
        <v>349</v>
      </c>
      <c r="E167" s="9" t="s">
        <v>223</v>
      </c>
      <c r="F167" s="9" t="s">
        <v>305</v>
      </c>
      <c r="G167" s="9" t="s">
        <v>531</v>
      </c>
      <c r="H167" s="9" t="s">
        <v>532</v>
      </c>
      <c r="I167" s="10" t="n">
        <v>2</v>
      </c>
      <c r="J167" s="10" t="n">
        <v>2</v>
      </c>
      <c r="K167" s="10" t="n">
        <v>4</v>
      </c>
      <c r="L167" s="10" t="n">
        <v>4</v>
      </c>
      <c r="M167" s="10" t="n">
        <v>0</v>
      </c>
      <c r="N167" s="10" t="n">
        <v>0</v>
      </c>
      <c r="O167" s="10" t="n">
        <v>0</v>
      </c>
      <c r="P167" s="10" t="n">
        <v>0</v>
      </c>
      <c r="Q167" s="9" t="s">
        <v>533</v>
      </c>
    </row>
    <row r="168" customFormat="false" ht="15" hidden="false" customHeight="false" outlineLevel="0" collapsed="false">
      <c r="A168" s="9" t="s">
        <v>451</v>
      </c>
      <c r="B168" s="9" t="s">
        <v>452</v>
      </c>
      <c r="C168" s="9" t="s">
        <v>114</v>
      </c>
      <c r="D168" s="9" t="s">
        <v>350</v>
      </c>
      <c r="E168" s="9" t="s">
        <v>223</v>
      </c>
      <c r="F168" s="9" t="s">
        <v>309</v>
      </c>
      <c r="G168" s="9" t="s">
        <v>531</v>
      </c>
      <c r="H168" s="9" t="s">
        <v>532</v>
      </c>
      <c r="I168" s="10" t="n">
        <v>2</v>
      </c>
      <c r="J168" s="10" t="n">
        <v>2</v>
      </c>
      <c r="K168" s="10" t="n">
        <v>4</v>
      </c>
      <c r="L168" s="10" t="n">
        <v>4</v>
      </c>
      <c r="M168" s="10" t="n">
        <v>0</v>
      </c>
      <c r="N168" s="10" t="n">
        <v>0</v>
      </c>
      <c r="O168" s="10" t="n">
        <v>0</v>
      </c>
      <c r="P168" s="10" t="n">
        <v>0</v>
      </c>
      <c r="Q168" s="9" t="s">
        <v>533</v>
      </c>
    </row>
    <row r="169" customFormat="false" ht="15" hidden="false" customHeight="false" outlineLevel="0" collapsed="false">
      <c r="A169" s="9" t="s">
        <v>451</v>
      </c>
      <c r="B169" s="9" t="s">
        <v>452</v>
      </c>
      <c r="C169" s="9" t="s">
        <v>114</v>
      </c>
      <c r="D169" s="9" t="s">
        <v>351</v>
      </c>
      <c r="E169" s="9" t="s">
        <v>229</v>
      </c>
      <c r="F169" s="9" t="s">
        <v>301</v>
      </c>
      <c r="G169" s="9" t="s">
        <v>531</v>
      </c>
      <c r="H169" s="9" t="s">
        <v>532</v>
      </c>
      <c r="I169" s="10" t="n">
        <v>2</v>
      </c>
      <c r="J169" s="10" t="n">
        <v>2</v>
      </c>
      <c r="K169" s="10" t="n">
        <v>4</v>
      </c>
      <c r="L169" s="10" t="n">
        <v>4</v>
      </c>
      <c r="M169" s="10" t="n">
        <v>0</v>
      </c>
      <c r="N169" s="10" t="n">
        <v>0</v>
      </c>
      <c r="O169" s="10" t="n">
        <v>0</v>
      </c>
      <c r="P169" s="10" t="n">
        <v>0</v>
      </c>
      <c r="Q169" s="9" t="s">
        <v>533</v>
      </c>
    </row>
    <row r="170" customFormat="false" ht="15" hidden="false" customHeight="false" outlineLevel="0" collapsed="false">
      <c r="A170" s="9" t="s">
        <v>451</v>
      </c>
      <c r="B170" s="9" t="s">
        <v>452</v>
      </c>
      <c r="C170" s="9" t="s">
        <v>114</v>
      </c>
      <c r="D170" s="9" t="s">
        <v>352</v>
      </c>
      <c r="E170" s="9" t="s">
        <v>229</v>
      </c>
      <c r="F170" s="9" t="s">
        <v>305</v>
      </c>
      <c r="G170" s="9" t="s">
        <v>531</v>
      </c>
      <c r="H170" s="9" t="s">
        <v>532</v>
      </c>
      <c r="I170" s="10" t="n">
        <v>2</v>
      </c>
      <c r="J170" s="10" t="n">
        <v>2</v>
      </c>
      <c r="K170" s="10" t="n">
        <v>4</v>
      </c>
      <c r="L170" s="10" t="n">
        <v>4</v>
      </c>
      <c r="M170" s="10" t="n">
        <v>0</v>
      </c>
      <c r="N170" s="10" t="n">
        <v>0</v>
      </c>
      <c r="O170" s="10" t="n">
        <v>0</v>
      </c>
      <c r="P170" s="10" t="n">
        <v>0</v>
      </c>
      <c r="Q170" s="9" t="s">
        <v>533</v>
      </c>
    </row>
    <row r="171" customFormat="false" ht="15" hidden="false" customHeight="false" outlineLevel="0" collapsed="false">
      <c r="A171" s="9" t="s">
        <v>451</v>
      </c>
      <c r="B171" s="9" t="s">
        <v>452</v>
      </c>
      <c r="C171" s="9" t="s">
        <v>114</v>
      </c>
      <c r="D171" s="9" t="s">
        <v>353</v>
      </c>
      <c r="E171" s="9" t="s">
        <v>229</v>
      </c>
      <c r="F171" s="9" t="s">
        <v>309</v>
      </c>
      <c r="G171" s="9" t="s">
        <v>531</v>
      </c>
      <c r="H171" s="9" t="s">
        <v>532</v>
      </c>
      <c r="I171" s="10" t="n">
        <v>2</v>
      </c>
      <c r="J171" s="10" t="n">
        <v>2</v>
      </c>
      <c r="K171" s="10" t="n">
        <v>4</v>
      </c>
      <c r="L171" s="10" t="n">
        <v>4</v>
      </c>
      <c r="M171" s="10" t="n">
        <v>0</v>
      </c>
      <c r="N171" s="10" t="n">
        <v>0</v>
      </c>
      <c r="O171" s="10" t="n">
        <v>0</v>
      </c>
      <c r="P171" s="10" t="n">
        <v>0</v>
      </c>
      <c r="Q171" s="9" t="s">
        <v>533</v>
      </c>
    </row>
    <row r="172" customFormat="false" ht="15" hidden="false" customHeight="false" outlineLevel="0" collapsed="false">
      <c r="A172" s="9" t="s">
        <v>451</v>
      </c>
      <c r="B172" s="9" t="s">
        <v>452</v>
      </c>
      <c r="C172" s="9" t="s">
        <v>114</v>
      </c>
      <c r="D172" s="9" t="s">
        <v>354</v>
      </c>
      <c r="E172" s="9" t="s">
        <v>235</v>
      </c>
      <c r="F172" s="9" t="s">
        <v>301</v>
      </c>
      <c r="G172" s="9" t="s">
        <v>531</v>
      </c>
      <c r="H172" s="9" t="s">
        <v>532</v>
      </c>
      <c r="I172" s="10" t="n">
        <v>2</v>
      </c>
      <c r="J172" s="10" t="n">
        <v>2</v>
      </c>
      <c r="K172" s="10" t="n">
        <v>4</v>
      </c>
      <c r="L172" s="10" t="n">
        <v>4</v>
      </c>
      <c r="M172" s="10" t="n">
        <v>0</v>
      </c>
      <c r="N172" s="10" t="n">
        <v>0</v>
      </c>
      <c r="O172" s="10" t="n">
        <v>0</v>
      </c>
      <c r="P172" s="10" t="n">
        <v>0</v>
      </c>
      <c r="Q172" s="9" t="s">
        <v>533</v>
      </c>
    </row>
    <row r="173" customFormat="false" ht="15" hidden="false" customHeight="false" outlineLevel="0" collapsed="false">
      <c r="A173" s="9" t="s">
        <v>451</v>
      </c>
      <c r="B173" s="9" t="s">
        <v>452</v>
      </c>
      <c r="C173" s="9" t="s">
        <v>114</v>
      </c>
      <c r="D173" s="9" t="s">
        <v>355</v>
      </c>
      <c r="E173" s="9" t="s">
        <v>235</v>
      </c>
      <c r="F173" s="9" t="s">
        <v>305</v>
      </c>
      <c r="G173" s="9" t="s">
        <v>531</v>
      </c>
      <c r="H173" s="9" t="s">
        <v>532</v>
      </c>
      <c r="I173" s="10" t="n">
        <v>2</v>
      </c>
      <c r="J173" s="10" t="n">
        <v>2</v>
      </c>
      <c r="K173" s="10" t="n">
        <v>4</v>
      </c>
      <c r="L173" s="10" t="n">
        <v>4</v>
      </c>
      <c r="M173" s="10" t="n">
        <v>0</v>
      </c>
      <c r="N173" s="10" t="n">
        <v>0</v>
      </c>
      <c r="O173" s="10" t="n">
        <v>0</v>
      </c>
      <c r="P173" s="10" t="n">
        <v>0</v>
      </c>
      <c r="Q173" s="9" t="s">
        <v>533</v>
      </c>
    </row>
    <row r="174" customFormat="false" ht="15" hidden="false" customHeight="false" outlineLevel="0" collapsed="false">
      <c r="A174" s="9" t="s">
        <v>451</v>
      </c>
      <c r="B174" s="9" t="s">
        <v>452</v>
      </c>
      <c r="C174" s="9" t="s">
        <v>114</v>
      </c>
      <c r="D174" s="9" t="s">
        <v>356</v>
      </c>
      <c r="E174" s="9" t="s">
        <v>235</v>
      </c>
      <c r="F174" s="9" t="s">
        <v>309</v>
      </c>
      <c r="G174" s="9" t="s">
        <v>531</v>
      </c>
      <c r="H174" s="9" t="s">
        <v>532</v>
      </c>
      <c r="I174" s="10" t="n">
        <v>2</v>
      </c>
      <c r="J174" s="10" t="n">
        <v>2</v>
      </c>
      <c r="K174" s="10" t="n">
        <v>4</v>
      </c>
      <c r="L174" s="10" t="n">
        <v>4</v>
      </c>
      <c r="M174" s="10" t="n">
        <v>0</v>
      </c>
      <c r="N174" s="10" t="n">
        <v>0</v>
      </c>
      <c r="O174" s="10" t="n">
        <v>0</v>
      </c>
      <c r="P174" s="10" t="n">
        <v>0</v>
      </c>
      <c r="Q174" s="9" t="s">
        <v>533</v>
      </c>
    </row>
    <row r="175" customFormat="false" ht="15" hidden="false" customHeight="false" outlineLevel="0" collapsed="false">
      <c r="A175" s="9" t="s">
        <v>455</v>
      </c>
      <c r="B175" s="9" t="s">
        <v>456</v>
      </c>
      <c r="C175" s="9" t="s">
        <v>114</v>
      </c>
      <c r="D175" s="9" t="s">
        <v>345</v>
      </c>
      <c r="E175" s="9" t="s">
        <v>217</v>
      </c>
      <c r="F175" s="9" t="s">
        <v>301</v>
      </c>
      <c r="G175" s="9" t="s">
        <v>531</v>
      </c>
      <c r="H175" s="9" t="s">
        <v>532</v>
      </c>
      <c r="I175" s="10" t="n">
        <v>2</v>
      </c>
      <c r="J175" s="10" t="n">
        <v>2</v>
      </c>
      <c r="K175" s="10" t="n">
        <v>4</v>
      </c>
      <c r="L175" s="10" t="n">
        <v>4</v>
      </c>
      <c r="M175" s="10" t="n">
        <v>0</v>
      </c>
      <c r="N175" s="10" t="n">
        <v>0</v>
      </c>
      <c r="O175" s="10" t="n">
        <v>0</v>
      </c>
      <c r="P175" s="10" t="n">
        <v>0</v>
      </c>
      <c r="Q175" s="9" t="s">
        <v>533</v>
      </c>
    </row>
    <row r="176" customFormat="false" ht="15" hidden="false" customHeight="false" outlineLevel="0" collapsed="false">
      <c r="A176" s="9" t="s">
        <v>455</v>
      </c>
      <c r="B176" s="9" t="s">
        <v>456</v>
      </c>
      <c r="C176" s="9" t="s">
        <v>114</v>
      </c>
      <c r="D176" s="9" t="s">
        <v>346</v>
      </c>
      <c r="E176" s="9" t="s">
        <v>217</v>
      </c>
      <c r="F176" s="9" t="s">
        <v>305</v>
      </c>
      <c r="G176" s="9" t="s">
        <v>531</v>
      </c>
      <c r="H176" s="9" t="s">
        <v>532</v>
      </c>
      <c r="I176" s="10" t="n">
        <v>2</v>
      </c>
      <c r="J176" s="10" t="n">
        <v>2</v>
      </c>
      <c r="K176" s="10" t="n">
        <v>4</v>
      </c>
      <c r="L176" s="10" t="n">
        <v>4</v>
      </c>
      <c r="M176" s="10" t="n">
        <v>0</v>
      </c>
      <c r="N176" s="10" t="n">
        <v>0</v>
      </c>
      <c r="O176" s="10" t="n">
        <v>0</v>
      </c>
      <c r="P176" s="10" t="n">
        <v>0</v>
      </c>
      <c r="Q176" s="9" t="s">
        <v>533</v>
      </c>
    </row>
    <row r="177" customFormat="false" ht="15" hidden="false" customHeight="false" outlineLevel="0" collapsed="false">
      <c r="A177" s="9" t="s">
        <v>455</v>
      </c>
      <c r="B177" s="9" t="s">
        <v>456</v>
      </c>
      <c r="C177" s="9" t="s">
        <v>114</v>
      </c>
      <c r="D177" s="9" t="s">
        <v>347</v>
      </c>
      <c r="E177" s="9" t="s">
        <v>217</v>
      </c>
      <c r="F177" s="9" t="s">
        <v>309</v>
      </c>
      <c r="G177" s="9" t="s">
        <v>531</v>
      </c>
      <c r="H177" s="9" t="s">
        <v>532</v>
      </c>
      <c r="I177" s="10" t="n">
        <v>2</v>
      </c>
      <c r="J177" s="10" t="n">
        <v>2</v>
      </c>
      <c r="K177" s="10" t="n">
        <v>4</v>
      </c>
      <c r="L177" s="10" t="n">
        <v>4</v>
      </c>
      <c r="M177" s="10" t="n">
        <v>0</v>
      </c>
      <c r="N177" s="10" t="n">
        <v>0</v>
      </c>
      <c r="O177" s="10" t="n">
        <v>0</v>
      </c>
      <c r="P177" s="10" t="n">
        <v>0</v>
      </c>
      <c r="Q177" s="9" t="s">
        <v>533</v>
      </c>
    </row>
    <row r="178" customFormat="false" ht="15" hidden="false" customHeight="false" outlineLevel="0" collapsed="false">
      <c r="A178" s="9" t="s">
        <v>455</v>
      </c>
      <c r="B178" s="9" t="s">
        <v>456</v>
      </c>
      <c r="C178" s="9" t="s">
        <v>114</v>
      </c>
      <c r="D178" s="9" t="s">
        <v>348</v>
      </c>
      <c r="E178" s="9" t="s">
        <v>223</v>
      </c>
      <c r="F178" s="9" t="s">
        <v>301</v>
      </c>
      <c r="G178" s="9" t="s">
        <v>531</v>
      </c>
      <c r="H178" s="9" t="s">
        <v>532</v>
      </c>
      <c r="I178" s="10" t="n">
        <v>2</v>
      </c>
      <c r="J178" s="10" t="n">
        <v>2</v>
      </c>
      <c r="K178" s="10" t="n">
        <v>4</v>
      </c>
      <c r="L178" s="10" t="n">
        <v>4</v>
      </c>
      <c r="M178" s="10" t="n">
        <v>0</v>
      </c>
      <c r="N178" s="10" t="n">
        <v>0</v>
      </c>
      <c r="O178" s="10" t="n">
        <v>0</v>
      </c>
      <c r="P178" s="10" t="n">
        <v>0</v>
      </c>
      <c r="Q178" s="9" t="s">
        <v>533</v>
      </c>
    </row>
    <row r="179" customFormat="false" ht="15" hidden="false" customHeight="false" outlineLevel="0" collapsed="false">
      <c r="A179" s="9" t="s">
        <v>455</v>
      </c>
      <c r="B179" s="9" t="s">
        <v>456</v>
      </c>
      <c r="C179" s="9" t="s">
        <v>114</v>
      </c>
      <c r="D179" s="9" t="s">
        <v>349</v>
      </c>
      <c r="E179" s="9" t="s">
        <v>223</v>
      </c>
      <c r="F179" s="9" t="s">
        <v>305</v>
      </c>
      <c r="G179" s="9" t="s">
        <v>531</v>
      </c>
      <c r="H179" s="9" t="s">
        <v>532</v>
      </c>
      <c r="I179" s="10" t="n">
        <v>2</v>
      </c>
      <c r="J179" s="10" t="n">
        <v>2</v>
      </c>
      <c r="K179" s="10" t="n">
        <v>4</v>
      </c>
      <c r="L179" s="10" t="n">
        <v>4</v>
      </c>
      <c r="M179" s="10" t="n">
        <v>0</v>
      </c>
      <c r="N179" s="10" t="n">
        <v>0</v>
      </c>
      <c r="O179" s="10" t="n">
        <v>0</v>
      </c>
      <c r="P179" s="10" t="n">
        <v>0</v>
      </c>
      <c r="Q179" s="9" t="s">
        <v>533</v>
      </c>
    </row>
    <row r="180" customFormat="false" ht="15" hidden="false" customHeight="false" outlineLevel="0" collapsed="false">
      <c r="A180" s="9" t="s">
        <v>455</v>
      </c>
      <c r="B180" s="9" t="s">
        <v>456</v>
      </c>
      <c r="C180" s="9" t="s">
        <v>114</v>
      </c>
      <c r="D180" s="9" t="s">
        <v>350</v>
      </c>
      <c r="E180" s="9" t="s">
        <v>223</v>
      </c>
      <c r="F180" s="9" t="s">
        <v>309</v>
      </c>
      <c r="G180" s="9" t="s">
        <v>531</v>
      </c>
      <c r="H180" s="9" t="s">
        <v>532</v>
      </c>
      <c r="I180" s="10" t="n">
        <v>2</v>
      </c>
      <c r="J180" s="10" t="n">
        <v>2</v>
      </c>
      <c r="K180" s="10" t="n">
        <v>4</v>
      </c>
      <c r="L180" s="10" t="n">
        <v>4</v>
      </c>
      <c r="M180" s="10" t="n">
        <v>0</v>
      </c>
      <c r="N180" s="10" t="n">
        <v>0</v>
      </c>
      <c r="O180" s="10" t="n">
        <v>0</v>
      </c>
      <c r="P180" s="10" t="n">
        <v>0</v>
      </c>
      <c r="Q180" s="9" t="s">
        <v>533</v>
      </c>
    </row>
    <row r="181" customFormat="false" ht="15" hidden="false" customHeight="false" outlineLevel="0" collapsed="false">
      <c r="A181" s="9" t="s">
        <v>455</v>
      </c>
      <c r="B181" s="9" t="s">
        <v>456</v>
      </c>
      <c r="C181" s="9" t="s">
        <v>114</v>
      </c>
      <c r="D181" s="9" t="s">
        <v>351</v>
      </c>
      <c r="E181" s="9" t="s">
        <v>229</v>
      </c>
      <c r="F181" s="9" t="s">
        <v>301</v>
      </c>
      <c r="G181" s="9" t="s">
        <v>531</v>
      </c>
      <c r="H181" s="9" t="s">
        <v>532</v>
      </c>
      <c r="I181" s="10" t="n">
        <v>2</v>
      </c>
      <c r="J181" s="10" t="n">
        <v>2</v>
      </c>
      <c r="K181" s="10" t="n">
        <v>4</v>
      </c>
      <c r="L181" s="10" t="n">
        <v>4</v>
      </c>
      <c r="M181" s="10" t="n">
        <v>0</v>
      </c>
      <c r="N181" s="10" t="n">
        <v>0</v>
      </c>
      <c r="O181" s="10" t="n">
        <v>0</v>
      </c>
      <c r="P181" s="10" t="n">
        <v>0</v>
      </c>
      <c r="Q181" s="9" t="s">
        <v>533</v>
      </c>
    </row>
    <row r="182" customFormat="false" ht="15" hidden="false" customHeight="false" outlineLevel="0" collapsed="false">
      <c r="A182" s="9" t="s">
        <v>455</v>
      </c>
      <c r="B182" s="9" t="s">
        <v>456</v>
      </c>
      <c r="C182" s="9" t="s">
        <v>114</v>
      </c>
      <c r="D182" s="9" t="s">
        <v>352</v>
      </c>
      <c r="E182" s="9" t="s">
        <v>229</v>
      </c>
      <c r="F182" s="9" t="s">
        <v>305</v>
      </c>
      <c r="G182" s="9" t="s">
        <v>531</v>
      </c>
      <c r="H182" s="9" t="s">
        <v>532</v>
      </c>
      <c r="I182" s="10" t="n">
        <v>2</v>
      </c>
      <c r="J182" s="10" t="n">
        <v>2</v>
      </c>
      <c r="K182" s="10" t="n">
        <v>4</v>
      </c>
      <c r="L182" s="10" t="n">
        <v>4</v>
      </c>
      <c r="M182" s="10" t="n">
        <v>0</v>
      </c>
      <c r="N182" s="10" t="n">
        <v>0</v>
      </c>
      <c r="O182" s="10" t="n">
        <v>0</v>
      </c>
      <c r="P182" s="10" t="n">
        <v>0</v>
      </c>
      <c r="Q182" s="9" t="s">
        <v>533</v>
      </c>
    </row>
    <row r="183" customFormat="false" ht="15" hidden="false" customHeight="false" outlineLevel="0" collapsed="false">
      <c r="A183" s="9" t="s">
        <v>455</v>
      </c>
      <c r="B183" s="9" t="s">
        <v>456</v>
      </c>
      <c r="C183" s="9" t="s">
        <v>114</v>
      </c>
      <c r="D183" s="9" t="s">
        <v>353</v>
      </c>
      <c r="E183" s="9" t="s">
        <v>229</v>
      </c>
      <c r="F183" s="9" t="s">
        <v>309</v>
      </c>
      <c r="G183" s="9" t="s">
        <v>531</v>
      </c>
      <c r="H183" s="9" t="s">
        <v>532</v>
      </c>
      <c r="I183" s="10" t="n">
        <v>2</v>
      </c>
      <c r="J183" s="10" t="n">
        <v>2</v>
      </c>
      <c r="K183" s="10" t="n">
        <v>4</v>
      </c>
      <c r="L183" s="10" t="n">
        <v>4</v>
      </c>
      <c r="M183" s="10" t="n">
        <v>0</v>
      </c>
      <c r="N183" s="10" t="n">
        <v>0</v>
      </c>
      <c r="O183" s="10" t="n">
        <v>0</v>
      </c>
      <c r="P183" s="10" t="n">
        <v>0</v>
      </c>
      <c r="Q183" s="9" t="s">
        <v>533</v>
      </c>
    </row>
    <row r="184" customFormat="false" ht="15" hidden="false" customHeight="false" outlineLevel="0" collapsed="false">
      <c r="A184" s="9" t="s">
        <v>455</v>
      </c>
      <c r="B184" s="9" t="s">
        <v>456</v>
      </c>
      <c r="C184" s="9" t="s">
        <v>114</v>
      </c>
      <c r="D184" s="9" t="s">
        <v>354</v>
      </c>
      <c r="E184" s="9" t="s">
        <v>235</v>
      </c>
      <c r="F184" s="9" t="s">
        <v>301</v>
      </c>
      <c r="G184" s="9" t="s">
        <v>531</v>
      </c>
      <c r="H184" s="9" t="s">
        <v>532</v>
      </c>
      <c r="I184" s="10" t="n">
        <v>2</v>
      </c>
      <c r="J184" s="10" t="n">
        <v>2</v>
      </c>
      <c r="K184" s="10" t="n">
        <v>4</v>
      </c>
      <c r="L184" s="10" t="n">
        <v>4</v>
      </c>
      <c r="M184" s="10" t="n">
        <v>0</v>
      </c>
      <c r="N184" s="10" t="n">
        <v>0</v>
      </c>
      <c r="O184" s="10" t="n">
        <v>0</v>
      </c>
      <c r="P184" s="10" t="n">
        <v>0</v>
      </c>
      <c r="Q184" s="9" t="s">
        <v>533</v>
      </c>
    </row>
    <row r="185" customFormat="false" ht="15" hidden="false" customHeight="false" outlineLevel="0" collapsed="false">
      <c r="A185" s="9" t="s">
        <v>455</v>
      </c>
      <c r="B185" s="9" t="s">
        <v>456</v>
      </c>
      <c r="C185" s="9" t="s">
        <v>114</v>
      </c>
      <c r="D185" s="9" t="s">
        <v>355</v>
      </c>
      <c r="E185" s="9" t="s">
        <v>235</v>
      </c>
      <c r="F185" s="9" t="s">
        <v>305</v>
      </c>
      <c r="G185" s="9" t="s">
        <v>531</v>
      </c>
      <c r="H185" s="9" t="s">
        <v>532</v>
      </c>
      <c r="I185" s="10" t="n">
        <v>2</v>
      </c>
      <c r="J185" s="10" t="n">
        <v>2</v>
      </c>
      <c r="K185" s="10" t="n">
        <v>4</v>
      </c>
      <c r="L185" s="10" t="n">
        <v>4</v>
      </c>
      <c r="M185" s="10" t="n">
        <v>0</v>
      </c>
      <c r="N185" s="10" t="n">
        <v>0</v>
      </c>
      <c r="O185" s="10" t="n">
        <v>0</v>
      </c>
      <c r="P185" s="10" t="n">
        <v>0</v>
      </c>
      <c r="Q185" s="9" t="s">
        <v>533</v>
      </c>
    </row>
    <row r="186" customFormat="false" ht="15" hidden="false" customHeight="false" outlineLevel="0" collapsed="false">
      <c r="A186" s="9" t="s">
        <v>455</v>
      </c>
      <c r="B186" s="9" t="s">
        <v>456</v>
      </c>
      <c r="C186" s="9" t="s">
        <v>114</v>
      </c>
      <c r="D186" s="9" t="s">
        <v>356</v>
      </c>
      <c r="E186" s="9" t="s">
        <v>235</v>
      </c>
      <c r="F186" s="9" t="s">
        <v>309</v>
      </c>
      <c r="G186" s="9" t="s">
        <v>531</v>
      </c>
      <c r="H186" s="9" t="s">
        <v>532</v>
      </c>
      <c r="I186" s="10" t="n">
        <v>2</v>
      </c>
      <c r="J186" s="10" t="n">
        <v>2</v>
      </c>
      <c r="K186" s="10" t="n">
        <v>4</v>
      </c>
      <c r="L186" s="10" t="n">
        <v>4</v>
      </c>
      <c r="M186" s="10" t="n">
        <v>0</v>
      </c>
      <c r="N186" s="10" t="n">
        <v>0</v>
      </c>
      <c r="O186" s="10" t="n">
        <v>0</v>
      </c>
      <c r="P186" s="10" t="n">
        <v>0</v>
      </c>
      <c r="Q186" s="9" t="s">
        <v>533</v>
      </c>
    </row>
    <row r="187" customFormat="false" ht="15" hidden="false" customHeight="false" outlineLevel="0" collapsed="false">
      <c r="A187" s="9" t="s">
        <v>459</v>
      </c>
      <c r="B187" s="9" t="s">
        <v>460</v>
      </c>
      <c r="C187" s="9" t="s">
        <v>114</v>
      </c>
      <c r="D187" s="9" t="s">
        <v>345</v>
      </c>
      <c r="E187" s="9" t="s">
        <v>217</v>
      </c>
      <c r="F187" s="9" t="s">
        <v>301</v>
      </c>
      <c r="G187" s="9" t="s">
        <v>531</v>
      </c>
      <c r="H187" s="9" t="s">
        <v>532</v>
      </c>
      <c r="I187" s="10" t="n">
        <v>2</v>
      </c>
      <c r="J187" s="10" t="n">
        <v>2</v>
      </c>
      <c r="K187" s="10" t="n">
        <v>4</v>
      </c>
      <c r="L187" s="10" t="n">
        <v>4</v>
      </c>
      <c r="M187" s="10" t="n">
        <v>0</v>
      </c>
      <c r="N187" s="10" t="n">
        <v>0</v>
      </c>
      <c r="O187" s="10" t="n">
        <v>0</v>
      </c>
      <c r="P187" s="10" t="n">
        <v>0</v>
      </c>
      <c r="Q187" s="9" t="s">
        <v>533</v>
      </c>
    </row>
    <row r="188" customFormat="false" ht="15" hidden="false" customHeight="false" outlineLevel="0" collapsed="false">
      <c r="A188" s="9" t="s">
        <v>459</v>
      </c>
      <c r="B188" s="9" t="s">
        <v>460</v>
      </c>
      <c r="C188" s="9" t="s">
        <v>114</v>
      </c>
      <c r="D188" s="9" t="s">
        <v>346</v>
      </c>
      <c r="E188" s="9" t="s">
        <v>217</v>
      </c>
      <c r="F188" s="9" t="s">
        <v>305</v>
      </c>
      <c r="G188" s="9" t="s">
        <v>531</v>
      </c>
      <c r="H188" s="9" t="s">
        <v>532</v>
      </c>
      <c r="I188" s="10" t="n">
        <v>2</v>
      </c>
      <c r="J188" s="10" t="n">
        <v>2</v>
      </c>
      <c r="K188" s="10" t="n">
        <v>4</v>
      </c>
      <c r="L188" s="10" t="n">
        <v>4</v>
      </c>
      <c r="M188" s="10" t="n">
        <v>0</v>
      </c>
      <c r="N188" s="10" t="n">
        <v>0</v>
      </c>
      <c r="O188" s="10" t="n">
        <v>0</v>
      </c>
      <c r="P188" s="10" t="n">
        <v>0</v>
      </c>
      <c r="Q188" s="9" t="s">
        <v>533</v>
      </c>
    </row>
    <row r="189" customFormat="false" ht="15" hidden="false" customHeight="false" outlineLevel="0" collapsed="false">
      <c r="A189" s="9" t="s">
        <v>459</v>
      </c>
      <c r="B189" s="9" t="s">
        <v>460</v>
      </c>
      <c r="C189" s="9" t="s">
        <v>114</v>
      </c>
      <c r="D189" s="9" t="s">
        <v>347</v>
      </c>
      <c r="E189" s="9" t="s">
        <v>217</v>
      </c>
      <c r="F189" s="9" t="s">
        <v>309</v>
      </c>
      <c r="G189" s="9" t="s">
        <v>531</v>
      </c>
      <c r="H189" s="9" t="s">
        <v>532</v>
      </c>
      <c r="I189" s="10" t="n">
        <v>2</v>
      </c>
      <c r="J189" s="10" t="n">
        <v>2</v>
      </c>
      <c r="K189" s="10" t="n">
        <v>4</v>
      </c>
      <c r="L189" s="10" t="n">
        <v>4</v>
      </c>
      <c r="M189" s="10" t="n">
        <v>0</v>
      </c>
      <c r="N189" s="10" t="n">
        <v>0</v>
      </c>
      <c r="O189" s="10" t="n">
        <v>0</v>
      </c>
      <c r="P189" s="10" t="n">
        <v>0</v>
      </c>
      <c r="Q189" s="9" t="s">
        <v>533</v>
      </c>
    </row>
    <row r="190" customFormat="false" ht="15" hidden="false" customHeight="false" outlineLevel="0" collapsed="false">
      <c r="A190" s="9" t="s">
        <v>459</v>
      </c>
      <c r="B190" s="9" t="s">
        <v>460</v>
      </c>
      <c r="C190" s="9" t="s">
        <v>114</v>
      </c>
      <c r="D190" s="9" t="s">
        <v>348</v>
      </c>
      <c r="E190" s="9" t="s">
        <v>223</v>
      </c>
      <c r="F190" s="9" t="s">
        <v>301</v>
      </c>
      <c r="G190" s="9" t="s">
        <v>531</v>
      </c>
      <c r="H190" s="9" t="s">
        <v>532</v>
      </c>
      <c r="I190" s="10" t="n">
        <v>2</v>
      </c>
      <c r="J190" s="10" t="n">
        <v>2</v>
      </c>
      <c r="K190" s="10" t="n">
        <v>4</v>
      </c>
      <c r="L190" s="10" t="n">
        <v>4</v>
      </c>
      <c r="M190" s="10" t="n">
        <v>0</v>
      </c>
      <c r="N190" s="10" t="n">
        <v>0</v>
      </c>
      <c r="O190" s="10" t="n">
        <v>0</v>
      </c>
      <c r="P190" s="10" t="n">
        <v>0</v>
      </c>
      <c r="Q190" s="9" t="s">
        <v>533</v>
      </c>
    </row>
    <row r="191" customFormat="false" ht="15" hidden="false" customHeight="false" outlineLevel="0" collapsed="false">
      <c r="A191" s="9" t="s">
        <v>459</v>
      </c>
      <c r="B191" s="9" t="s">
        <v>460</v>
      </c>
      <c r="C191" s="9" t="s">
        <v>114</v>
      </c>
      <c r="D191" s="9" t="s">
        <v>349</v>
      </c>
      <c r="E191" s="9" t="s">
        <v>223</v>
      </c>
      <c r="F191" s="9" t="s">
        <v>305</v>
      </c>
      <c r="G191" s="9" t="s">
        <v>531</v>
      </c>
      <c r="H191" s="9" t="s">
        <v>532</v>
      </c>
      <c r="I191" s="10" t="n">
        <v>2</v>
      </c>
      <c r="J191" s="10" t="n">
        <v>2</v>
      </c>
      <c r="K191" s="10" t="n">
        <v>4</v>
      </c>
      <c r="L191" s="10" t="n">
        <v>4</v>
      </c>
      <c r="M191" s="10" t="n">
        <v>0</v>
      </c>
      <c r="N191" s="10" t="n">
        <v>0</v>
      </c>
      <c r="O191" s="10" t="n">
        <v>0</v>
      </c>
      <c r="P191" s="10" t="n">
        <v>0</v>
      </c>
      <c r="Q191" s="9" t="s">
        <v>533</v>
      </c>
    </row>
    <row r="192" customFormat="false" ht="15" hidden="false" customHeight="false" outlineLevel="0" collapsed="false">
      <c r="A192" s="9" t="s">
        <v>459</v>
      </c>
      <c r="B192" s="9" t="s">
        <v>460</v>
      </c>
      <c r="C192" s="9" t="s">
        <v>114</v>
      </c>
      <c r="D192" s="9" t="s">
        <v>350</v>
      </c>
      <c r="E192" s="9" t="s">
        <v>223</v>
      </c>
      <c r="F192" s="9" t="s">
        <v>309</v>
      </c>
      <c r="G192" s="9" t="s">
        <v>531</v>
      </c>
      <c r="H192" s="9" t="s">
        <v>532</v>
      </c>
      <c r="I192" s="10" t="n">
        <v>2</v>
      </c>
      <c r="J192" s="10" t="n">
        <v>2</v>
      </c>
      <c r="K192" s="10" t="n">
        <v>4</v>
      </c>
      <c r="L192" s="10" t="n">
        <v>4</v>
      </c>
      <c r="M192" s="10" t="n">
        <v>0</v>
      </c>
      <c r="N192" s="10" t="n">
        <v>0</v>
      </c>
      <c r="O192" s="10" t="n">
        <v>0</v>
      </c>
      <c r="P192" s="10" t="n">
        <v>0</v>
      </c>
      <c r="Q192" s="9" t="s">
        <v>533</v>
      </c>
    </row>
    <row r="193" customFormat="false" ht="15" hidden="false" customHeight="false" outlineLevel="0" collapsed="false">
      <c r="A193" s="9" t="s">
        <v>459</v>
      </c>
      <c r="B193" s="9" t="s">
        <v>460</v>
      </c>
      <c r="C193" s="9" t="s">
        <v>114</v>
      </c>
      <c r="D193" s="9" t="s">
        <v>351</v>
      </c>
      <c r="E193" s="9" t="s">
        <v>229</v>
      </c>
      <c r="F193" s="9" t="s">
        <v>301</v>
      </c>
      <c r="G193" s="9" t="s">
        <v>531</v>
      </c>
      <c r="H193" s="9" t="s">
        <v>532</v>
      </c>
      <c r="I193" s="10" t="n">
        <v>2</v>
      </c>
      <c r="J193" s="10" t="n">
        <v>2</v>
      </c>
      <c r="K193" s="10" t="n">
        <v>4</v>
      </c>
      <c r="L193" s="10" t="n">
        <v>4</v>
      </c>
      <c r="M193" s="10" t="n">
        <v>0</v>
      </c>
      <c r="N193" s="10" t="n">
        <v>0</v>
      </c>
      <c r="O193" s="10" t="n">
        <v>0</v>
      </c>
      <c r="P193" s="10" t="n">
        <v>0</v>
      </c>
      <c r="Q193" s="9" t="s">
        <v>533</v>
      </c>
    </row>
    <row r="194" customFormat="false" ht="15" hidden="false" customHeight="false" outlineLevel="0" collapsed="false">
      <c r="A194" s="9" t="s">
        <v>459</v>
      </c>
      <c r="B194" s="9" t="s">
        <v>460</v>
      </c>
      <c r="C194" s="9" t="s">
        <v>114</v>
      </c>
      <c r="D194" s="9" t="s">
        <v>352</v>
      </c>
      <c r="E194" s="9" t="s">
        <v>229</v>
      </c>
      <c r="F194" s="9" t="s">
        <v>305</v>
      </c>
      <c r="G194" s="9" t="s">
        <v>531</v>
      </c>
      <c r="H194" s="9" t="s">
        <v>532</v>
      </c>
      <c r="I194" s="10" t="n">
        <v>2</v>
      </c>
      <c r="J194" s="10" t="n">
        <v>2</v>
      </c>
      <c r="K194" s="10" t="n">
        <v>4</v>
      </c>
      <c r="L194" s="10" t="n">
        <v>4</v>
      </c>
      <c r="M194" s="10" t="n">
        <v>0</v>
      </c>
      <c r="N194" s="10" t="n">
        <v>0</v>
      </c>
      <c r="O194" s="10" t="n">
        <v>0</v>
      </c>
      <c r="P194" s="10" t="n">
        <v>0</v>
      </c>
      <c r="Q194" s="9" t="s">
        <v>533</v>
      </c>
    </row>
    <row r="195" customFormat="false" ht="15" hidden="false" customHeight="false" outlineLevel="0" collapsed="false">
      <c r="A195" s="9" t="s">
        <v>459</v>
      </c>
      <c r="B195" s="9" t="s">
        <v>460</v>
      </c>
      <c r="C195" s="9" t="s">
        <v>114</v>
      </c>
      <c r="D195" s="9" t="s">
        <v>353</v>
      </c>
      <c r="E195" s="9" t="s">
        <v>229</v>
      </c>
      <c r="F195" s="9" t="s">
        <v>309</v>
      </c>
      <c r="G195" s="9" t="s">
        <v>531</v>
      </c>
      <c r="H195" s="9" t="s">
        <v>532</v>
      </c>
      <c r="I195" s="10" t="n">
        <v>2</v>
      </c>
      <c r="J195" s="10" t="n">
        <v>2</v>
      </c>
      <c r="K195" s="10" t="n">
        <v>4</v>
      </c>
      <c r="L195" s="10" t="n">
        <v>4</v>
      </c>
      <c r="M195" s="10" t="n">
        <v>0</v>
      </c>
      <c r="N195" s="10" t="n">
        <v>0</v>
      </c>
      <c r="O195" s="10" t="n">
        <v>0</v>
      </c>
      <c r="P195" s="10" t="n">
        <v>0</v>
      </c>
      <c r="Q195" s="9" t="s">
        <v>533</v>
      </c>
    </row>
    <row r="196" customFormat="false" ht="15" hidden="false" customHeight="false" outlineLevel="0" collapsed="false">
      <c r="A196" s="9" t="s">
        <v>459</v>
      </c>
      <c r="B196" s="9" t="s">
        <v>460</v>
      </c>
      <c r="C196" s="9" t="s">
        <v>114</v>
      </c>
      <c r="D196" s="9" t="s">
        <v>354</v>
      </c>
      <c r="E196" s="9" t="s">
        <v>235</v>
      </c>
      <c r="F196" s="9" t="s">
        <v>301</v>
      </c>
      <c r="G196" s="9" t="s">
        <v>531</v>
      </c>
      <c r="H196" s="9" t="s">
        <v>532</v>
      </c>
      <c r="I196" s="10" t="n">
        <v>2</v>
      </c>
      <c r="J196" s="10" t="n">
        <v>2</v>
      </c>
      <c r="K196" s="10" t="n">
        <v>4</v>
      </c>
      <c r="L196" s="10" t="n">
        <v>4</v>
      </c>
      <c r="M196" s="10" t="n">
        <v>0</v>
      </c>
      <c r="N196" s="10" t="n">
        <v>0</v>
      </c>
      <c r="O196" s="10" t="n">
        <v>0</v>
      </c>
      <c r="P196" s="10" t="n">
        <v>0</v>
      </c>
      <c r="Q196" s="9" t="s">
        <v>533</v>
      </c>
    </row>
    <row r="197" customFormat="false" ht="15" hidden="false" customHeight="false" outlineLevel="0" collapsed="false">
      <c r="A197" s="9" t="s">
        <v>459</v>
      </c>
      <c r="B197" s="9" t="s">
        <v>460</v>
      </c>
      <c r="C197" s="9" t="s">
        <v>114</v>
      </c>
      <c r="D197" s="9" t="s">
        <v>355</v>
      </c>
      <c r="E197" s="9" t="s">
        <v>235</v>
      </c>
      <c r="F197" s="9" t="s">
        <v>305</v>
      </c>
      <c r="G197" s="9" t="s">
        <v>531</v>
      </c>
      <c r="H197" s="9" t="s">
        <v>532</v>
      </c>
      <c r="I197" s="10" t="n">
        <v>2</v>
      </c>
      <c r="J197" s="10" t="n">
        <v>2</v>
      </c>
      <c r="K197" s="10" t="n">
        <v>4</v>
      </c>
      <c r="L197" s="10" t="n">
        <v>4</v>
      </c>
      <c r="M197" s="10" t="n">
        <v>0</v>
      </c>
      <c r="N197" s="10" t="n">
        <v>0</v>
      </c>
      <c r="O197" s="10" t="n">
        <v>0</v>
      </c>
      <c r="P197" s="10" t="n">
        <v>0</v>
      </c>
      <c r="Q197" s="9" t="s">
        <v>533</v>
      </c>
    </row>
    <row r="198" customFormat="false" ht="15" hidden="false" customHeight="false" outlineLevel="0" collapsed="false">
      <c r="A198" s="9" t="s">
        <v>459</v>
      </c>
      <c r="B198" s="9" t="s">
        <v>460</v>
      </c>
      <c r="C198" s="9" t="s">
        <v>114</v>
      </c>
      <c r="D198" s="9" t="s">
        <v>356</v>
      </c>
      <c r="E198" s="9" t="s">
        <v>235</v>
      </c>
      <c r="F198" s="9" t="s">
        <v>309</v>
      </c>
      <c r="G198" s="9" t="s">
        <v>531</v>
      </c>
      <c r="H198" s="9" t="s">
        <v>532</v>
      </c>
      <c r="I198" s="10" t="n">
        <v>2</v>
      </c>
      <c r="J198" s="10" t="n">
        <v>2</v>
      </c>
      <c r="K198" s="10" t="n">
        <v>4</v>
      </c>
      <c r="L198" s="10" t="n">
        <v>4</v>
      </c>
      <c r="M198" s="10" t="n">
        <v>0</v>
      </c>
      <c r="N198" s="10" t="n">
        <v>0</v>
      </c>
      <c r="O198" s="10" t="n">
        <v>0</v>
      </c>
      <c r="P198" s="10" t="n">
        <v>0</v>
      </c>
      <c r="Q198" s="9" t="s">
        <v>533</v>
      </c>
    </row>
    <row r="199" customFormat="false" ht="15" hidden="false" customHeight="false" outlineLevel="0" collapsed="false">
      <c r="A199" s="9" t="s">
        <v>463</v>
      </c>
      <c r="B199" s="9" t="s">
        <v>464</v>
      </c>
      <c r="C199" s="9" t="s">
        <v>121</v>
      </c>
      <c r="D199" s="9" t="s">
        <v>357</v>
      </c>
      <c r="E199" s="9" t="s">
        <v>241</v>
      </c>
      <c r="F199" s="9" t="s">
        <v>301</v>
      </c>
      <c r="G199" s="9" t="s">
        <v>531</v>
      </c>
      <c r="H199" s="9" t="s">
        <v>532</v>
      </c>
      <c r="I199" s="10" t="n">
        <v>2</v>
      </c>
      <c r="J199" s="10" t="n">
        <v>2</v>
      </c>
      <c r="K199" s="10" t="n">
        <v>4</v>
      </c>
      <c r="L199" s="10" t="n">
        <v>4</v>
      </c>
      <c r="M199" s="10" t="n">
        <v>0</v>
      </c>
      <c r="N199" s="10" t="n">
        <v>0</v>
      </c>
      <c r="O199" s="10" t="n">
        <v>0</v>
      </c>
      <c r="P199" s="10" t="n">
        <v>0</v>
      </c>
      <c r="Q199" s="9" t="s">
        <v>533</v>
      </c>
    </row>
    <row r="200" customFormat="false" ht="15" hidden="false" customHeight="false" outlineLevel="0" collapsed="false">
      <c r="A200" s="9" t="s">
        <v>463</v>
      </c>
      <c r="B200" s="9" t="s">
        <v>464</v>
      </c>
      <c r="C200" s="9" t="s">
        <v>121</v>
      </c>
      <c r="D200" s="9" t="s">
        <v>358</v>
      </c>
      <c r="E200" s="9" t="s">
        <v>241</v>
      </c>
      <c r="F200" s="9" t="s">
        <v>305</v>
      </c>
      <c r="G200" s="9" t="s">
        <v>531</v>
      </c>
      <c r="H200" s="9" t="s">
        <v>532</v>
      </c>
      <c r="I200" s="10" t="n">
        <v>2</v>
      </c>
      <c r="J200" s="10" t="n">
        <v>2</v>
      </c>
      <c r="K200" s="10" t="n">
        <v>4</v>
      </c>
      <c r="L200" s="10" t="n">
        <v>4</v>
      </c>
      <c r="M200" s="10" t="n">
        <v>0</v>
      </c>
      <c r="N200" s="10" t="n">
        <v>0</v>
      </c>
      <c r="O200" s="10" t="n">
        <v>0</v>
      </c>
      <c r="P200" s="10" t="n">
        <v>0</v>
      </c>
      <c r="Q200" s="9" t="s">
        <v>533</v>
      </c>
    </row>
    <row r="201" customFormat="false" ht="15" hidden="false" customHeight="false" outlineLevel="0" collapsed="false">
      <c r="A201" s="9" t="s">
        <v>463</v>
      </c>
      <c r="B201" s="9" t="s">
        <v>464</v>
      </c>
      <c r="C201" s="9" t="s">
        <v>121</v>
      </c>
      <c r="D201" s="9" t="s">
        <v>359</v>
      </c>
      <c r="E201" s="9" t="s">
        <v>241</v>
      </c>
      <c r="F201" s="9" t="s">
        <v>309</v>
      </c>
      <c r="G201" s="9" t="s">
        <v>531</v>
      </c>
      <c r="H201" s="9" t="s">
        <v>532</v>
      </c>
      <c r="I201" s="10" t="n">
        <v>2</v>
      </c>
      <c r="J201" s="10" t="n">
        <v>2</v>
      </c>
      <c r="K201" s="10" t="n">
        <v>4</v>
      </c>
      <c r="L201" s="10" t="n">
        <v>4</v>
      </c>
      <c r="M201" s="10" t="n">
        <v>0</v>
      </c>
      <c r="N201" s="10" t="n">
        <v>0</v>
      </c>
      <c r="O201" s="10" t="n">
        <v>0</v>
      </c>
      <c r="P201" s="10" t="n">
        <v>0</v>
      </c>
      <c r="Q201" s="9" t="s">
        <v>533</v>
      </c>
    </row>
    <row r="202" customFormat="false" ht="15" hidden="false" customHeight="false" outlineLevel="0" collapsed="false">
      <c r="A202" s="9" t="s">
        <v>463</v>
      </c>
      <c r="B202" s="9" t="s">
        <v>464</v>
      </c>
      <c r="C202" s="9" t="s">
        <v>121</v>
      </c>
      <c r="D202" s="9" t="s">
        <v>360</v>
      </c>
      <c r="E202" s="9" t="s">
        <v>247</v>
      </c>
      <c r="F202" s="9" t="s">
        <v>301</v>
      </c>
      <c r="G202" s="9" t="s">
        <v>531</v>
      </c>
      <c r="H202" s="9" t="s">
        <v>532</v>
      </c>
      <c r="I202" s="10" t="n">
        <v>2</v>
      </c>
      <c r="J202" s="10" t="n">
        <v>2</v>
      </c>
      <c r="K202" s="10" t="n">
        <v>4</v>
      </c>
      <c r="L202" s="10" t="n">
        <v>4</v>
      </c>
      <c r="M202" s="10" t="n">
        <v>0</v>
      </c>
      <c r="N202" s="10" t="n">
        <v>0</v>
      </c>
      <c r="O202" s="10" t="n">
        <v>0</v>
      </c>
      <c r="P202" s="10" t="n">
        <v>0</v>
      </c>
      <c r="Q202" s="9" t="s">
        <v>533</v>
      </c>
    </row>
    <row r="203" customFormat="false" ht="15" hidden="false" customHeight="false" outlineLevel="0" collapsed="false">
      <c r="A203" s="9" t="s">
        <v>463</v>
      </c>
      <c r="B203" s="9" t="s">
        <v>464</v>
      </c>
      <c r="C203" s="9" t="s">
        <v>121</v>
      </c>
      <c r="D203" s="9" t="s">
        <v>361</v>
      </c>
      <c r="E203" s="9" t="s">
        <v>247</v>
      </c>
      <c r="F203" s="9" t="s">
        <v>305</v>
      </c>
      <c r="G203" s="9" t="s">
        <v>531</v>
      </c>
      <c r="H203" s="9" t="s">
        <v>532</v>
      </c>
      <c r="I203" s="10" t="n">
        <v>2</v>
      </c>
      <c r="J203" s="10" t="n">
        <v>2</v>
      </c>
      <c r="K203" s="10" t="n">
        <v>4</v>
      </c>
      <c r="L203" s="10" t="n">
        <v>4</v>
      </c>
      <c r="M203" s="10" t="n">
        <v>0</v>
      </c>
      <c r="N203" s="10" t="n">
        <v>0</v>
      </c>
      <c r="O203" s="10" t="n">
        <v>0</v>
      </c>
      <c r="P203" s="10" t="n">
        <v>0</v>
      </c>
      <c r="Q203" s="9" t="s">
        <v>533</v>
      </c>
    </row>
    <row r="204" customFormat="false" ht="15" hidden="false" customHeight="false" outlineLevel="0" collapsed="false">
      <c r="A204" s="9" t="s">
        <v>463</v>
      </c>
      <c r="B204" s="9" t="s">
        <v>464</v>
      </c>
      <c r="C204" s="9" t="s">
        <v>121</v>
      </c>
      <c r="D204" s="9" t="s">
        <v>362</v>
      </c>
      <c r="E204" s="9" t="s">
        <v>247</v>
      </c>
      <c r="F204" s="9" t="s">
        <v>309</v>
      </c>
      <c r="G204" s="9" t="s">
        <v>531</v>
      </c>
      <c r="H204" s="9" t="s">
        <v>532</v>
      </c>
      <c r="I204" s="10" t="n">
        <v>2</v>
      </c>
      <c r="J204" s="10" t="n">
        <v>2</v>
      </c>
      <c r="K204" s="10" t="n">
        <v>4</v>
      </c>
      <c r="L204" s="10" t="n">
        <v>4</v>
      </c>
      <c r="M204" s="10" t="n">
        <v>0</v>
      </c>
      <c r="N204" s="10" t="n">
        <v>0</v>
      </c>
      <c r="O204" s="10" t="n">
        <v>0</v>
      </c>
      <c r="P204" s="10" t="n">
        <v>0</v>
      </c>
      <c r="Q204" s="9" t="s">
        <v>533</v>
      </c>
    </row>
    <row r="205" customFormat="false" ht="15" hidden="false" customHeight="false" outlineLevel="0" collapsed="false">
      <c r="A205" s="9" t="s">
        <v>463</v>
      </c>
      <c r="B205" s="9" t="s">
        <v>464</v>
      </c>
      <c r="C205" s="9" t="s">
        <v>121</v>
      </c>
      <c r="D205" s="9" t="s">
        <v>363</v>
      </c>
      <c r="E205" s="9" t="s">
        <v>253</v>
      </c>
      <c r="F205" s="9" t="s">
        <v>301</v>
      </c>
      <c r="G205" s="9" t="s">
        <v>531</v>
      </c>
      <c r="H205" s="9" t="s">
        <v>532</v>
      </c>
      <c r="I205" s="10" t="n">
        <v>2</v>
      </c>
      <c r="J205" s="10" t="n">
        <v>2</v>
      </c>
      <c r="K205" s="10" t="n">
        <v>4</v>
      </c>
      <c r="L205" s="10" t="n">
        <v>4</v>
      </c>
      <c r="M205" s="10" t="n">
        <v>0</v>
      </c>
      <c r="N205" s="10" t="n">
        <v>0</v>
      </c>
      <c r="O205" s="10" t="n">
        <v>0</v>
      </c>
      <c r="P205" s="10" t="n">
        <v>0</v>
      </c>
      <c r="Q205" s="9" t="s">
        <v>533</v>
      </c>
    </row>
    <row r="206" customFormat="false" ht="15" hidden="false" customHeight="false" outlineLevel="0" collapsed="false">
      <c r="A206" s="9" t="s">
        <v>463</v>
      </c>
      <c r="B206" s="9" t="s">
        <v>464</v>
      </c>
      <c r="C206" s="9" t="s">
        <v>121</v>
      </c>
      <c r="D206" s="9" t="s">
        <v>364</v>
      </c>
      <c r="E206" s="9" t="s">
        <v>253</v>
      </c>
      <c r="F206" s="9" t="s">
        <v>305</v>
      </c>
      <c r="G206" s="9" t="s">
        <v>531</v>
      </c>
      <c r="H206" s="9" t="s">
        <v>532</v>
      </c>
      <c r="I206" s="10" t="n">
        <v>2</v>
      </c>
      <c r="J206" s="10" t="n">
        <v>2</v>
      </c>
      <c r="K206" s="10" t="n">
        <v>4</v>
      </c>
      <c r="L206" s="10" t="n">
        <v>4</v>
      </c>
      <c r="M206" s="10" t="n">
        <v>0</v>
      </c>
      <c r="N206" s="10" t="n">
        <v>0</v>
      </c>
      <c r="O206" s="10" t="n">
        <v>0</v>
      </c>
      <c r="P206" s="10" t="n">
        <v>0</v>
      </c>
      <c r="Q206" s="9" t="s">
        <v>533</v>
      </c>
    </row>
    <row r="207" customFormat="false" ht="15" hidden="false" customHeight="false" outlineLevel="0" collapsed="false">
      <c r="A207" s="9" t="s">
        <v>463</v>
      </c>
      <c r="B207" s="9" t="s">
        <v>464</v>
      </c>
      <c r="C207" s="9" t="s">
        <v>121</v>
      </c>
      <c r="D207" s="9" t="s">
        <v>365</v>
      </c>
      <c r="E207" s="9" t="s">
        <v>253</v>
      </c>
      <c r="F207" s="9" t="s">
        <v>309</v>
      </c>
      <c r="G207" s="9" t="s">
        <v>531</v>
      </c>
      <c r="H207" s="9" t="s">
        <v>532</v>
      </c>
      <c r="I207" s="10" t="n">
        <v>2</v>
      </c>
      <c r="J207" s="10" t="n">
        <v>2</v>
      </c>
      <c r="K207" s="10" t="n">
        <v>4</v>
      </c>
      <c r="L207" s="10" t="n">
        <v>4</v>
      </c>
      <c r="M207" s="10" t="n">
        <v>0</v>
      </c>
      <c r="N207" s="10" t="n">
        <v>0</v>
      </c>
      <c r="O207" s="10" t="n">
        <v>0</v>
      </c>
      <c r="P207" s="10" t="n">
        <v>0</v>
      </c>
      <c r="Q207" s="9" t="s">
        <v>533</v>
      </c>
    </row>
    <row r="208" customFormat="false" ht="15" hidden="false" customHeight="false" outlineLevel="0" collapsed="false">
      <c r="A208" s="9" t="s">
        <v>463</v>
      </c>
      <c r="B208" s="9" t="s">
        <v>464</v>
      </c>
      <c r="C208" s="9" t="s">
        <v>121</v>
      </c>
      <c r="D208" s="9" t="s">
        <v>366</v>
      </c>
      <c r="E208" s="9" t="s">
        <v>259</v>
      </c>
      <c r="F208" s="9" t="s">
        <v>301</v>
      </c>
      <c r="G208" s="9" t="s">
        <v>531</v>
      </c>
      <c r="H208" s="9" t="s">
        <v>532</v>
      </c>
      <c r="I208" s="10" t="n">
        <v>2</v>
      </c>
      <c r="J208" s="10" t="n">
        <v>2</v>
      </c>
      <c r="K208" s="10" t="n">
        <v>4</v>
      </c>
      <c r="L208" s="10" t="n">
        <v>4</v>
      </c>
      <c r="M208" s="10" t="n">
        <v>0</v>
      </c>
      <c r="N208" s="10" t="n">
        <v>0</v>
      </c>
      <c r="O208" s="10" t="n">
        <v>0</v>
      </c>
      <c r="P208" s="10" t="n">
        <v>0</v>
      </c>
      <c r="Q208" s="9" t="s">
        <v>533</v>
      </c>
    </row>
    <row r="209" customFormat="false" ht="15" hidden="false" customHeight="false" outlineLevel="0" collapsed="false">
      <c r="A209" s="9" t="s">
        <v>463</v>
      </c>
      <c r="B209" s="9" t="s">
        <v>464</v>
      </c>
      <c r="C209" s="9" t="s">
        <v>121</v>
      </c>
      <c r="D209" s="9" t="s">
        <v>367</v>
      </c>
      <c r="E209" s="9" t="s">
        <v>259</v>
      </c>
      <c r="F209" s="9" t="s">
        <v>305</v>
      </c>
      <c r="G209" s="9" t="s">
        <v>531</v>
      </c>
      <c r="H209" s="9" t="s">
        <v>532</v>
      </c>
      <c r="I209" s="10" t="n">
        <v>2</v>
      </c>
      <c r="J209" s="10" t="n">
        <v>2</v>
      </c>
      <c r="K209" s="10" t="n">
        <v>4</v>
      </c>
      <c r="L209" s="10" t="n">
        <v>4</v>
      </c>
      <c r="M209" s="10" t="n">
        <v>0</v>
      </c>
      <c r="N209" s="10" t="n">
        <v>0</v>
      </c>
      <c r="O209" s="10" t="n">
        <v>0</v>
      </c>
      <c r="P209" s="10" t="n">
        <v>0</v>
      </c>
      <c r="Q209" s="9" t="s">
        <v>533</v>
      </c>
    </row>
    <row r="210" customFormat="false" ht="15" hidden="false" customHeight="false" outlineLevel="0" collapsed="false">
      <c r="A210" s="9" t="s">
        <v>463</v>
      </c>
      <c r="B210" s="9" t="s">
        <v>464</v>
      </c>
      <c r="C210" s="9" t="s">
        <v>121</v>
      </c>
      <c r="D210" s="9" t="s">
        <v>368</v>
      </c>
      <c r="E210" s="9" t="s">
        <v>259</v>
      </c>
      <c r="F210" s="9" t="s">
        <v>309</v>
      </c>
      <c r="G210" s="9" t="s">
        <v>531</v>
      </c>
      <c r="H210" s="9" t="s">
        <v>532</v>
      </c>
      <c r="I210" s="10" t="n">
        <v>2</v>
      </c>
      <c r="J210" s="10" t="n">
        <v>2</v>
      </c>
      <c r="K210" s="10" t="n">
        <v>4</v>
      </c>
      <c r="L210" s="10" t="n">
        <v>4</v>
      </c>
      <c r="M210" s="10" t="n">
        <v>0</v>
      </c>
      <c r="N210" s="10" t="n">
        <v>0</v>
      </c>
      <c r="O210" s="10" t="n">
        <v>0</v>
      </c>
      <c r="P210" s="10" t="n">
        <v>0</v>
      </c>
      <c r="Q210" s="9" t="s">
        <v>533</v>
      </c>
    </row>
    <row r="211" customFormat="false" ht="15" hidden="false" customHeight="false" outlineLevel="0" collapsed="false">
      <c r="A211" s="9" t="s">
        <v>467</v>
      </c>
      <c r="B211" s="9" t="s">
        <v>468</v>
      </c>
      <c r="C211" s="9" t="s">
        <v>121</v>
      </c>
      <c r="D211" s="9" t="s">
        <v>357</v>
      </c>
      <c r="E211" s="9" t="s">
        <v>241</v>
      </c>
      <c r="F211" s="9" t="s">
        <v>301</v>
      </c>
      <c r="G211" s="9" t="s">
        <v>531</v>
      </c>
      <c r="H211" s="9" t="s">
        <v>532</v>
      </c>
      <c r="I211" s="10" t="n">
        <v>2</v>
      </c>
      <c r="J211" s="10" t="n">
        <v>2</v>
      </c>
      <c r="K211" s="10" t="n">
        <v>4</v>
      </c>
      <c r="L211" s="10" t="n">
        <v>4</v>
      </c>
      <c r="M211" s="10" t="n">
        <v>0</v>
      </c>
      <c r="N211" s="10" t="n">
        <v>0</v>
      </c>
      <c r="O211" s="10" t="n">
        <v>0</v>
      </c>
      <c r="P211" s="10" t="n">
        <v>0</v>
      </c>
      <c r="Q211" s="9" t="s">
        <v>533</v>
      </c>
    </row>
    <row r="212" customFormat="false" ht="15" hidden="false" customHeight="false" outlineLevel="0" collapsed="false">
      <c r="A212" s="9" t="s">
        <v>467</v>
      </c>
      <c r="B212" s="9" t="s">
        <v>468</v>
      </c>
      <c r="C212" s="9" t="s">
        <v>121</v>
      </c>
      <c r="D212" s="9" t="s">
        <v>358</v>
      </c>
      <c r="E212" s="9" t="s">
        <v>241</v>
      </c>
      <c r="F212" s="9" t="s">
        <v>305</v>
      </c>
      <c r="G212" s="9" t="s">
        <v>531</v>
      </c>
      <c r="H212" s="9" t="s">
        <v>532</v>
      </c>
      <c r="I212" s="10" t="n">
        <v>2</v>
      </c>
      <c r="J212" s="10" t="n">
        <v>2</v>
      </c>
      <c r="K212" s="10" t="n">
        <v>4</v>
      </c>
      <c r="L212" s="10" t="n">
        <v>4</v>
      </c>
      <c r="M212" s="10" t="n">
        <v>0</v>
      </c>
      <c r="N212" s="10" t="n">
        <v>0</v>
      </c>
      <c r="O212" s="10" t="n">
        <v>0</v>
      </c>
      <c r="P212" s="10" t="n">
        <v>0</v>
      </c>
      <c r="Q212" s="9" t="s">
        <v>533</v>
      </c>
    </row>
    <row r="213" customFormat="false" ht="15" hidden="false" customHeight="false" outlineLevel="0" collapsed="false">
      <c r="A213" s="9" t="s">
        <v>467</v>
      </c>
      <c r="B213" s="9" t="s">
        <v>468</v>
      </c>
      <c r="C213" s="9" t="s">
        <v>121</v>
      </c>
      <c r="D213" s="9" t="s">
        <v>359</v>
      </c>
      <c r="E213" s="9" t="s">
        <v>241</v>
      </c>
      <c r="F213" s="9" t="s">
        <v>309</v>
      </c>
      <c r="G213" s="9" t="s">
        <v>531</v>
      </c>
      <c r="H213" s="9" t="s">
        <v>532</v>
      </c>
      <c r="I213" s="10" t="n">
        <v>2</v>
      </c>
      <c r="J213" s="10" t="n">
        <v>2</v>
      </c>
      <c r="K213" s="10" t="n">
        <v>4</v>
      </c>
      <c r="L213" s="10" t="n">
        <v>4</v>
      </c>
      <c r="M213" s="10" t="n">
        <v>0</v>
      </c>
      <c r="N213" s="10" t="n">
        <v>0</v>
      </c>
      <c r="O213" s="10" t="n">
        <v>0</v>
      </c>
      <c r="P213" s="10" t="n">
        <v>0</v>
      </c>
      <c r="Q213" s="9" t="s">
        <v>533</v>
      </c>
    </row>
    <row r="214" customFormat="false" ht="15" hidden="false" customHeight="false" outlineLevel="0" collapsed="false">
      <c r="A214" s="9" t="s">
        <v>467</v>
      </c>
      <c r="B214" s="9" t="s">
        <v>468</v>
      </c>
      <c r="C214" s="9" t="s">
        <v>121</v>
      </c>
      <c r="D214" s="9" t="s">
        <v>360</v>
      </c>
      <c r="E214" s="9" t="s">
        <v>247</v>
      </c>
      <c r="F214" s="9" t="s">
        <v>301</v>
      </c>
      <c r="G214" s="9" t="s">
        <v>531</v>
      </c>
      <c r="H214" s="9" t="s">
        <v>532</v>
      </c>
      <c r="I214" s="10" t="n">
        <v>2</v>
      </c>
      <c r="J214" s="10" t="n">
        <v>2</v>
      </c>
      <c r="K214" s="10" t="n">
        <v>4</v>
      </c>
      <c r="L214" s="10" t="n">
        <v>4</v>
      </c>
      <c r="M214" s="10" t="n">
        <v>0</v>
      </c>
      <c r="N214" s="10" t="n">
        <v>0</v>
      </c>
      <c r="O214" s="10" t="n">
        <v>0</v>
      </c>
      <c r="P214" s="10" t="n">
        <v>0</v>
      </c>
      <c r="Q214" s="9" t="s">
        <v>533</v>
      </c>
    </row>
    <row r="215" customFormat="false" ht="15" hidden="false" customHeight="false" outlineLevel="0" collapsed="false">
      <c r="A215" s="9" t="s">
        <v>467</v>
      </c>
      <c r="B215" s="9" t="s">
        <v>468</v>
      </c>
      <c r="C215" s="9" t="s">
        <v>121</v>
      </c>
      <c r="D215" s="9" t="s">
        <v>361</v>
      </c>
      <c r="E215" s="9" t="s">
        <v>247</v>
      </c>
      <c r="F215" s="9" t="s">
        <v>305</v>
      </c>
      <c r="G215" s="9" t="s">
        <v>531</v>
      </c>
      <c r="H215" s="9" t="s">
        <v>532</v>
      </c>
      <c r="I215" s="10" t="n">
        <v>2</v>
      </c>
      <c r="J215" s="10" t="n">
        <v>2</v>
      </c>
      <c r="K215" s="10" t="n">
        <v>4</v>
      </c>
      <c r="L215" s="10" t="n">
        <v>4</v>
      </c>
      <c r="M215" s="10" t="n">
        <v>0</v>
      </c>
      <c r="N215" s="10" t="n">
        <v>0</v>
      </c>
      <c r="O215" s="10" t="n">
        <v>0</v>
      </c>
      <c r="P215" s="10" t="n">
        <v>0</v>
      </c>
      <c r="Q215" s="9" t="s">
        <v>533</v>
      </c>
    </row>
    <row r="216" customFormat="false" ht="15" hidden="false" customHeight="false" outlineLevel="0" collapsed="false">
      <c r="A216" s="9" t="s">
        <v>467</v>
      </c>
      <c r="B216" s="9" t="s">
        <v>468</v>
      </c>
      <c r="C216" s="9" t="s">
        <v>121</v>
      </c>
      <c r="D216" s="9" t="s">
        <v>362</v>
      </c>
      <c r="E216" s="9" t="s">
        <v>247</v>
      </c>
      <c r="F216" s="9" t="s">
        <v>309</v>
      </c>
      <c r="G216" s="9" t="s">
        <v>531</v>
      </c>
      <c r="H216" s="9" t="s">
        <v>532</v>
      </c>
      <c r="I216" s="10" t="n">
        <v>2</v>
      </c>
      <c r="J216" s="10" t="n">
        <v>2</v>
      </c>
      <c r="K216" s="10" t="n">
        <v>4</v>
      </c>
      <c r="L216" s="10" t="n">
        <v>4</v>
      </c>
      <c r="M216" s="10" t="n">
        <v>0</v>
      </c>
      <c r="N216" s="10" t="n">
        <v>0</v>
      </c>
      <c r="O216" s="10" t="n">
        <v>0</v>
      </c>
      <c r="P216" s="10" t="n">
        <v>0</v>
      </c>
      <c r="Q216" s="9" t="s">
        <v>533</v>
      </c>
    </row>
    <row r="217" customFormat="false" ht="15" hidden="false" customHeight="false" outlineLevel="0" collapsed="false">
      <c r="A217" s="9" t="s">
        <v>467</v>
      </c>
      <c r="B217" s="9" t="s">
        <v>468</v>
      </c>
      <c r="C217" s="9" t="s">
        <v>121</v>
      </c>
      <c r="D217" s="9" t="s">
        <v>363</v>
      </c>
      <c r="E217" s="9" t="s">
        <v>253</v>
      </c>
      <c r="F217" s="9" t="s">
        <v>301</v>
      </c>
      <c r="G217" s="9" t="s">
        <v>531</v>
      </c>
      <c r="H217" s="9" t="s">
        <v>532</v>
      </c>
      <c r="I217" s="10" t="n">
        <v>2</v>
      </c>
      <c r="J217" s="10" t="n">
        <v>2</v>
      </c>
      <c r="K217" s="10" t="n">
        <v>4</v>
      </c>
      <c r="L217" s="10" t="n">
        <v>4</v>
      </c>
      <c r="M217" s="10" t="n">
        <v>0</v>
      </c>
      <c r="N217" s="10" t="n">
        <v>0</v>
      </c>
      <c r="O217" s="10" t="n">
        <v>0</v>
      </c>
      <c r="P217" s="10" t="n">
        <v>0</v>
      </c>
      <c r="Q217" s="9" t="s">
        <v>533</v>
      </c>
    </row>
    <row r="218" customFormat="false" ht="15" hidden="false" customHeight="false" outlineLevel="0" collapsed="false">
      <c r="A218" s="9" t="s">
        <v>467</v>
      </c>
      <c r="B218" s="9" t="s">
        <v>468</v>
      </c>
      <c r="C218" s="9" t="s">
        <v>121</v>
      </c>
      <c r="D218" s="9" t="s">
        <v>364</v>
      </c>
      <c r="E218" s="9" t="s">
        <v>253</v>
      </c>
      <c r="F218" s="9" t="s">
        <v>305</v>
      </c>
      <c r="G218" s="9" t="s">
        <v>531</v>
      </c>
      <c r="H218" s="9" t="s">
        <v>532</v>
      </c>
      <c r="I218" s="10" t="n">
        <v>2</v>
      </c>
      <c r="J218" s="10" t="n">
        <v>2</v>
      </c>
      <c r="K218" s="10" t="n">
        <v>4</v>
      </c>
      <c r="L218" s="10" t="n">
        <v>4</v>
      </c>
      <c r="M218" s="10" t="n">
        <v>0</v>
      </c>
      <c r="N218" s="10" t="n">
        <v>0</v>
      </c>
      <c r="O218" s="10" t="n">
        <v>0</v>
      </c>
      <c r="P218" s="10" t="n">
        <v>0</v>
      </c>
      <c r="Q218" s="9" t="s">
        <v>533</v>
      </c>
    </row>
    <row r="219" customFormat="false" ht="15" hidden="false" customHeight="false" outlineLevel="0" collapsed="false">
      <c r="A219" s="9" t="s">
        <v>467</v>
      </c>
      <c r="B219" s="9" t="s">
        <v>468</v>
      </c>
      <c r="C219" s="9" t="s">
        <v>121</v>
      </c>
      <c r="D219" s="9" t="s">
        <v>365</v>
      </c>
      <c r="E219" s="9" t="s">
        <v>253</v>
      </c>
      <c r="F219" s="9" t="s">
        <v>309</v>
      </c>
      <c r="G219" s="9" t="s">
        <v>531</v>
      </c>
      <c r="H219" s="9" t="s">
        <v>532</v>
      </c>
      <c r="I219" s="10" t="n">
        <v>2</v>
      </c>
      <c r="J219" s="10" t="n">
        <v>2</v>
      </c>
      <c r="K219" s="10" t="n">
        <v>4</v>
      </c>
      <c r="L219" s="10" t="n">
        <v>4</v>
      </c>
      <c r="M219" s="10" t="n">
        <v>0</v>
      </c>
      <c r="N219" s="10" t="n">
        <v>0</v>
      </c>
      <c r="O219" s="10" t="n">
        <v>0</v>
      </c>
      <c r="P219" s="10" t="n">
        <v>0</v>
      </c>
      <c r="Q219" s="9" t="s">
        <v>533</v>
      </c>
    </row>
    <row r="220" customFormat="false" ht="15" hidden="false" customHeight="false" outlineLevel="0" collapsed="false">
      <c r="A220" s="9" t="s">
        <v>467</v>
      </c>
      <c r="B220" s="9" t="s">
        <v>468</v>
      </c>
      <c r="C220" s="9" t="s">
        <v>121</v>
      </c>
      <c r="D220" s="9" t="s">
        <v>366</v>
      </c>
      <c r="E220" s="9" t="s">
        <v>259</v>
      </c>
      <c r="F220" s="9" t="s">
        <v>301</v>
      </c>
      <c r="G220" s="9" t="s">
        <v>531</v>
      </c>
      <c r="H220" s="9" t="s">
        <v>532</v>
      </c>
      <c r="I220" s="10" t="n">
        <v>2</v>
      </c>
      <c r="J220" s="10" t="n">
        <v>2</v>
      </c>
      <c r="K220" s="10" t="n">
        <v>4</v>
      </c>
      <c r="L220" s="10" t="n">
        <v>4</v>
      </c>
      <c r="M220" s="10" t="n">
        <v>0</v>
      </c>
      <c r="N220" s="10" t="n">
        <v>0</v>
      </c>
      <c r="O220" s="10" t="n">
        <v>0</v>
      </c>
      <c r="P220" s="10" t="n">
        <v>0</v>
      </c>
      <c r="Q220" s="9" t="s">
        <v>533</v>
      </c>
    </row>
    <row r="221" customFormat="false" ht="15" hidden="false" customHeight="false" outlineLevel="0" collapsed="false">
      <c r="A221" s="9" t="s">
        <v>467</v>
      </c>
      <c r="B221" s="9" t="s">
        <v>468</v>
      </c>
      <c r="C221" s="9" t="s">
        <v>121</v>
      </c>
      <c r="D221" s="9" t="s">
        <v>367</v>
      </c>
      <c r="E221" s="9" t="s">
        <v>259</v>
      </c>
      <c r="F221" s="9" t="s">
        <v>305</v>
      </c>
      <c r="G221" s="9" t="s">
        <v>531</v>
      </c>
      <c r="H221" s="9" t="s">
        <v>532</v>
      </c>
      <c r="I221" s="10" t="n">
        <v>2</v>
      </c>
      <c r="J221" s="10" t="n">
        <v>2</v>
      </c>
      <c r="K221" s="10" t="n">
        <v>4</v>
      </c>
      <c r="L221" s="10" t="n">
        <v>4</v>
      </c>
      <c r="M221" s="10" t="n">
        <v>0</v>
      </c>
      <c r="N221" s="10" t="n">
        <v>0</v>
      </c>
      <c r="O221" s="10" t="n">
        <v>0</v>
      </c>
      <c r="P221" s="10" t="n">
        <v>0</v>
      </c>
      <c r="Q221" s="9" t="s">
        <v>533</v>
      </c>
    </row>
    <row r="222" customFormat="false" ht="15" hidden="false" customHeight="false" outlineLevel="0" collapsed="false">
      <c r="A222" s="9" t="s">
        <v>467</v>
      </c>
      <c r="B222" s="9" t="s">
        <v>468</v>
      </c>
      <c r="C222" s="9" t="s">
        <v>121</v>
      </c>
      <c r="D222" s="9" t="s">
        <v>368</v>
      </c>
      <c r="E222" s="9" t="s">
        <v>259</v>
      </c>
      <c r="F222" s="9" t="s">
        <v>309</v>
      </c>
      <c r="G222" s="9" t="s">
        <v>531</v>
      </c>
      <c r="H222" s="9" t="s">
        <v>532</v>
      </c>
      <c r="I222" s="10" t="n">
        <v>2</v>
      </c>
      <c r="J222" s="10" t="n">
        <v>2</v>
      </c>
      <c r="K222" s="10" t="n">
        <v>4</v>
      </c>
      <c r="L222" s="10" t="n">
        <v>4</v>
      </c>
      <c r="M222" s="10" t="n">
        <v>0</v>
      </c>
      <c r="N222" s="10" t="n">
        <v>0</v>
      </c>
      <c r="O222" s="10" t="n">
        <v>0</v>
      </c>
      <c r="P222" s="10" t="n">
        <v>0</v>
      </c>
      <c r="Q222" s="9" t="s">
        <v>533</v>
      </c>
    </row>
    <row r="223" customFormat="false" ht="15" hidden="false" customHeight="false" outlineLevel="0" collapsed="false">
      <c r="A223" s="9" t="s">
        <v>471</v>
      </c>
      <c r="B223" s="9" t="s">
        <v>472</v>
      </c>
      <c r="C223" s="9" t="s">
        <v>121</v>
      </c>
      <c r="D223" s="9" t="s">
        <v>357</v>
      </c>
      <c r="E223" s="9" t="s">
        <v>241</v>
      </c>
      <c r="F223" s="9" t="s">
        <v>301</v>
      </c>
      <c r="G223" s="9" t="s">
        <v>531</v>
      </c>
      <c r="H223" s="9" t="s">
        <v>532</v>
      </c>
      <c r="I223" s="10" t="n">
        <v>2</v>
      </c>
      <c r="J223" s="10" t="n">
        <v>2</v>
      </c>
      <c r="K223" s="10" t="n">
        <v>4</v>
      </c>
      <c r="L223" s="10" t="n">
        <v>4</v>
      </c>
      <c r="M223" s="10" t="n">
        <v>0</v>
      </c>
      <c r="N223" s="10" t="n">
        <v>0</v>
      </c>
      <c r="O223" s="10" t="n">
        <v>0</v>
      </c>
      <c r="P223" s="10" t="n">
        <v>0</v>
      </c>
      <c r="Q223" s="9" t="s">
        <v>533</v>
      </c>
    </row>
    <row r="224" customFormat="false" ht="15" hidden="false" customHeight="false" outlineLevel="0" collapsed="false">
      <c r="A224" s="9" t="s">
        <v>471</v>
      </c>
      <c r="B224" s="9" t="s">
        <v>472</v>
      </c>
      <c r="C224" s="9" t="s">
        <v>121</v>
      </c>
      <c r="D224" s="9" t="s">
        <v>358</v>
      </c>
      <c r="E224" s="9" t="s">
        <v>241</v>
      </c>
      <c r="F224" s="9" t="s">
        <v>305</v>
      </c>
      <c r="G224" s="9" t="s">
        <v>531</v>
      </c>
      <c r="H224" s="9" t="s">
        <v>532</v>
      </c>
      <c r="I224" s="10" t="n">
        <v>2</v>
      </c>
      <c r="J224" s="10" t="n">
        <v>2</v>
      </c>
      <c r="K224" s="10" t="n">
        <v>4</v>
      </c>
      <c r="L224" s="10" t="n">
        <v>4</v>
      </c>
      <c r="M224" s="10" t="n">
        <v>0</v>
      </c>
      <c r="N224" s="10" t="n">
        <v>0</v>
      </c>
      <c r="O224" s="10" t="n">
        <v>0</v>
      </c>
      <c r="P224" s="10" t="n">
        <v>0</v>
      </c>
      <c r="Q224" s="9" t="s">
        <v>533</v>
      </c>
    </row>
    <row r="225" customFormat="false" ht="15" hidden="false" customHeight="false" outlineLevel="0" collapsed="false">
      <c r="A225" s="9" t="s">
        <v>471</v>
      </c>
      <c r="B225" s="9" t="s">
        <v>472</v>
      </c>
      <c r="C225" s="9" t="s">
        <v>121</v>
      </c>
      <c r="D225" s="9" t="s">
        <v>359</v>
      </c>
      <c r="E225" s="9" t="s">
        <v>241</v>
      </c>
      <c r="F225" s="9" t="s">
        <v>309</v>
      </c>
      <c r="G225" s="9" t="s">
        <v>531</v>
      </c>
      <c r="H225" s="9" t="s">
        <v>532</v>
      </c>
      <c r="I225" s="10" t="n">
        <v>2</v>
      </c>
      <c r="J225" s="10" t="n">
        <v>2</v>
      </c>
      <c r="K225" s="10" t="n">
        <v>4</v>
      </c>
      <c r="L225" s="10" t="n">
        <v>4</v>
      </c>
      <c r="M225" s="10" t="n">
        <v>0</v>
      </c>
      <c r="N225" s="10" t="n">
        <v>0</v>
      </c>
      <c r="O225" s="10" t="n">
        <v>0</v>
      </c>
      <c r="P225" s="10" t="n">
        <v>0</v>
      </c>
      <c r="Q225" s="9" t="s">
        <v>533</v>
      </c>
    </row>
    <row r="226" customFormat="false" ht="15" hidden="false" customHeight="false" outlineLevel="0" collapsed="false">
      <c r="A226" s="9" t="s">
        <v>471</v>
      </c>
      <c r="B226" s="9" t="s">
        <v>472</v>
      </c>
      <c r="C226" s="9" t="s">
        <v>121</v>
      </c>
      <c r="D226" s="9" t="s">
        <v>360</v>
      </c>
      <c r="E226" s="9" t="s">
        <v>247</v>
      </c>
      <c r="F226" s="9" t="s">
        <v>301</v>
      </c>
      <c r="G226" s="9" t="s">
        <v>531</v>
      </c>
      <c r="H226" s="9" t="s">
        <v>532</v>
      </c>
      <c r="I226" s="10" t="n">
        <v>2</v>
      </c>
      <c r="J226" s="10" t="n">
        <v>2</v>
      </c>
      <c r="K226" s="10" t="n">
        <v>4</v>
      </c>
      <c r="L226" s="10" t="n">
        <v>4</v>
      </c>
      <c r="M226" s="10" t="n">
        <v>0</v>
      </c>
      <c r="N226" s="10" t="n">
        <v>0</v>
      </c>
      <c r="O226" s="10" t="n">
        <v>0</v>
      </c>
      <c r="P226" s="10" t="n">
        <v>0</v>
      </c>
      <c r="Q226" s="9" t="s">
        <v>533</v>
      </c>
    </row>
    <row r="227" customFormat="false" ht="15" hidden="false" customHeight="false" outlineLevel="0" collapsed="false">
      <c r="A227" s="9" t="s">
        <v>471</v>
      </c>
      <c r="B227" s="9" t="s">
        <v>472</v>
      </c>
      <c r="C227" s="9" t="s">
        <v>121</v>
      </c>
      <c r="D227" s="9" t="s">
        <v>361</v>
      </c>
      <c r="E227" s="9" t="s">
        <v>247</v>
      </c>
      <c r="F227" s="9" t="s">
        <v>305</v>
      </c>
      <c r="G227" s="9" t="s">
        <v>531</v>
      </c>
      <c r="H227" s="9" t="s">
        <v>532</v>
      </c>
      <c r="I227" s="10" t="n">
        <v>2</v>
      </c>
      <c r="J227" s="10" t="n">
        <v>2</v>
      </c>
      <c r="K227" s="10" t="n">
        <v>4</v>
      </c>
      <c r="L227" s="10" t="n">
        <v>4</v>
      </c>
      <c r="M227" s="10" t="n">
        <v>0</v>
      </c>
      <c r="N227" s="10" t="n">
        <v>0</v>
      </c>
      <c r="O227" s="10" t="n">
        <v>0</v>
      </c>
      <c r="P227" s="10" t="n">
        <v>0</v>
      </c>
      <c r="Q227" s="9" t="s">
        <v>533</v>
      </c>
    </row>
    <row r="228" customFormat="false" ht="15" hidden="false" customHeight="false" outlineLevel="0" collapsed="false">
      <c r="A228" s="9" t="s">
        <v>471</v>
      </c>
      <c r="B228" s="9" t="s">
        <v>472</v>
      </c>
      <c r="C228" s="9" t="s">
        <v>121</v>
      </c>
      <c r="D228" s="9" t="s">
        <v>362</v>
      </c>
      <c r="E228" s="9" t="s">
        <v>247</v>
      </c>
      <c r="F228" s="9" t="s">
        <v>309</v>
      </c>
      <c r="G228" s="9" t="s">
        <v>531</v>
      </c>
      <c r="H228" s="9" t="s">
        <v>532</v>
      </c>
      <c r="I228" s="10" t="n">
        <v>2</v>
      </c>
      <c r="J228" s="10" t="n">
        <v>2</v>
      </c>
      <c r="K228" s="10" t="n">
        <v>4</v>
      </c>
      <c r="L228" s="10" t="n">
        <v>4</v>
      </c>
      <c r="M228" s="10" t="n">
        <v>0</v>
      </c>
      <c r="N228" s="10" t="n">
        <v>0</v>
      </c>
      <c r="O228" s="10" t="n">
        <v>0</v>
      </c>
      <c r="P228" s="10" t="n">
        <v>0</v>
      </c>
      <c r="Q228" s="9" t="s">
        <v>533</v>
      </c>
    </row>
    <row r="229" customFormat="false" ht="15" hidden="false" customHeight="false" outlineLevel="0" collapsed="false">
      <c r="A229" s="9" t="s">
        <v>471</v>
      </c>
      <c r="B229" s="9" t="s">
        <v>472</v>
      </c>
      <c r="C229" s="9" t="s">
        <v>121</v>
      </c>
      <c r="D229" s="9" t="s">
        <v>363</v>
      </c>
      <c r="E229" s="9" t="s">
        <v>253</v>
      </c>
      <c r="F229" s="9" t="s">
        <v>301</v>
      </c>
      <c r="G229" s="9" t="s">
        <v>531</v>
      </c>
      <c r="H229" s="9" t="s">
        <v>532</v>
      </c>
      <c r="I229" s="10" t="n">
        <v>2</v>
      </c>
      <c r="J229" s="10" t="n">
        <v>2</v>
      </c>
      <c r="K229" s="10" t="n">
        <v>4</v>
      </c>
      <c r="L229" s="10" t="n">
        <v>4</v>
      </c>
      <c r="M229" s="10" t="n">
        <v>0</v>
      </c>
      <c r="N229" s="10" t="n">
        <v>0</v>
      </c>
      <c r="O229" s="10" t="n">
        <v>0</v>
      </c>
      <c r="P229" s="10" t="n">
        <v>0</v>
      </c>
      <c r="Q229" s="9" t="s">
        <v>533</v>
      </c>
    </row>
    <row r="230" customFormat="false" ht="15" hidden="false" customHeight="false" outlineLevel="0" collapsed="false">
      <c r="A230" s="9" t="s">
        <v>471</v>
      </c>
      <c r="B230" s="9" t="s">
        <v>472</v>
      </c>
      <c r="C230" s="9" t="s">
        <v>121</v>
      </c>
      <c r="D230" s="9" t="s">
        <v>364</v>
      </c>
      <c r="E230" s="9" t="s">
        <v>253</v>
      </c>
      <c r="F230" s="9" t="s">
        <v>305</v>
      </c>
      <c r="G230" s="9" t="s">
        <v>531</v>
      </c>
      <c r="H230" s="9" t="s">
        <v>532</v>
      </c>
      <c r="I230" s="10" t="n">
        <v>2</v>
      </c>
      <c r="J230" s="10" t="n">
        <v>2</v>
      </c>
      <c r="K230" s="10" t="n">
        <v>4</v>
      </c>
      <c r="L230" s="10" t="n">
        <v>4</v>
      </c>
      <c r="M230" s="10" t="n">
        <v>0</v>
      </c>
      <c r="N230" s="10" t="n">
        <v>0</v>
      </c>
      <c r="O230" s="10" t="n">
        <v>0</v>
      </c>
      <c r="P230" s="10" t="n">
        <v>0</v>
      </c>
      <c r="Q230" s="9" t="s">
        <v>533</v>
      </c>
    </row>
    <row r="231" customFormat="false" ht="15" hidden="false" customHeight="false" outlineLevel="0" collapsed="false">
      <c r="A231" s="9" t="s">
        <v>471</v>
      </c>
      <c r="B231" s="9" t="s">
        <v>472</v>
      </c>
      <c r="C231" s="9" t="s">
        <v>121</v>
      </c>
      <c r="D231" s="9" t="s">
        <v>365</v>
      </c>
      <c r="E231" s="9" t="s">
        <v>253</v>
      </c>
      <c r="F231" s="9" t="s">
        <v>309</v>
      </c>
      <c r="G231" s="9" t="s">
        <v>531</v>
      </c>
      <c r="H231" s="9" t="s">
        <v>532</v>
      </c>
      <c r="I231" s="10" t="n">
        <v>2</v>
      </c>
      <c r="J231" s="10" t="n">
        <v>2</v>
      </c>
      <c r="K231" s="10" t="n">
        <v>4</v>
      </c>
      <c r="L231" s="10" t="n">
        <v>4</v>
      </c>
      <c r="M231" s="10" t="n">
        <v>0</v>
      </c>
      <c r="N231" s="10" t="n">
        <v>0</v>
      </c>
      <c r="O231" s="10" t="n">
        <v>0</v>
      </c>
      <c r="P231" s="10" t="n">
        <v>0</v>
      </c>
      <c r="Q231" s="9" t="s">
        <v>533</v>
      </c>
    </row>
    <row r="232" customFormat="false" ht="15" hidden="false" customHeight="false" outlineLevel="0" collapsed="false">
      <c r="A232" s="9" t="s">
        <v>471</v>
      </c>
      <c r="B232" s="9" t="s">
        <v>472</v>
      </c>
      <c r="C232" s="9" t="s">
        <v>121</v>
      </c>
      <c r="D232" s="9" t="s">
        <v>366</v>
      </c>
      <c r="E232" s="9" t="s">
        <v>259</v>
      </c>
      <c r="F232" s="9" t="s">
        <v>301</v>
      </c>
      <c r="G232" s="9" t="s">
        <v>531</v>
      </c>
      <c r="H232" s="9" t="s">
        <v>532</v>
      </c>
      <c r="I232" s="10" t="n">
        <v>2</v>
      </c>
      <c r="J232" s="10" t="n">
        <v>2</v>
      </c>
      <c r="K232" s="10" t="n">
        <v>4</v>
      </c>
      <c r="L232" s="10" t="n">
        <v>4</v>
      </c>
      <c r="M232" s="10" t="n">
        <v>0</v>
      </c>
      <c r="N232" s="10" t="n">
        <v>0</v>
      </c>
      <c r="O232" s="10" t="n">
        <v>0</v>
      </c>
      <c r="P232" s="10" t="n">
        <v>0</v>
      </c>
      <c r="Q232" s="9" t="s">
        <v>533</v>
      </c>
    </row>
    <row r="233" customFormat="false" ht="15" hidden="false" customHeight="false" outlineLevel="0" collapsed="false">
      <c r="A233" s="9" t="s">
        <v>471</v>
      </c>
      <c r="B233" s="9" t="s">
        <v>472</v>
      </c>
      <c r="C233" s="9" t="s">
        <v>121</v>
      </c>
      <c r="D233" s="9" t="s">
        <v>367</v>
      </c>
      <c r="E233" s="9" t="s">
        <v>259</v>
      </c>
      <c r="F233" s="9" t="s">
        <v>305</v>
      </c>
      <c r="G233" s="9" t="s">
        <v>531</v>
      </c>
      <c r="H233" s="9" t="s">
        <v>532</v>
      </c>
      <c r="I233" s="10" t="n">
        <v>2</v>
      </c>
      <c r="J233" s="10" t="n">
        <v>2</v>
      </c>
      <c r="K233" s="10" t="n">
        <v>4</v>
      </c>
      <c r="L233" s="10" t="n">
        <v>4</v>
      </c>
      <c r="M233" s="10" t="n">
        <v>0</v>
      </c>
      <c r="N233" s="10" t="n">
        <v>0</v>
      </c>
      <c r="O233" s="10" t="n">
        <v>0</v>
      </c>
      <c r="P233" s="10" t="n">
        <v>0</v>
      </c>
      <c r="Q233" s="9" t="s">
        <v>533</v>
      </c>
    </row>
    <row r="234" customFormat="false" ht="15" hidden="false" customHeight="false" outlineLevel="0" collapsed="false">
      <c r="A234" s="9" t="s">
        <v>471</v>
      </c>
      <c r="B234" s="9" t="s">
        <v>472</v>
      </c>
      <c r="C234" s="9" t="s">
        <v>121</v>
      </c>
      <c r="D234" s="9" t="s">
        <v>368</v>
      </c>
      <c r="E234" s="9" t="s">
        <v>259</v>
      </c>
      <c r="F234" s="9" t="s">
        <v>309</v>
      </c>
      <c r="G234" s="9" t="s">
        <v>531</v>
      </c>
      <c r="H234" s="9" t="s">
        <v>532</v>
      </c>
      <c r="I234" s="10" t="n">
        <v>2</v>
      </c>
      <c r="J234" s="10" t="n">
        <v>2</v>
      </c>
      <c r="K234" s="10" t="n">
        <v>4</v>
      </c>
      <c r="L234" s="10" t="n">
        <v>4</v>
      </c>
      <c r="M234" s="10" t="n">
        <v>0</v>
      </c>
      <c r="N234" s="10" t="n">
        <v>0</v>
      </c>
      <c r="O234" s="10" t="n">
        <v>0</v>
      </c>
      <c r="P234" s="10" t="n">
        <v>0</v>
      </c>
      <c r="Q234" s="9" t="s">
        <v>533</v>
      </c>
    </row>
    <row r="235" customFormat="false" ht="15" hidden="false" customHeight="false" outlineLevel="0" collapsed="false">
      <c r="A235" s="9" t="s">
        <v>475</v>
      </c>
      <c r="B235" s="9" t="s">
        <v>476</v>
      </c>
      <c r="C235" s="9" t="s">
        <v>121</v>
      </c>
      <c r="D235" s="9" t="s">
        <v>357</v>
      </c>
      <c r="E235" s="9" t="s">
        <v>241</v>
      </c>
      <c r="F235" s="9" t="s">
        <v>301</v>
      </c>
      <c r="G235" s="9" t="s">
        <v>531</v>
      </c>
      <c r="H235" s="9" t="s">
        <v>532</v>
      </c>
      <c r="I235" s="10" t="n">
        <v>2</v>
      </c>
      <c r="J235" s="10" t="n">
        <v>2</v>
      </c>
      <c r="K235" s="10" t="n">
        <v>4</v>
      </c>
      <c r="L235" s="10" t="n">
        <v>4</v>
      </c>
      <c r="M235" s="10" t="n">
        <v>0</v>
      </c>
      <c r="N235" s="10" t="n">
        <v>0</v>
      </c>
      <c r="O235" s="10" t="n">
        <v>0</v>
      </c>
      <c r="P235" s="10" t="n">
        <v>0</v>
      </c>
      <c r="Q235" s="9" t="s">
        <v>533</v>
      </c>
    </row>
    <row r="236" customFormat="false" ht="15" hidden="false" customHeight="false" outlineLevel="0" collapsed="false">
      <c r="A236" s="9" t="s">
        <v>475</v>
      </c>
      <c r="B236" s="9" t="s">
        <v>476</v>
      </c>
      <c r="C236" s="9" t="s">
        <v>121</v>
      </c>
      <c r="D236" s="9" t="s">
        <v>358</v>
      </c>
      <c r="E236" s="9" t="s">
        <v>241</v>
      </c>
      <c r="F236" s="9" t="s">
        <v>305</v>
      </c>
      <c r="G236" s="9" t="s">
        <v>531</v>
      </c>
      <c r="H236" s="9" t="s">
        <v>532</v>
      </c>
      <c r="I236" s="10" t="n">
        <v>2</v>
      </c>
      <c r="J236" s="10" t="n">
        <v>2</v>
      </c>
      <c r="K236" s="10" t="n">
        <v>4</v>
      </c>
      <c r="L236" s="10" t="n">
        <v>4</v>
      </c>
      <c r="M236" s="10" t="n">
        <v>0</v>
      </c>
      <c r="N236" s="10" t="n">
        <v>0</v>
      </c>
      <c r="O236" s="10" t="n">
        <v>0</v>
      </c>
      <c r="P236" s="10" t="n">
        <v>0</v>
      </c>
      <c r="Q236" s="9" t="s">
        <v>533</v>
      </c>
    </row>
    <row r="237" customFormat="false" ht="15" hidden="false" customHeight="false" outlineLevel="0" collapsed="false">
      <c r="A237" s="9" t="s">
        <v>475</v>
      </c>
      <c r="B237" s="9" t="s">
        <v>476</v>
      </c>
      <c r="C237" s="9" t="s">
        <v>121</v>
      </c>
      <c r="D237" s="9" t="s">
        <v>359</v>
      </c>
      <c r="E237" s="9" t="s">
        <v>241</v>
      </c>
      <c r="F237" s="9" t="s">
        <v>309</v>
      </c>
      <c r="G237" s="9" t="s">
        <v>531</v>
      </c>
      <c r="H237" s="9" t="s">
        <v>532</v>
      </c>
      <c r="I237" s="10" t="n">
        <v>2</v>
      </c>
      <c r="J237" s="10" t="n">
        <v>2</v>
      </c>
      <c r="K237" s="10" t="n">
        <v>4</v>
      </c>
      <c r="L237" s="10" t="n">
        <v>4</v>
      </c>
      <c r="M237" s="10" t="n">
        <v>0</v>
      </c>
      <c r="N237" s="10" t="n">
        <v>0</v>
      </c>
      <c r="O237" s="10" t="n">
        <v>0</v>
      </c>
      <c r="P237" s="10" t="n">
        <v>0</v>
      </c>
      <c r="Q237" s="9" t="s">
        <v>533</v>
      </c>
    </row>
    <row r="238" customFormat="false" ht="15" hidden="false" customHeight="false" outlineLevel="0" collapsed="false">
      <c r="A238" s="9" t="s">
        <v>475</v>
      </c>
      <c r="B238" s="9" t="s">
        <v>476</v>
      </c>
      <c r="C238" s="9" t="s">
        <v>121</v>
      </c>
      <c r="D238" s="9" t="s">
        <v>360</v>
      </c>
      <c r="E238" s="9" t="s">
        <v>247</v>
      </c>
      <c r="F238" s="9" t="s">
        <v>301</v>
      </c>
      <c r="G238" s="9" t="s">
        <v>531</v>
      </c>
      <c r="H238" s="9" t="s">
        <v>532</v>
      </c>
      <c r="I238" s="10" t="n">
        <v>2</v>
      </c>
      <c r="J238" s="10" t="n">
        <v>2</v>
      </c>
      <c r="K238" s="10" t="n">
        <v>4</v>
      </c>
      <c r="L238" s="10" t="n">
        <v>4</v>
      </c>
      <c r="M238" s="10" t="n">
        <v>0</v>
      </c>
      <c r="N238" s="10" t="n">
        <v>0</v>
      </c>
      <c r="O238" s="10" t="n">
        <v>0</v>
      </c>
      <c r="P238" s="10" t="n">
        <v>0</v>
      </c>
      <c r="Q238" s="9" t="s">
        <v>533</v>
      </c>
    </row>
    <row r="239" customFormat="false" ht="15" hidden="false" customHeight="false" outlineLevel="0" collapsed="false">
      <c r="A239" s="9" t="s">
        <v>475</v>
      </c>
      <c r="B239" s="9" t="s">
        <v>476</v>
      </c>
      <c r="C239" s="9" t="s">
        <v>121</v>
      </c>
      <c r="D239" s="9" t="s">
        <v>361</v>
      </c>
      <c r="E239" s="9" t="s">
        <v>247</v>
      </c>
      <c r="F239" s="9" t="s">
        <v>305</v>
      </c>
      <c r="G239" s="9" t="s">
        <v>531</v>
      </c>
      <c r="H239" s="9" t="s">
        <v>532</v>
      </c>
      <c r="I239" s="10" t="n">
        <v>2</v>
      </c>
      <c r="J239" s="10" t="n">
        <v>2</v>
      </c>
      <c r="K239" s="10" t="n">
        <v>4</v>
      </c>
      <c r="L239" s="10" t="n">
        <v>4</v>
      </c>
      <c r="M239" s="10" t="n">
        <v>0</v>
      </c>
      <c r="N239" s="10" t="n">
        <v>0</v>
      </c>
      <c r="O239" s="10" t="n">
        <v>0</v>
      </c>
      <c r="P239" s="10" t="n">
        <v>0</v>
      </c>
      <c r="Q239" s="9" t="s">
        <v>533</v>
      </c>
    </row>
    <row r="240" customFormat="false" ht="15" hidden="false" customHeight="false" outlineLevel="0" collapsed="false">
      <c r="A240" s="9" t="s">
        <v>475</v>
      </c>
      <c r="B240" s="9" t="s">
        <v>476</v>
      </c>
      <c r="C240" s="9" t="s">
        <v>121</v>
      </c>
      <c r="D240" s="9" t="s">
        <v>362</v>
      </c>
      <c r="E240" s="9" t="s">
        <v>247</v>
      </c>
      <c r="F240" s="9" t="s">
        <v>309</v>
      </c>
      <c r="G240" s="9" t="s">
        <v>531</v>
      </c>
      <c r="H240" s="9" t="s">
        <v>532</v>
      </c>
      <c r="I240" s="10" t="n">
        <v>2</v>
      </c>
      <c r="J240" s="10" t="n">
        <v>2</v>
      </c>
      <c r="K240" s="10" t="n">
        <v>4</v>
      </c>
      <c r="L240" s="10" t="n">
        <v>4</v>
      </c>
      <c r="M240" s="10" t="n">
        <v>0</v>
      </c>
      <c r="N240" s="10" t="n">
        <v>0</v>
      </c>
      <c r="O240" s="10" t="n">
        <v>0</v>
      </c>
      <c r="P240" s="10" t="n">
        <v>0</v>
      </c>
      <c r="Q240" s="9" t="s">
        <v>533</v>
      </c>
    </row>
    <row r="241" customFormat="false" ht="15" hidden="false" customHeight="false" outlineLevel="0" collapsed="false">
      <c r="A241" s="9" t="s">
        <v>475</v>
      </c>
      <c r="B241" s="9" t="s">
        <v>476</v>
      </c>
      <c r="C241" s="9" t="s">
        <v>121</v>
      </c>
      <c r="D241" s="9" t="s">
        <v>363</v>
      </c>
      <c r="E241" s="9" t="s">
        <v>253</v>
      </c>
      <c r="F241" s="9" t="s">
        <v>301</v>
      </c>
      <c r="G241" s="9" t="s">
        <v>531</v>
      </c>
      <c r="H241" s="9" t="s">
        <v>532</v>
      </c>
      <c r="I241" s="10" t="n">
        <v>2</v>
      </c>
      <c r="J241" s="10" t="n">
        <v>2</v>
      </c>
      <c r="K241" s="10" t="n">
        <v>4</v>
      </c>
      <c r="L241" s="10" t="n">
        <v>4</v>
      </c>
      <c r="M241" s="10" t="n">
        <v>0</v>
      </c>
      <c r="N241" s="10" t="n">
        <v>0</v>
      </c>
      <c r="O241" s="10" t="n">
        <v>0</v>
      </c>
      <c r="P241" s="10" t="n">
        <v>0</v>
      </c>
      <c r="Q241" s="9" t="s">
        <v>533</v>
      </c>
    </row>
    <row r="242" customFormat="false" ht="15" hidden="false" customHeight="false" outlineLevel="0" collapsed="false">
      <c r="A242" s="9" t="s">
        <v>475</v>
      </c>
      <c r="B242" s="9" t="s">
        <v>476</v>
      </c>
      <c r="C242" s="9" t="s">
        <v>121</v>
      </c>
      <c r="D242" s="9" t="s">
        <v>364</v>
      </c>
      <c r="E242" s="9" t="s">
        <v>253</v>
      </c>
      <c r="F242" s="9" t="s">
        <v>305</v>
      </c>
      <c r="G242" s="9" t="s">
        <v>531</v>
      </c>
      <c r="H242" s="9" t="s">
        <v>532</v>
      </c>
      <c r="I242" s="10" t="n">
        <v>2</v>
      </c>
      <c r="J242" s="10" t="n">
        <v>2</v>
      </c>
      <c r="K242" s="10" t="n">
        <v>4</v>
      </c>
      <c r="L242" s="10" t="n">
        <v>4</v>
      </c>
      <c r="M242" s="10" t="n">
        <v>0</v>
      </c>
      <c r="N242" s="10" t="n">
        <v>0</v>
      </c>
      <c r="O242" s="10" t="n">
        <v>0</v>
      </c>
      <c r="P242" s="10" t="n">
        <v>0</v>
      </c>
      <c r="Q242" s="9" t="s">
        <v>533</v>
      </c>
    </row>
    <row r="243" customFormat="false" ht="15" hidden="false" customHeight="false" outlineLevel="0" collapsed="false">
      <c r="A243" s="9" t="s">
        <v>475</v>
      </c>
      <c r="B243" s="9" t="s">
        <v>476</v>
      </c>
      <c r="C243" s="9" t="s">
        <v>121</v>
      </c>
      <c r="D243" s="9" t="s">
        <v>365</v>
      </c>
      <c r="E243" s="9" t="s">
        <v>253</v>
      </c>
      <c r="F243" s="9" t="s">
        <v>309</v>
      </c>
      <c r="G243" s="9" t="s">
        <v>531</v>
      </c>
      <c r="H243" s="9" t="s">
        <v>532</v>
      </c>
      <c r="I243" s="10" t="n">
        <v>2</v>
      </c>
      <c r="J243" s="10" t="n">
        <v>2</v>
      </c>
      <c r="K243" s="10" t="n">
        <v>4</v>
      </c>
      <c r="L243" s="10" t="n">
        <v>4</v>
      </c>
      <c r="M243" s="10" t="n">
        <v>0</v>
      </c>
      <c r="N243" s="10" t="n">
        <v>0</v>
      </c>
      <c r="O243" s="10" t="n">
        <v>0</v>
      </c>
      <c r="P243" s="10" t="n">
        <v>0</v>
      </c>
      <c r="Q243" s="9" t="s">
        <v>533</v>
      </c>
    </row>
    <row r="244" customFormat="false" ht="15" hidden="false" customHeight="false" outlineLevel="0" collapsed="false">
      <c r="A244" s="9" t="s">
        <v>475</v>
      </c>
      <c r="B244" s="9" t="s">
        <v>476</v>
      </c>
      <c r="C244" s="9" t="s">
        <v>121</v>
      </c>
      <c r="D244" s="9" t="s">
        <v>366</v>
      </c>
      <c r="E244" s="9" t="s">
        <v>259</v>
      </c>
      <c r="F244" s="9" t="s">
        <v>301</v>
      </c>
      <c r="G244" s="9" t="s">
        <v>531</v>
      </c>
      <c r="H244" s="9" t="s">
        <v>532</v>
      </c>
      <c r="I244" s="10" t="n">
        <v>2</v>
      </c>
      <c r="J244" s="10" t="n">
        <v>2</v>
      </c>
      <c r="K244" s="10" t="n">
        <v>4</v>
      </c>
      <c r="L244" s="10" t="n">
        <v>4</v>
      </c>
      <c r="M244" s="10" t="n">
        <v>0</v>
      </c>
      <c r="N244" s="10" t="n">
        <v>0</v>
      </c>
      <c r="O244" s="10" t="n">
        <v>0</v>
      </c>
      <c r="P244" s="10" t="n">
        <v>0</v>
      </c>
      <c r="Q244" s="9" t="s">
        <v>533</v>
      </c>
    </row>
    <row r="245" customFormat="false" ht="15" hidden="false" customHeight="false" outlineLevel="0" collapsed="false">
      <c r="A245" s="9" t="s">
        <v>475</v>
      </c>
      <c r="B245" s="9" t="s">
        <v>476</v>
      </c>
      <c r="C245" s="9" t="s">
        <v>121</v>
      </c>
      <c r="D245" s="9" t="s">
        <v>367</v>
      </c>
      <c r="E245" s="9" t="s">
        <v>259</v>
      </c>
      <c r="F245" s="9" t="s">
        <v>305</v>
      </c>
      <c r="G245" s="9" t="s">
        <v>531</v>
      </c>
      <c r="H245" s="9" t="s">
        <v>532</v>
      </c>
      <c r="I245" s="10" t="n">
        <v>2</v>
      </c>
      <c r="J245" s="10" t="n">
        <v>2</v>
      </c>
      <c r="K245" s="10" t="n">
        <v>4</v>
      </c>
      <c r="L245" s="10" t="n">
        <v>4</v>
      </c>
      <c r="M245" s="10" t="n">
        <v>0</v>
      </c>
      <c r="N245" s="10" t="n">
        <v>0</v>
      </c>
      <c r="O245" s="10" t="n">
        <v>0</v>
      </c>
      <c r="P245" s="10" t="n">
        <v>0</v>
      </c>
      <c r="Q245" s="9" t="s">
        <v>533</v>
      </c>
    </row>
    <row r="246" customFormat="false" ht="15" hidden="false" customHeight="false" outlineLevel="0" collapsed="false">
      <c r="A246" s="9" t="s">
        <v>475</v>
      </c>
      <c r="B246" s="9" t="s">
        <v>476</v>
      </c>
      <c r="C246" s="9" t="s">
        <v>121</v>
      </c>
      <c r="D246" s="9" t="s">
        <v>368</v>
      </c>
      <c r="E246" s="9" t="s">
        <v>259</v>
      </c>
      <c r="F246" s="9" t="s">
        <v>309</v>
      </c>
      <c r="G246" s="9" t="s">
        <v>531</v>
      </c>
      <c r="H246" s="9" t="s">
        <v>532</v>
      </c>
      <c r="I246" s="10" t="n">
        <v>2</v>
      </c>
      <c r="J246" s="10" t="n">
        <v>2</v>
      </c>
      <c r="K246" s="10" t="n">
        <v>4</v>
      </c>
      <c r="L246" s="10" t="n">
        <v>4</v>
      </c>
      <c r="M246" s="10" t="n">
        <v>0</v>
      </c>
      <c r="N246" s="10" t="n">
        <v>0</v>
      </c>
      <c r="O246" s="10" t="n">
        <v>0</v>
      </c>
      <c r="P246" s="10" t="n">
        <v>0</v>
      </c>
      <c r="Q246" s="9" t="s">
        <v>533</v>
      </c>
    </row>
    <row r="247" customFormat="false" ht="15" hidden="false" customHeight="false" outlineLevel="0" collapsed="false">
      <c r="A247" s="9" t="s">
        <v>479</v>
      </c>
      <c r="B247" s="9" t="s">
        <v>480</v>
      </c>
      <c r="C247" s="9" t="s">
        <v>128</v>
      </c>
      <c r="D247" s="9" t="s">
        <v>369</v>
      </c>
      <c r="E247" s="9" t="s">
        <v>265</v>
      </c>
      <c r="F247" s="9" t="s">
        <v>301</v>
      </c>
      <c r="G247" s="9" t="s">
        <v>531</v>
      </c>
      <c r="H247" s="9" t="s">
        <v>532</v>
      </c>
      <c r="I247" s="10" t="n">
        <v>2</v>
      </c>
      <c r="J247" s="10" t="n">
        <v>2</v>
      </c>
      <c r="K247" s="10" t="n">
        <v>4</v>
      </c>
      <c r="L247" s="10" t="n">
        <v>4</v>
      </c>
      <c r="M247" s="10" t="n">
        <v>0</v>
      </c>
      <c r="N247" s="10" t="n">
        <v>0</v>
      </c>
      <c r="O247" s="10" t="n">
        <v>0</v>
      </c>
      <c r="P247" s="10" t="n">
        <v>0</v>
      </c>
      <c r="Q247" s="9" t="s">
        <v>533</v>
      </c>
    </row>
    <row r="248" customFormat="false" ht="15" hidden="false" customHeight="false" outlineLevel="0" collapsed="false">
      <c r="A248" s="9" t="s">
        <v>479</v>
      </c>
      <c r="B248" s="9" t="s">
        <v>480</v>
      </c>
      <c r="C248" s="9" t="s">
        <v>128</v>
      </c>
      <c r="D248" s="9" t="s">
        <v>370</v>
      </c>
      <c r="E248" s="9" t="s">
        <v>265</v>
      </c>
      <c r="F248" s="9" t="s">
        <v>305</v>
      </c>
      <c r="G248" s="9" t="s">
        <v>531</v>
      </c>
      <c r="H248" s="9" t="s">
        <v>532</v>
      </c>
      <c r="I248" s="10" t="n">
        <v>2</v>
      </c>
      <c r="J248" s="10" t="n">
        <v>2</v>
      </c>
      <c r="K248" s="10" t="n">
        <v>4</v>
      </c>
      <c r="L248" s="10" t="n">
        <v>4</v>
      </c>
      <c r="M248" s="10" t="n">
        <v>0</v>
      </c>
      <c r="N248" s="10" t="n">
        <v>0</v>
      </c>
      <c r="O248" s="10" t="n">
        <v>0</v>
      </c>
      <c r="P248" s="10" t="n">
        <v>0</v>
      </c>
      <c r="Q248" s="9" t="s">
        <v>533</v>
      </c>
    </row>
    <row r="249" customFormat="false" ht="15" hidden="false" customHeight="false" outlineLevel="0" collapsed="false">
      <c r="A249" s="9" t="s">
        <v>479</v>
      </c>
      <c r="B249" s="9" t="s">
        <v>480</v>
      </c>
      <c r="C249" s="9" t="s">
        <v>128</v>
      </c>
      <c r="D249" s="9" t="s">
        <v>371</v>
      </c>
      <c r="E249" s="9" t="s">
        <v>265</v>
      </c>
      <c r="F249" s="9" t="s">
        <v>309</v>
      </c>
      <c r="G249" s="9" t="s">
        <v>531</v>
      </c>
      <c r="H249" s="9" t="s">
        <v>532</v>
      </c>
      <c r="I249" s="10" t="n">
        <v>2</v>
      </c>
      <c r="J249" s="10" t="n">
        <v>2</v>
      </c>
      <c r="K249" s="10" t="n">
        <v>4</v>
      </c>
      <c r="L249" s="10" t="n">
        <v>4</v>
      </c>
      <c r="M249" s="10" t="n">
        <v>0</v>
      </c>
      <c r="N249" s="10" t="n">
        <v>0</v>
      </c>
      <c r="O249" s="10" t="n">
        <v>0</v>
      </c>
      <c r="P249" s="10" t="n">
        <v>0</v>
      </c>
      <c r="Q249" s="9" t="s">
        <v>533</v>
      </c>
    </row>
    <row r="250" customFormat="false" ht="15" hidden="false" customHeight="false" outlineLevel="0" collapsed="false">
      <c r="A250" s="9" t="s">
        <v>479</v>
      </c>
      <c r="B250" s="9" t="s">
        <v>480</v>
      </c>
      <c r="C250" s="9" t="s">
        <v>128</v>
      </c>
      <c r="D250" s="9" t="s">
        <v>372</v>
      </c>
      <c r="E250" s="9" t="s">
        <v>271</v>
      </c>
      <c r="F250" s="9" t="s">
        <v>301</v>
      </c>
      <c r="G250" s="9" t="s">
        <v>531</v>
      </c>
      <c r="H250" s="9" t="s">
        <v>532</v>
      </c>
      <c r="I250" s="10" t="n">
        <v>2</v>
      </c>
      <c r="J250" s="10" t="n">
        <v>2</v>
      </c>
      <c r="K250" s="10" t="n">
        <v>4</v>
      </c>
      <c r="L250" s="10" t="n">
        <v>4</v>
      </c>
      <c r="M250" s="10" t="n">
        <v>0</v>
      </c>
      <c r="N250" s="10" t="n">
        <v>0</v>
      </c>
      <c r="O250" s="10" t="n">
        <v>0</v>
      </c>
      <c r="P250" s="10" t="n">
        <v>0</v>
      </c>
      <c r="Q250" s="9" t="s">
        <v>533</v>
      </c>
    </row>
    <row r="251" customFormat="false" ht="15" hidden="false" customHeight="false" outlineLevel="0" collapsed="false">
      <c r="A251" s="9" t="s">
        <v>479</v>
      </c>
      <c r="B251" s="9" t="s">
        <v>480</v>
      </c>
      <c r="C251" s="9" t="s">
        <v>128</v>
      </c>
      <c r="D251" s="9" t="s">
        <v>373</v>
      </c>
      <c r="E251" s="9" t="s">
        <v>271</v>
      </c>
      <c r="F251" s="9" t="s">
        <v>305</v>
      </c>
      <c r="G251" s="9" t="s">
        <v>531</v>
      </c>
      <c r="H251" s="9" t="s">
        <v>532</v>
      </c>
      <c r="I251" s="10" t="n">
        <v>2</v>
      </c>
      <c r="J251" s="10" t="n">
        <v>2</v>
      </c>
      <c r="K251" s="10" t="n">
        <v>4</v>
      </c>
      <c r="L251" s="10" t="n">
        <v>4</v>
      </c>
      <c r="M251" s="10" t="n">
        <v>0</v>
      </c>
      <c r="N251" s="10" t="n">
        <v>0</v>
      </c>
      <c r="O251" s="10" t="n">
        <v>0</v>
      </c>
      <c r="P251" s="10" t="n">
        <v>0</v>
      </c>
      <c r="Q251" s="9" t="s">
        <v>533</v>
      </c>
    </row>
    <row r="252" customFormat="false" ht="15" hidden="false" customHeight="false" outlineLevel="0" collapsed="false">
      <c r="A252" s="9" t="s">
        <v>479</v>
      </c>
      <c r="B252" s="9" t="s">
        <v>480</v>
      </c>
      <c r="C252" s="9" t="s">
        <v>128</v>
      </c>
      <c r="D252" s="9" t="s">
        <v>374</v>
      </c>
      <c r="E252" s="9" t="s">
        <v>271</v>
      </c>
      <c r="F252" s="9" t="s">
        <v>309</v>
      </c>
      <c r="G252" s="9" t="s">
        <v>531</v>
      </c>
      <c r="H252" s="9" t="s">
        <v>532</v>
      </c>
      <c r="I252" s="10" t="n">
        <v>2</v>
      </c>
      <c r="J252" s="10" t="n">
        <v>2</v>
      </c>
      <c r="K252" s="10" t="n">
        <v>4</v>
      </c>
      <c r="L252" s="10" t="n">
        <v>4</v>
      </c>
      <c r="M252" s="10" t="n">
        <v>0</v>
      </c>
      <c r="N252" s="10" t="n">
        <v>0</v>
      </c>
      <c r="O252" s="10" t="n">
        <v>0</v>
      </c>
      <c r="P252" s="10" t="n">
        <v>0</v>
      </c>
      <c r="Q252" s="9" t="s">
        <v>533</v>
      </c>
    </row>
    <row r="253" customFormat="false" ht="15" hidden="false" customHeight="false" outlineLevel="0" collapsed="false">
      <c r="A253" s="9" t="s">
        <v>479</v>
      </c>
      <c r="B253" s="9" t="s">
        <v>480</v>
      </c>
      <c r="C253" s="9" t="s">
        <v>128</v>
      </c>
      <c r="D253" s="9" t="s">
        <v>375</v>
      </c>
      <c r="E253" s="9" t="s">
        <v>277</v>
      </c>
      <c r="F253" s="9" t="s">
        <v>301</v>
      </c>
      <c r="G253" s="9" t="s">
        <v>531</v>
      </c>
      <c r="H253" s="9" t="s">
        <v>532</v>
      </c>
      <c r="I253" s="10" t="n">
        <v>2</v>
      </c>
      <c r="J253" s="10" t="n">
        <v>2</v>
      </c>
      <c r="K253" s="10" t="n">
        <v>4</v>
      </c>
      <c r="L253" s="10" t="n">
        <v>4</v>
      </c>
      <c r="M253" s="10" t="n">
        <v>0</v>
      </c>
      <c r="N253" s="10" t="n">
        <v>0</v>
      </c>
      <c r="O253" s="10" t="n">
        <v>0</v>
      </c>
      <c r="P253" s="10" t="n">
        <v>0</v>
      </c>
      <c r="Q253" s="9" t="s">
        <v>533</v>
      </c>
    </row>
    <row r="254" customFormat="false" ht="15" hidden="false" customHeight="false" outlineLevel="0" collapsed="false">
      <c r="A254" s="9" t="s">
        <v>479</v>
      </c>
      <c r="B254" s="9" t="s">
        <v>480</v>
      </c>
      <c r="C254" s="9" t="s">
        <v>128</v>
      </c>
      <c r="D254" s="9" t="s">
        <v>376</v>
      </c>
      <c r="E254" s="9" t="s">
        <v>277</v>
      </c>
      <c r="F254" s="9" t="s">
        <v>305</v>
      </c>
      <c r="G254" s="9" t="s">
        <v>531</v>
      </c>
      <c r="H254" s="9" t="s">
        <v>532</v>
      </c>
      <c r="I254" s="10" t="n">
        <v>2</v>
      </c>
      <c r="J254" s="10" t="n">
        <v>2</v>
      </c>
      <c r="K254" s="10" t="n">
        <v>4</v>
      </c>
      <c r="L254" s="10" t="n">
        <v>4</v>
      </c>
      <c r="M254" s="10" t="n">
        <v>0</v>
      </c>
      <c r="N254" s="10" t="n">
        <v>0</v>
      </c>
      <c r="O254" s="10" t="n">
        <v>0</v>
      </c>
      <c r="P254" s="10" t="n">
        <v>0</v>
      </c>
      <c r="Q254" s="9" t="s">
        <v>533</v>
      </c>
    </row>
    <row r="255" customFormat="false" ht="15" hidden="false" customHeight="false" outlineLevel="0" collapsed="false">
      <c r="A255" s="9" t="s">
        <v>479</v>
      </c>
      <c r="B255" s="9" t="s">
        <v>480</v>
      </c>
      <c r="C255" s="9" t="s">
        <v>128</v>
      </c>
      <c r="D255" s="9" t="s">
        <v>377</v>
      </c>
      <c r="E255" s="9" t="s">
        <v>277</v>
      </c>
      <c r="F255" s="9" t="s">
        <v>309</v>
      </c>
      <c r="G255" s="9" t="s">
        <v>531</v>
      </c>
      <c r="H255" s="9" t="s">
        <v>532</v>
      </c>
      <c r="I255" s="10" t="n">
        <v>2</v>
      </c>
      <c r="J255" s="10" t="n">
        <v>2</v>
      </c>
      <c r="K255" s="10" t="n">
        <v>4</v>
      </c>
      <c r="L255" s="10" t="n">
        <v>4</v>
      </c>
      <c r="M255" s="10" t="n">
        <v>0</v>
      </c>
      <c r="N255" s="10" t="n">
        <v>0</v>
      </c>
      <c r="O255" s="10" t="n">
        <v>0</v>
      </c>
      <c r="P255" s="10" t="n">
        <v>0</v>
      </c>
      <c r="Q255" s="9" t="s">
        <v>533</v>
      </c>
    </row>
    <row r="256" customFormat="false" ht="15" hidden="false" customHeight="false" outlineLevel="0" collapsed="false">
      <c r="A256" s="9" t="s">
        <v>479</v>
      </c>
      <c r="B256" s="9" t="s">
        <v>480</v>
      </c>
      <c r="C256" s="9" t="s">
        <v>128</v>
      </c>
      <c r="D256" s="9" t="s">
        <v>378</v>
      </c>
      <c r="E256" s="9" t="s">
        <v>283</v>
      </c>
      <c r="F256" s="9" t="s">
        <v>301</v>
      </c>
      <c r="G256" s="9" t="s">
        <v>531</v>
      </c>
      <c r="H256" s="9" t="s">
        <v>532</v>
      </c>
      <c r="I256" s="10" t="n">
        <v>2</v>
      </c>
      <c r="J256" s="10" t="n">
        <v>2</v>
      </c>
      <c r="K256" s="10" t="n">
        <v>4</v>
      </c>
      <c r="L256" s="10" t="n">
        <v>4</v>
      </c>
      <c r="M256" s="10" t="n">
        <v>0</v>
      </c>
      <c r="N256" s="10" t="n">
        <v>0</v>
      </c>
      <c r="O256" s="10" t="n">
        <v>0</v>
      </c>
      <c r="P256" s="10" t="n">
        <v>0</v>
      </c>
      <c r="Q256" s="9" t="s">
        <v>533</v>
      </c>
    </row>
    <row r="257" customFormat="false" ht="15" hidden="false" customHeight="false" outlineLevel="0" collapsed="false">
      <c r="A257" s="9" t="s">
        <v>479</v>
      </c>
      <c r="B257" s="9" t="s">
        <v>480</v>
      </c>
      <c r="C257" s="9" t="s">
        <v>128</v>
      </c>
      <c r="D257" s="9" t="s">
        <v>379</v>
      </c>
      <c r="E257" s="9" t="s">
        <v>283</v>
      </c>
      <c r="F257" s="9" t="s">
        <v>305</v>
      </c>
      <c r="G257" s="9" t="s">
        <v>531</v>
      </c>
      <c r="H257" s="9" t="s">
        <v>532</v>
      </c>
      <c r="I257" s="10" t="n">
        <v>2</v>
      </c>
      <c r="J257" s="10" t="n">
        <v>2</v>
      </c>
      <c r="K257" s="10" t="n">
        <v>4</v>
      </c>
      <c r="L257" s="10" t="n">
        <v>4</v>
      </c>
      <c r="M257" s="10" t="n">
        <v>0</v>
      </c>
      <c r="N257" s="10" t="n">
        <v>0</v>
      </c>
      <c r="O257" s="10" t="n">
        <v>0</v>
      </c>
      <c r="P257" s="10" t="n">
        <v>0</v>
      </c>
      <c r="Q257" s="9" t="s">
        <v>533</v>
      </c>
    </row>
    <row r="258" customFormat="false" ht="15" hidden="false" customHeight="false" outlineLevel="0" collapsed="false">
      <c r="A258" s="9" t="s">
        <v>479</v>
      </c>
      <c r="B258" s="9" t="s">
        <v>480</v>
      </c>
      <c r="C258" s="9" t="s">
        <v>128</v>
      </c>
      <c r="D258" s="9" t="s">
        <v>380</v>
      </c>
      <c r="E258" s="9" t="s">
        <v>283</v>
      </c>
      <c r="F258" s="9" t="s">
        <v>309</v>
      </c>
      <c r="G258" s="9" t="s">
        <v>531</v>
      </c>
      <c r="H258" s="9" t="s">
        <v>532</v>
      </c>
      <c r="I258" s="10" t="n">
        <v>2</v>
      </c>
      <c r="J258" s="10" t="n">
        <v>2</v>
      </c>
      <c r="K258" s="10" t="n">
        <v>4</v>
      </c>
      <c r="L258" s="10" t="n">
        <v>4</v>
      </c>
      <c r="M258" s="10" t="n">
        <v>0</v>
      </c>
      <c r="N258" s="10" t="n">
        <v>0</v>
      </c>
      <c r="O258" s="10" t="n">
        <v>0</v>
      </c>
      <c r="P258" s="10" t="n">
        <v>0</v>
      </c>
      <c r="Q258" s="9" t="s">
        <v>533</v>
      </c>
    </row>
    <row r="259" customFormat="false" ht="15" hidden="false" customHeight="false" outlineLevel="0" collapsed="false">
      <c r="A259" s="9" t="s">
        <v>483</v>
      </c>
      <c r="B259" s="9" t="s">
        <v>484</v>
      </c>
      <c r="C259" s="9" t="s">
        <v>128</v>
      </c>
      <c r="D259" s="9" t="s">
        <v>369</v>
      </c>
      <c r="E259" s="9" t="s">
        <v>265</v>
      </c>
      <c r="F259" s="9" t="s">
        <v>301</v>
      </c>
      <c r="G259" s="9" t="s">
        <v>531</v>
      </c>
      <c r="H259" s="9" t="s">
        <v>532</v>
      </c>
      <c r="I259" s="10" t="n">
        <v>2</v>
      </c>
      <c r="J259" s="10" t="n">
        <v>2</v>
      </c>
      <c r="K259" s="10" t="n">
        <v>4</v>
      </c>
      <c r="L259" s="10" t="n">
        <v>4</v>
      </c>
      <c r="M259" s="10" t="n">
        <v>0</v>
      </c>
      <c r="N259" s="10" t="n">
        <v>0</v>
      </c>
      <c r="O259" s="10" t="n">
        <v>0</v>
      </c>
      <c r="P259" s="10" t="n">
        <v>0</v>
      </c>
      <c r="Q259" s="9" t="s">
        <v>533</v>
      </c>
    </row>
    <row r="260" customFormat="false" ht="15" hidden="false" customHeight="false" outlineLevel="0" collapsed="false">
      <c r="A260" s="9" t="s">
        <v>483</v>
      </c>
      <c r="B260" s="9" t="s">
        <v>484</v>
      </c>
      <c r="C260" s="9" t="s">
        <v>128</v>
      </c>
      <c r="D260" s="9" t="s">
        <v>370</v>
      </c>
      <c r="E260" s="9" t="s">
        <v>265</v>
      </c>
      <c r="F260" s="9" t="s">
        <v>305</v>
      </c>
      <c r="G260" s="9" t="s">
        <v>531</v>
      </c>
      <c r="H260" s="9" t="s">
        <v>532</v>
      </c>
      <c r="I260" s="10" t="n">
        <v>2</v>
      </c>
      <c r="J260" s="10" t="n">
        <v>2</v>
      </c>
      <c r="K260" s="10" t="n">
        <v>4</v>
      </c>
      <c r="L260" s="10" t="n">
        <v>4</v>
      </c>
      <c r="M260" s="10" t="n">
        <v>0</v>
      </c>
      <c r="N260" s="10" t="n">
        <v>0</v>
      </c>
      <c r="O260" s="10" t="n">
        <v>0</v>
      </c>
      <c r="P260" s="10" t="n">
        <v>0</v>
      </c>
      <c r="Q260" s="9" t="s">
        <v>533</v>
      </c>
    </row>
    <row r="261" customFormat="false" ht="15" hidden="false" customHeight="false" outlineLevel="0" collapsed="false">
      <c r="A261" s="9" t="s">
        <v>483</v>
      </c>
      <c r="B261" s="9" t="s">
        <v>484</v>
      </c>
      <c r="C261" s="9" t="s">
        <v>128</v>
      </c>
      <c r="D261" s="9" t="s">
        <v>371</v>
      </c>
      <c r="E261" s="9" t="s">
        <v>265</v>
      </c>
      <c r="F261" s="9" t="s">
        <v>309</v>
      </c>
      <c r="G261" s="9" t="s">
        <v>531</v>
      </c>
      <c r="H261" s="9" t="s">
        <v>532</v>
      </c>
      <c r="I261" s="10" t="n">
        <v>2</v>
      </c>
      <c r="J261" s="10" t="n">
        <v>2</v>
      </c>
      <c r="K261" s="10" t="n">
        <v>4</v>
      </c>
      <c r="L261" s="10" t="n">
        <v>4</v>
      </c>
      <c r="M261" s="10" t="n">
        <v>0</v>
      </c>
      <c r="N261" s="10" t="n">
        <v>0</v>
      </c>
      <c r="O261" s="10" t="n">
        <v>0</v>
      </c>
      <c r="P261" s="10" t="n">
        <v>0</v>
      </c>
      <c r="Q261" s="9" t="s">
        <v>533</v>
      </c>
    </row>
    <row r="262" customFormat="false" ht="15" hidden="false" customHeight="false" outlineLevel="0" collapsed="false">
      <c r="A262" s="9" t="s">
        <v>483</v>
      </c>
      <c r="B262" s="9" t="s">
        <v>484</v>
      </c>
      <c r="C262" s="9" t="s">
        <v>128</v>
      </c>
      <c r="D262" s="9" t="s">
        <v>372</v>
      </c>
      <c r="E262" s="9" t="s">
        <v>271</v>
      </c>
      <c r="F262" s="9" t="s">
        <v>301</v>
      </c>
      <c r="G262" s="9" t="s">
        <v>531</v>
      </c>
      <c r="H262" s="9" t="s">
        <v>532</v>
      </c>
      <c r="I262" s="10" t="n">
        <v>2</v>
      </c>
      <c r="J262" s="10" t="n">
        <v>2</v>
      </c>
      <c r="K262" s="10" t="n">
        <v>4</v>
      </c>
      <c r="L262" s="10" t="n">
        <v>4</v>
      </c>
      <c r="M262" s="10" t="n">
        <v>0</v>
      </c>
      <c r="N262" s="10" t="n">
        <v>0</v>
      </c>
      <c r="O262" s="10" t="n">
        <v>0</v>
      </c>
      <c r="P262" s="10" t="n">
        <v>0</v>
      </c>
      <c r="Q262" s="9" t="s">
        <v>533</v>
      </c>
    </row>
    <row r="263" customFormat="false" ht="15" hidden="false" customHeight="false" outlineLevel="0" collapsed="false">
      <c r="A263" s="9" t="s">
        <v>483</v>
      </c>
      <c r="B263" s="9" t="s">
        <v>484</v>
      </c>
      <c r="C263" s="9" t="s">
        <v>128</v>
      </c>
      <c r="D263" s="9" t="s">
        <v>373</v>
      </c>
      <c r="E263" s="9" t="s">
        <v>271</v>
      </c>
      <c r="F263" s="9" t="s">
        <v>305</v>
      </c>
      <c r="G263" s="9" t="s">
        <v>531</v>
      </c>
      <c r="H263" s="9" t="s">
        <v>532</v>
      </c>
      <c r="I263" s="10" t="n">
        <v>2</v>
      </c>
      <c r="J263" s="10" t="n">
        <v>2</v>
      </c>
      <c r="K263" s="10" t="n">
        <v>4</v>
      </c>
      <c r="L263" s="10" t="n">
        <v>4</v>
      </c>
      <c r="M263" s="10" t="n">
        <v>0</v>
      </c>
      <c r="N263" s="10" t="n">
        <v>0</v>
      </c>
      <c r="O263" s="10" t="n">
        <v>0</v>
      </c>
      <c r="P263" s="10" t="n">
        <v>0</v>
      </c>
      <c r="Q263" s="9" t="s">
        <v>533</v>
      </c>
    </row>
    <row r="264" customFormat="false" ht="15" hidden="false" customHeight="false" outlineLevel="0" collapsed="false">
      <c r="A264" s="9" t="s">
        <v>483</v>
      </c>
      <c r="B264" s="9" t="s">
        <v>484</v>
      </c>
      <c r="C264" s="9" t="s">
        <v>128</v>
      </c>
      <c r="D264" s="9" t="s">
        <v>374</v>
      </c>
      <c r="E264" s="9" t="s">
        <v>271</v>
      </c>
      <c r="F264" s="9" t="s">
        <v>309</v>
      </c>
      <c r="G264" s="9" t="s">
        <v>531</v>
      </c>
      <c r="H264" s="9" t="s">
        <v>532</v>
      </c>
      <c r="I264" s="10" t="n">
        <v>2</v>
      </c>
      <c r="J264" s="10" t="n">
        <v>2</v>
      </c>
      <c r="K264" s="10" t="n">
        <v>4</v>
      </c>
      <c r="L264" s="10" t="n">
        <v>4</v>
      </c>
      <c r="M264" s="10" t="n">
        <v>0</v>
      </c>
      <c r="N264" s="10" t="n">
        <v>0</v>
      </c>
      <c r="O264" s="10" t="n">
        <v>0</v>
      </c>
      <c r="P264" s="10" t="n">
        <v>0</v>
      </c>
      <c r="Q264" s="9" t="s">
        <v>533</v>
      </c>
    </row>
    <row r="265" customFormat="false" ht="15" hidden="false" customHeight="false" outlineLevel="0" collapsed="false">
      <c r="A265" s="9" t="s">
        <v>483</v>
      </c>
      <c r="B265" s="9" t="s">
        <v>484</v>
      </c>
      <c r="C265" s="9" t="s">
        <v>128</v>
      </c>
      <c r="D265" s="9" t="s">
        <v>375</v>
      </c>
      <c r="E265" s="9" t="s">
        <v>277</v>
      </c>
      <c r="F265" s="9" t="s">
        <v>301</v>
      </c>
      <c r="G265" s="9" t="s">
        <v>531</v>
      </c>
      <c r="H265" s="9" t="s">
        <v>532</v>
      </c>
      <c r="I265" s="10" t="n">
        <v>2</v>
      </c>
      <c r="J265" s="10" t="n">
        <v>2</v>
      </c>
      <c r="K265" s="10" t="n">
        <v>4</v>
      </c>
      <c r="L265" s="10" t="n">
        <v>4</v>
      </c>
      <c r="M265" s="10" t="n">
        <v>0</v>
      </c>
      <c r="N265" s="10" t="n">
        <v>0</v>
      </c>
      <c r="O265" s="10" t="n">
        <v>0</v>
      </c>
      <c r="P265" s="10" t="n">
        <v>0</v>
      </c>
      <c r="Q265" s="9" t="s">
        <v>533</v>
      </c>
    </row>
    <row r="266" customFormat="false" ht="15" hidden="false" customHeight="false" outlineLevel="0" collapsed="false">
      <c r="A266" s="9" t="s">
        <v>483</v>
      </c>
      <c r="B266" s="9" t="s">
        <v>484</v>
      </c>
      <c r="C266" s="9" t="s">
        <v>128</v>
      </c>
      <c r="D266" s="9" t="s">
        <v>376</v>
      </c>
      <c r="E266" s="9" t="s">
        <v>277</v>
      </c>
      <c r="F266" s="9" t="s">
        <v>305</v>
      </c>
      <c r="G266" s="9" t="s">
        <v>531</v>
      </c>
      <c r="H266" s="9" t="s">
        <v>532</v>
      </c>
      <c r="I266" s="10" t="n">
        <v>2</v>
      </c>
      <c r="J266" s="10" t="n">
        <v>2</v>
      </c>
      <c r="K266" s="10" t="n">
        <v>4</v>
      </c>
      <c r="L266" s="10" t="n">
        <v>4</v>
      </c>
      <c r="M266" s="10" t="n">
        <v>0</v>
      </c>
      <c r="N266" s="10" t="n">
        <v>0</v>
      </c>
      <c r="O266" s="10" t="n">
        <v>0</v>
      </c>
      <c r="P266" s="10" t="n">
        <v>0</v>
      </c>
      <c r="Q266" s="9" t="s">
        <v>533</v>
      </c>
    </row>
    <row r="267" customFormat="false" ht="15" hidden="false" customHeight="false" outlineLevel="0" collapsed="false">
      <c r="A267" s="9" t="s">
        <v>483</v>
      </c>
      <c r="B267" s="9" t="s">
        <v>484</v>
      </c>
      <c r="C267" s="9" t="s">
        <v>128</v>
      </c>
      <c r="D267" s="9" t="s">
        <v>377</v>
      </c>
      <c r="E267" s="9" t="s">
        <v>277</v>
      </c>
      <c r="F267" s="9" t="s">
        <v>309</v>
      </c>
      <c r="G267" s="9" t="s">
        <v>531</v>
      </c>
      <c r="H267" s="9" t="s">
        <v>532</v>
      </c>
      <c r="I267" s="10" t="n">
        <v>2</v>
      </c>
      <c r="J267" s="10" t="n">
        <v>2</v>
      </c>
      <c r="K267" s="10" t="n">
        <v>4</v>
      </c>
      <c r="L267" s="10" t="n">
        <v>4</v>
      </c>
      <c r="M267" s="10" t="n">
        <v>0</v>
      </c>
      <c r="N267" s="10" t="n">
        <v>0</v>
      </c>
      <c r="O267" s="10" t="n">
        <v>0</v>
      </c>
      <c r="P267" s="10" t="n">
        <v>0</v>
      </c>
      <c r="Q267" s="9" t="s">
        <v>533</v>
      </c>
    </row>
    <row r="268" customFormat="false" ht="15" hidden="false" customHeight="false" outlineLevel="0" collapsed="false">
      <c r="A268" s="9" t="s">
        <v>483</v>
      </c>
      <c r="B268" s="9" t="s">
        <v>484</v>
      </c>
      <c r="C268" s="9" t="s">
        <v>128</v>
      </c>
      <c r="D268" s="9" t="s">
        <v>378</v>
      </c>
      <c r="E268" s="9" t="s">
        <v>283</v>
      </c>
      <c r="F268" s="9" t="s">
        <v>301</v>
      </c>
      <c r="G268" s="9" t="s">
        <v>531</v>
      </c>
      <c r="H268" s="9" t="s">
        <v>532</v>
      </c>
      <c r="I268" s="10" t="n">
        <v>2</v>
      </c>
      <c r="J268" s="10" t="n">
        <v>2</v>
      </c>
      <c r="K268" s="10" t="n">
        <v>4</v>
      </c>
      <c r="L268" s="10" t="n">
        <v>4</v>
      </c>
      <c r="M268" s="10" t="n">
        <v>0</v>
      </c>
      <c r="N268" s="10" t="n">
        <v>0</v>
      </c>
      <c r="O268" s="10" t="n">
        <v>0</v>
      </c>
      <c r="P268" s="10" t="n">
        <v>0</v>
      </c>
      <c r="Q268" s="9" t="s">
        <v>533</v>
      </c>
    </row>
    <row r="269" customFormat="false" ht="15" hidden="false" customHeight="false" outlineLevel="0" collapsed="false">
      <c r="A269" s="9" t="s">
        <v>483</v>
      </c>
      <c r="B269" s="9" t="s">
        <v>484</v>
      </c>
      <c r="C269" s="9" t="s">
        <v>128</v>
      </c>
      <c r="D269" s="9" t="s">
        <v>379</v>
      </c>
      <c r="E269" s="9" t="s">
        <v>283</v>
      </c>
      <c r="F269" s="9" t="s">
        <v>305</v>
      </c>
      <c r="G269" s="9" t="s">
        <v>531</v>
      </c>
      <c r="H269" s="9" t="s">
        <v>532</v>
      </c>
      <c r="I269" s="10" t="n">
        <v>2</v>
      </c>
      <c r="J269" s="10" t="n">
        <v>2</v>
      </c>
      <c r="K269" s="10" t="n">
        <v>4</v>
      </c>
      <c r="L269" s="10" t="n">
        <v>4</v>
      </c>
      <c r="M269" s="10" t="n">
        <v>0</v>
      </c>
      <c r="N269" s="10" t="n">
        <v>0</v>
      </c>
      <c r="O269" s="10" t="n">
        <v>0</v>
      </c>
      <c r="P269" s="10" t="n">
        <v>0</v>
      </c>
      <c r="Q269" s="9" t="s">
        <v>533</v>
      </c>
    </row>
    <row r="270" customFormat="false" ht="15" hidden="false" customHeight="false" outlineLevel="0" collapsed="false">
      <c r="A270" s="9" t="s">
        <v>483</v>
      </c>
      <c r="B270" s="9" t="s">
        <v>484</v>
      </c>
      <c r="C270" s="9" t="s">
        <v>128</v>
      </c>
      <c r="D270" s="9" t="s">
        <v>380</v>
      </c>
      <c r="E270" s="9" t="s">
        <v>283</v>
      </c>
      <c r="F270" s="9" t="s">
        <v>309</v>
      </c>
      <c r="G270" s="9" t="s">
        <v>531</v>
      </c>
      <c r="H270" s="9" t="s">
        <v>532</v>
      </c>
      <c r="I270" s="10" t="n">
        <v>2</v>
      </c>
      <c r="J270" s="10" t="n">
        <v>2</v>
      </c>
      <c r="K270" s="10" t="n">
        <v>4</v>
      </c>
      <c r="L270" s="10" t="n">
        <v>4</v>
      </c>
      <c r="M270" s="10" t="n">
        <v>0</v>
      </c>
      <c r="N270" s="10" t="n">
        <v>0</v>
      </c>
      <c r="O270" s="10" t="n">
        <v>0</v>
      </c>
      <c r="P270" s="10" t="n">
        <v>0</v>
      </c>
      <c r="Q270" s="9" t="s">
        <v>533</v>
      </c>
    </row>
    <row r="271" customFormat="false" ht="15" hidden="false" customHeight="false" outlineLevel="0" collapsed="false">
      <c r="A271" s="9" t="s">
        <v>487</v>
      </c>
      <c r="B271" s="9" t="s">
        <v>488</v>
      </c>
      <c r="C271" s="9" t="s">
        <v>128</v>
      </c>
      <c r="D271" s="9" t="s">
        <v>369</v>
      </c>
      <c r="E271" s="9" t="s">
        <v>265</v>
      </c>
      <c r="F271" s="9" t="s">
        <v>301</v>
      </c>
      <c r="G271" s="9" t="s">
        <v>531</v>
      </c>
      <c r="H271" s="9" t="s">
        <v>532</v>
      </c>
      <c r="I271" s="10" t="n">
        <v>2</v>
      </c>
      <c r="J271" s="10" t="n">
        <v>2</v>
      </c>
      <c r="K271" s="10" t="n">
        <v>4</v>
      </c>
      <c r="L271" s="10" t="n">
        <v>4</v>
      </c>
      <c r="M271" s="10" t="n">
        <v>0</v>
      </c>
      <c r="N271" s="10" t="n">
        <v>0</v>
      </c>
      <c r="O271" s="10" t="n">
        <v>0</v>
      </c>
      <c r="P271" s="10" t="n">
        <v>0</v>
      </c>
      <c r="Q271" s="9" t="s">
        <v>533</v>
      </c>
    </row>
    <row r="272" customFormat="false" ht="15" hidden="false" customHeight="false" outlineLevel="0" collapsed="false">
      <c r="A272" s="9" t="s">
        <v>487</v>
      </c>
      <c r="B272" s="9" t="s">
        <v>488</v>
      </c>
      <c r="C272" s="9" t="s">
        <v>128</v>
      </c>
      <c r="D272" s="9" t="s">
        <v>370</v>
      </c>
      <c r="E272" s="9" t="s">
        <v>265</v>
      </c>
      <c r="F272" s="9" t="s">
        <v>305</v>
      </c>
      <c r="G272" s="9" t="s">
        <v>531</v>
      </c>
      <c r="H272" s="9" t="s">
        <v>532</v>
      </c>
      <c r="I272" s="10" t="n">
        <v>2</v>
      </c>
      <c r="J272" s="10" t="n">
        <v>2</v>
      </c>
      <c r="K272" s="10" t="n">
        <v>4</v>
      </c>
      <c r="L272" s="10" t="n">
        <v>4</v>
      </c>
      <c r="M272" s="10" t="n">
        <v>0</v>
      </c>
      <c r="N272" s="10" t="n">
        <v>0</v>
      </c>
      <c r="O272" s="10" t="n">
        <v>0</v>
      </c>
      <c r="P272" s="10" t="n">
        <v>0</v>
      </c>
      <c r="Q272" s="9" t="s">
        <v>533</v>
      </c>
    </row>
    <row r="273" customFormat="false" ht="15" hidden="false" customHeight="false" outlineLevel="0" collapsed="false">
      <c r="A273" s="9" t="s">
        <v>487</v>
      </c>
      <c r="B273" s="9" t="s">
        <v>488</v>
      </c>
      <c r="C273" s="9" t="s">
        <v>128</v>
      </c>
      <c r="D273" s="9" t="s">
        <v>371</v>
      </c>
      <c r="E273" s="9" t="s">
        <v>265</v>
      </c>
      <c r="F273" s="9" t="s">
        <v>309</v>
      </c>
      <c r="G273" s="9" t="s">
        <v>531</v>
      </c>
      <c r="H273" s="9" t="s">
        <v>532</v>
      </c>
      <c r="I273" s="10" t="n">
        <v>2</v>
      </c>
      <c r="J273" s="10" t="n">
        <v>2</v>
      </c>
      <c r="K273" s="10" t="n">
        <v>4</v>
      </c>
      <c r="L273" s="10" t="n">
        <v>4</v>
      </c>
      <c r="M273" s="10" t="n">
        <v>0</v>
      </c>
      <c r="N273" s="10" t="n">
        <v>0</v>
      </c>
      <c r="O273" s="10" t="n">
        <v>0</v>
      </c>
      <c r="P273" s="10" t="n">
        <v>0</v>
      </c>
      <c r="Q273" s="9" t="s">
        <v>533</v>
      </c>
    </row>
    <row r="274" customFormat="false" ht="15" hidden="false" customHeight="false" outlineLevel="0" collapsed="false">
      <c r="A274" s="9" t="s">
        <v>487</v>
      </c>
      <c r="B274" s="9" t="s">
        <v>488</v>
      </c>
      <c r="C274" s="9" t="s">
        <v>128</v>
      </c>
      <c r="D274" s="9" t="s">
        <v>372</v>
      </c>
      <c r="E274" s="9" t="s">
        <v>271</v>
      </c>
      <c r="F274" s="9" t="s">
        <v>301</v>
      </c>
      <c r="G274" s="9" t="s">
        <v>531</v>
      </c>
      <c r="H274" s="9" t="s">
        <v>532</v>
      </c>
      <c r="I274" s="10" t="n">
        <v>2</v>
      </c>
      <c r="J274" s="10" t="n">
        <v>2</v>
      </c>
      <c r="K274" s="10" t="n">
        <v>4</v>
      </c>
      <c r="L274" s="10" t="n">
        <v>4</v>
      </c>
      <c r="M274" s="10" t="n">
        <v>0</v>
      </c>
      <c r="N274" s="10" t="n">
        <v>0</v>
      </c>
      <c r="O274" s="10" t="n">
        <v>0</v>
      </c>
      <c r="P274" s="10" t="n">
        <v>0</v>
      </c>
      <c r="Q274" s="9" t="s">
        <v>533</v>
      </c>
    </row>
    <row r="275" customFormat="false" ht="15" hidden="false" customHeight="false" outlineLevel="0" collapsed="false">
      <c r="A275" s="9" t="s">
        <v>487</v>
      </c>
      <c r="B275" s="9" t="s">
        <v>488</v>
      </c>
      <c r="C275" s="9" t="s">
        <v>128</v>
      </c>
      <c r="D275" s="9" t="s">
        <v>373</v>
      </c>
      <c r="E275" s="9" t="s">
        <v>271</v>
      </c>
      <c r="F275" s="9" t="s">
        <v>305</v>
      </c>
      <c r="G275" s="9" t="s">
        <v>531</v>
      </c>
      <c r="H275" s="9" t="s">
        <v>532</v>
      </c>
      <c r="I275" s="10" t="n">
        <v>2</v>
      </c>
      <c r="J275" s="10" t="n">
        <v>2</v>
      </c>
      <c r="K275" s="10" t="n">
        <v>4</v>
      </c>
      <c r="L275" s="10" t="n">
        <v>4</v>
      </c>
      <c r="M275" s="10" t="n">
        <v>0</v>
      </c>
      <c r="N275" s="10" t="n">
        <v>0</v>
      </c>
      <c r="O275" s="10" t="n">
        <v>0</v>
      </c>
      <c r="P275" s="10" t="n">
        <v>0</v>
      </c>
      <c r="Q275" s="9" t="s">
        <v>533</v>
      </c>
    </row>
    <row r="276" customFormat="false" ht="15" hidden="false" customHeight="false" outlineLevel="0" collapsed="false">
      <c r="A276" s="9" t="s">
        <v>487</v>
      </c>
      <c r="B276" s="9" t="s">
        <v>488</v>
      </c>
      <c r="C276" s="9" t="s">
        <v>128</v>
      </c>
      <c r="D276" s="9" t="s">
        <v>374</v>
      </c>
      <c r="E276" s="9" t="s">
        <v>271</v>
      </c>
      <c r="F276" s="9" t="s">
        <v>309</v>
      </c>
      <c r="G276" s="9" t="s">
        <v>531</v>
      </c>
      <c r="H276" s="9" t="s">
        <v>532</v>
      </c>
      <c r="I276" s="10" t="n">
        <v>2</v>
      </c>
      <c r="J276" s="10" t="n">
        <v>2</v>
      </c>
      <c r="K276" s="10" t="n">
        <v>4</v>
      </c>
      <c r="L276" s="10" t="n">
        <v>4</v>
      </c>
      <c r="M276" s="10" t="n">
        <v>0</v>
      </c>
      <c r="N276" s="10" t="n">
        <v>0</v>
      </c>
      <c r="O276" s="10" t="n">
        <v>0</v>
      </c>
      <c r="P276" s="10" t="n">
        <v>0</v>
      </c>
      <c r="Q276" s="9" t="s">
        <v>533</v>
      </c>
    </row>
    <row r="277" customFormat="false" ht="15" hidden="false" customHeight="false" outlineLevel="0" collapsed="false">
      <c r="A277" s="9" t="s">
        <v>487</v>
      </c>
      <c r="B277" s="9" t="s">
        <v>488</v>
      </c>
      <c r="C277" s="9" t="s">
        <v>128</v>
      </c>
      <c r="D277" s="9" t="s">
        <v>375</v>
      </c>
      <c r="E277" s="9" t="s">
        <v>277</v>
      </c>
      <c r="F277" s="9" t="s">
        <v>301</v>
      </c>
      <c r="G277" s="9" t="s">
        <v>531</v>
      </c>
      <c r="H277" s="9" t="s">
        <v>532</v>
      </c>
      <c r="I277" s="10" t="n">
        <v>2</v>
      </c>
      <c r="J277" s="10" t="n">
        <v>2</v>
      </c>
      <c r="K277" s="10" t="n">
        <v>4</v>
      </c>
      <c r="L277" s="10" t="n">
        <v>4</v>
      </c>
      <c r="M277" s="10" t="n">
        <v>0</v>
      </c>
      <c r="N277" s="10" t="n">
        <v>0</v>
      </c>
      <c r="O277" s="10" t="n">
        <v>0</v>
      </c>
      <c r="P277" s="10" t="n">
        <v>0</v>
      </c>
      <c r="Q277" s="9" t="s">
        <v>533</v>
      </c>
    </row>
    <row r="278" customFormat="false" ht="15" hidden="false" customHeight="false" outlineLevel="0" collapsed="false">
      <c r="A278" s="9" t="s">
        <v>487</v>
      </c>
      <c r="B278" s="9" t="s">
        <v>488</v>
      </c>
      <c r="C278" s="9" t="s">
        <v>128</v>
      </c>
      <c r="D278" s="9" t="s">
        <v>376</v>
      </c>
      <c r="E278" s="9" t="s">
        <v>277</v>
      </c>
      <c r="F278" s="9" t="s">
        <v>305</v>
      </c>
      <c r="G278" s="9" t="s">
        <v>531</v>
      </c>
      <c r="H278" s="9" t="s">
        <v>532</v>
      </c>
      <c r="I278" s="10" t="n">
        <v>2</v>
      </c>
      <c r="J278" s="10" t="n">
        <v>2</v>
      </c>
      <c r="K278" s="10" t="n">
        <v>4</v>
      </c>
      <c r="L278" s="10" t="n">
        <v>4</v>
      </c>
      <c r="M278" s="10" t="n">
        <v>0</v>
      </c>
      <c r="N278" s="10" t="n">
        <v>0</v>
      </c>
      <c r="O278" s="10" t="n">
        <v>0</v>
      </c>
      <c r="P278" s="10" t="n">
        <v>0</v>
      </c>
      <c r="Q278" s="9" t="s">
        <v>533</v>
      </c>
    </row>
    <row r="279" customFormat="false" ht="15" hidden="false" customHeight="false" outlineLevel="0" collapsed="false">
      <c r="A279" s="9" t="s">
        <v>487</v>
      </c>
      <c r="B279" s="9" t="s">
        <v>488</v>
      </c>
      <c r="C279" s="9" t="s">
        <v>128</v>
      </c>
      <c r="D279" s="9" t="s">
        <v>377</v>
      </c>
      <c r="E279" s="9" t="s">
        <v>277</v>
      </c>
      <c r="F279" s="9" t="s">
        <v>309</v>
      </c>
      <c r="G279" s="9" t="s">
        <v>531</v>
      </c>
      <c r="H279" s="9" t="s">
        <v>532</v>
      </c>
      <c r="I279" s="10" t="n">
        <v>2</v>
      </c>
      <c r="J279" s="10" t="n">
        <v>2</v>
      </c>
      <c r="K279" s="10" t="n">
        <v>4</v>
      </c>
      <c r="L279" s="10" t="n">
        <v>4</v>
      </c>
      <c r="M279" s="10" t="n">
        <v>0</v>
      </c>
      <c r="N279" s="10" t="n">
        <v>0</v>
      </c>
      <c r="O279" s="10" t="n">
        <v>0</v>
      </c>
      <c r="P279" s="10" t="n">
        <v>0</v>
      </c>
      <c r="Q279" s="9" t="s">
        <v>533</v>
      </c>
    </row>
    <row r="280" customFormat="false" ht="15" hidden="false" customHeight="false" outlineLevel="0" collapsed="false">
      <c r="A280" s="9" t="s">
        <v>487</v>
      </c>
      <c r="B280" s="9" t="s">
        <v>488</v>
      </c>
      <c r="C280" s="9" t="s">
        <v>128</v>
      </c>
      <c r="D280" s="9" t="s">
        <v>378</v>
      </c>
      <c r="E280" s="9" t="s">
        <v>283</v>
      </c>
      <c r="F280" s="9" t="s">
        <v>301</v>
      </c>
      <c r="G280" s="9" t="s">
        <v>531</v>
      </c>
      <c r="H280" s="9" t="s">
        <v>532</v>
      </c>
      <c r="I280" s="10" t="n">
        <v>2</v>
      </c>
      <c r="J280" s="10" t="n">
        <v>2</v>
      </c>
      <c r="K280" s="10" t="n">
        <v>4</v>
      </c>
      <c r="L280" s="10" t="n">
        <v>4</v>
      </c>
      <c r="M280" s="10" t="n">
        <v>0</v>
      </c>
      <c r="N280" s="10" t="n">
        <v>0</v>
      </c>
      <c r="O280" s="10" t="n">
        <v>0</v>
      </c>
      <c r="P280" s="10" t="n">
        <v>0</v>
      </c>
      <c r="Q280" s="9" t="s">
        <v>533</v>
      </c>
    </row>
    <row r="281" customFormat="false" ht="15" hidden="false" customHeight="false" outlineLevel="0" collapsed="false">
      <c r="A281" s="9" t="s">
        <v>487</v>
      </c>
      <c r="B281" s="9" t="s">
        <v>488</v>
      </c>
      <c r="C281" s="9" t="s">
        <v>128</v>
      </c>
      <c r="D281" s="9" t="s">
        <v>379</v>
      </c>
      <c r="E281" s="9" t="s">
        <v>283</v>
      </c>
      <c r="F281" s="9" t="s">
        <v>305</v>
      </c>
      <c r="G281" s="9" t="s">
        <v>531</v>
      </c>
      <c r="H281" s="9" t="s">
        <v>532</v>
      </c>
      <c r="I281" s="10" t="n">
        <v>2</v>
      </c>
      <c r="J281" s="10" t="n">
        <v>2</v>
      </c>
      <c r="K281" s="10" t="n">
        <v>4</v>
      </c>
      <c r="L281" s="10" t="n">
        <v>4</v>
      </c>
      <c r="M281" s="10" t="n">
        <v>0</v>
      </c>
      <c r="N281" s="10" t="n">
        <v>0</v>
      </c>
      <c r="O281" s="10" t="n">
        <v>0</v>
      </c>
      <c r="P281" s="10" t="n">
        <v>0</v>
      </c>
      <c r="Q281" s="9" t="s">
        <v>533</v>
      </c>
    </row>
    <row r="282" customFormat="false" ht="15" hidden="false" customHeight="false" outlineLevel="0" collapsed="false">
      <c r="A282" s="9" t="s">
        <v>487</v>
      </c>
      <c r="B282" s="9" t="s">
        <v>488</v>
      </c>
      <c r="C282" s="9" t="s">
        <v>128</v>
      </c>
      <c r="D282" s="9" t="s">
        <v>380</v>
      </c>
      <c r="E282" s="9" t="s">
        <v>283</v>
      </c>
      <c r="F282" s="9" t="s">
        <v>309</v>
      </c>
      <c r="G282" s="9" t="s">
        <v>531</v>
      </c>
      <c r="H282" s="9" t="s">
        <v>532</v>
      </c>
      <c r="I282" s="10" t="n">
        <v>2</v>
      </c>
      <c r="J282" s="10" t="n">
        <v>2</v>
      </c>
      <c r="K282" s="10" t="n">
        <v>4</v>
      </c>
      <c r="L282" s="10" t="n">
        <v>4</v>
      </c>
      <c r="M282" s="10" t="n">
        <v>0</v>
      </c>
      <c r="N282" s="10" t="n">
        <v>0</v>
      </c>
      <c r="O282" s="10" t="n">
        <v>0</v>
      </c>
      <c r="P282" s="10" t="n">
        <v>0</v>
      </c>
      <c r="Q282" s="9" t="s">
        <v>533</v>
      </c>
    </row>
    <row r="283" customFormat="false" ht="15" hidden="false" customHeight="false" outlineLevel="0" collapsed="false">
      <c r="A283" s="9" t="s">
        <v>491</v>
      </c>
      <c r="B283" s="9" t="s">
        <v>492</v>
      </c>
      <c r="C283" s="9" t="s">
        <v>128</v>
      </c>
      <c r="D283" s="9" t="s">
        <v>369</v>
      </c>
      <c r="E283" s="9" t="s">
        <v>265</v>
      </c>
      <c r="F283" s="9" t="s">
        <v>301</v>
      </c>
      <c r="G283" s="9" t="s">
        <v>531</v>
      </c>
      <c r="H283" s="9" t="s">
        <v>532</v>
      </c>
      <c r="I283" s="10" t="n">
        <v>2</v>
      </c>
      <c r="J283" s="10" t="n">
        <v>2</v>
      </c>
      <c r="K283" s="10" t="n">
        <v>4</v>
      </c>
      <c r="L283" s="10" t="n">
        <v>4</v>
      </c>
      <c r="M283" s="10" t="n">
        <v>0</v>
      </c>
      <c r="N283" s="10" t="n">
        <v>0</v>
      </c>
      <c r="O283" s="10" t="n">
        <v>0</v>
      </c>
      <c r="P283" s="10" t="n">
        <v>0</v>
      </c>
      <c r="Q283" s="9" t="s">
        <v>533</v>
      </c>
    </row>
    <row r="284" customFormat="false" ht="15" hidden="false" customHeight="false" outlineLevel="0" collapsed="false">
      <c r="A284" s="9" t="s">
        <v>491</v>
      </c>
      <c r="B284" s="9" t="s">
        <v>492</v>
      </c>
      <c r="C284" s="9" t="s">
        <v>128</v>
      </c>
      <c r="D284" s="9" t="s">
        <v>370</v>
      </c>
      <c r="E284" s="9" t="s">
        <v>265</v>
      </c>
      <c r="F284" s="9" t="s">
        <v>305</v>
      </c>
      <c r="G284" s="9" t="s">
        <v>531</v>
      </c>
      <c r="H284" s="9" t="s">
        <v>532</v>
      </c>
      <c r="I284" s="10" t="n">
        <v>2</v>
      </c>
      <c r="J284" s="10" t="n">
        <v>2</v>
      </c>
      <c r="K284" s="10" t="n">
        <v>4</v>
      </c>
      <c r="L284" s="10" t="n">
        <v>4</v>
      </c>
      <c r="M284" s="10" t="n">
        <v>0</v>
      </c>
      <c r="N284" s="10" t="n">
        <v>0</v>
      </c>
      <c r="O284" s="10" t="n">
        <v>0</v>
      </c>
      <c r="P284" s="10" t="n">
        <v>0</v>
      </c>
      <c r="Q284" s="9" t="s">
        <v>533</v>
      </c>
    </row>
    <row r="285" customFormat="false" ht="15" hidden="false" customHeight="false" outlineLevel="0" collapsed="false">
      <c r="A285" s="9" t="s">
        <v>491</v>
      </c>
      <c r="B285" s="9" t="s">
        <v>492</v>
      </c>
      <c r="C285" s="9" t="s">
        <v>128</v>
      </c>
      <c r="D285" s="9" t="s">
        <v>371</v>
      </c>
      <c r="E285" s="9" t="s">
        <v>265</v>
      </c>
      <c r="F285" s="9" t="s">
        <v>309</v>
      </c>
      <c r="G285" s="9" t="s">
        <v>531</v>
      </c>
      <c r="H285" s="9" t="s">
        <v>532</v>
      </c>
      <c r="I285" s="10" t="n">
        <v>2</v>
      </c>
      <c r="J285" s="10" t="n">
        <v>2</v>
      </c>
      <c r="K285" s="10" t="n">
        <v>4</v>
      </c>
      <c r="L285" s="10" t="n">
        <v>4</v>
      </c>
      <c r="M285" s="10" t="n">
        <v>0</v>
      </c>
      <c r="N285" s="10" t="n">
        <v>0</v>
      </c>
      <c r="O285" s="10" t="n">
        <v>0</v>
      </c>
      <c r="P285" s="10" t="n">
        <v>0</v>
      </c>
      <c r="Q285" s="9" t="s">
        <v>533</v>
      </c>
    </row>
    <row r="286" customFormat="false" ht="15" hidden="false" customHeight="false" outlineLevel="0" collapsed="false">
      <c r="A286" s="9" t="s">
        <v>491</v>
      </c>
      <c r="B286" s="9" t="s">
        <v>492</v>
      </c>
      <c r="C286" s="9" t="s">
        <v>128</v>
      </c>
      <c r="D286" s="9" t="s">
        <v>372</v>
      </c>
      <c r="E286" s="9" t="s">
        <v>271</v>
      </c>
      <c r="F286" s="9" t="s">
        <v>301</v>
      </c>
      <c r="G286" s="9" t="s">
        <v>531</v>
      </c>
      <c r="H286" s="9" t="s">
        <v>532</v>
      </c>
      <c r="I286" s="10" t="n">
        <v>2</v>
      </c>
      <c r="J286" s="10" t="n">
        <v>2</v>
      </c>
      <c r="K286" s="10" t="n">
        <v>4</v>
      </c>
      <c r="L286" s="10" t="n">
        <v>4</v>
      </c>
      <c r="M286" s="10" t="n">
        <v>0</v>
      </c>
      <c r="N286" s="10" t="n">
        <v>0</v>
      </c>
      <c r="O286" s="10" t="n">
        <v>0</v>
      </c>
      <c r="P286" s="10" t="n">
        <v>0</v>
      </c>
      <c r="Q286" s="9" t="s">
        <v>533</v>
      </c>
    </row>
    <row r="287" customFormat="false" ht="15" hidden="false" customHeight="false" outlineLevel="0" collapsed="false">
      <c r="A287" s="9" t="s">
        <v>491</v>
      </c>
      <c r="B287" s="9" t="s">
        <v>492</v>
      </c>
      <c r="C287" s="9" t="s">
        <v>128</v>
      </c>
      <c r="D287" s="9" t="s">
        <v>373</v>
      </c>
      <c r="E287" s="9" t="s">
        <v>271</v>
      </c>
      <c r="F287" s="9" t="s">
        <v>305</v>
      </c>
      <c r="G287" s="9" t="s">
        <v>531</v>
      </c>
      <c r="H287" s="9" t="s">
        <v>532</v>
      </c>
      <c r="I287" s="10" t="n">
        <v>2</v>
      </c>
      <c r="J287" s="10" t="n">
        <v>2</v>
      </c>
      <c r="K287" s="10" t="n">
        <v>4</v>
      </c>
      <c r="L287" s="10" t="n">
        <v>4</v>
      </c>
      <c r="M287" s="10" t="n">
        <v>0</v>
      </c>
      <c r="N287" s="10" t="n">
        <v>0</v>
      </c>
      <c r="O287" s="10" t="n">
        <v>0</v>
      </c>
      <c r="P287" s="10" t="n">
        <v>0</v>
      </c>
      <c r="Q287" s="9" t="s">
        <v>533</v>
      </c>
    </row>
    <row r="288" customFormat="false" ht="15" hidden="false" customHeight="false" outlineLevel="0" collapsed="false">
      <c r="A288" s="9" t="s">
        <v>491</v>
      </c>
      <c r="B288" s="9" t="s">
        <v>492</v>
      </c>
      <c r="C288" s="9" t="s">
        <v>128</v>
      </c>
      <c r="D288" s="9" t="s">
        <v>374</v>
      </c>
      <c r="E288" s="9" t="s">
        <v>271</v>
      </c>
      <c r="F288" s="9" t="s">
        <v>309</v>
      </c>
      <c r="G288" s="9" t="s">
        <v>531</v>
      </c>
      <c r="H288" s="9" t="s">
        <v>532</v>
      </c>
      <c r="I288" s="10" t="n">
        <v>2</v>
      </c>
      <c r="J288" s="10" t="n">
        <v>2</v>
      </c>
      <c r="K288" s="10" t="n">
        <v>4</v>
      </c>
      <c r="L288" s="10" t="n">
        <v>4</v>
      </c>
      <c r="M288" s="10" t="n">
        <v>0</v>
      </c>
      <c r="N288" s="10" t="n">
        <v>0</v>
      </c>
      <c r="O288" s="10" t="n">
        <v>0</v>
      </c>
      <c r="P288" s="10" t="n">
        <v>0</v>
      </c>
      <c r="Q288" s="9" t="s">
        <v>533</v>
      </c>
    </row>
    <row r="289" customFormat="false" ht="15" hidden="false" customHeight="false" outlineLevel="0" collapsed="false">
      <c r="A289" s="9" t="s">
        <v>491</v>
      </c>
      <c r="B289" s="9" t="s">
        <v>492</v>
      </c>
      <c r="C289" s="9" t="s">
        <v>128</v>
      </c>
      <c r="D289" s="9" t="s">
        <v>375</v>
      </c>
      <c r="E289" s="9" t="s">
        <v>277</v>
      </c>
      <c r="F289" s="9" t="s">
        <v>301</v>
      </c>
      <c r="G289" s="9" t="s">
        <v>531</v>
      </c>
      <c r="H289" s="9" t="s">
        <v>532</v>
      </c>
      <c r="I289" s="10" t="n">
        <v>2</v>
      </c>
      <c r="J289" s="10" t="n">
        <v>2</v>
      </c>
      <c r="K289" s="10" t="n">
        <v>4</v>
      </c>
      <c r="L289" s="10" t="n">
        <v>4</v>
      </c>
      <c r="M289" s="10" t="n">
        <v>0</v>
      </c>
      <c r="N289" s="10" t="n">
        <v>0</v>
      </c>
      <c r="O289" s="10" t="n">
        <v>0</v>
      </c>
      <c r="P289" s="10" t="n">
        <v>0</v>
      </c>
      <c r="Q289" s="9" t="s">
        <v>533</v>
      </c>
    </row>
    <row r="290" customFormat="false" ht="15" hidden="false" customHeight="false" outlineLevel="0" collapsed="false">
      <c r="A290" s="9" t="s">
        <v>491</v>
      </c>
      <c r="B290" s="9" t="s">
        <v>492</v>
      </c>
      <c r="C290" s="9" t="s">
        <v>128</v>
      </c>
      <c r="D290" s="9" t="s">
        <v>376</v>
      </c>
      <c r="E290" s="9" t="s">
        <v>277</v>
      </c>
      <c r="F290" s="9" t="s">
        <v>305</v>
      </c>
      <c r="G290" s="9" t="s">
        <v>531</v>
      </c>
      <c r="H290" s="9" t="s">
        <v>532</v>
      </c>
      <c r="I290" s="10" t="n">
        <v>2</v>
      </c>
      <c r="J290" s="10" t="n">
        <v>2</v>
      </c>
      <c r="K290" s="10" t="n">
        <v>4</v>
      </c>
      <c r="L290" s="10" t="n">
        <v>4</v>
      </c>
      <c r="M290" s="10" t="n">
        <v>0</v>
      </c>
      <c r="N290" s="10" t="n">
        <v>0</v>
      </c>
      <c r="O290" s="10" t="n">
        <v>0</v>
      </c>
      <c r="P290" s="10" t="n">
        <v>0</v>
      </c>
      <c r="Q290" s="9" t="s">
        <v>533</v>
      </c>
    </row>
    <row r="291" customFormat="false" ht="15" hidden="false" customHeight="false" outlineLevel="0" collapsed="false">
      <c r="A291" s="9" t="s">
        <v>491</v>
      </c>
      <c r="B291" s="9" t="s">
        <v>492</v>
      </c>
      <c r="C291" s="9" t="s">
        <v>128</v>
      </c>
      <c r="D291" s="9" t="s">
        <v>377</v>
      </c>
      <c r="E291" s="9" t="s">
        <v>277</v>
      </c>
      <c r="F291" s="9" t="s">
        <v>309</v>
      </c>
      <c r="G291" s="9" t="s">
        <v>531</v>
      </c>
      <c r="H291" s="9" t="s">
        <v>532</v>
      </c>
      <c r="I291" s="10" t="n">
        <v>2</v>
      </c>
      <c r="J291" s="10" t="n">
        <v>2</v>
      </c>
      <c r="K291" s="10" t="n">
        <v>4</v>
      </c>
      <c r="L291" s="10" t="n">
        <v>4</v>
      </c>
      <c r="M291" s="10" t="n">
        <v>0</v>
      </c>
      <c r="N291" s="10" t="n">
        <v>0</v>
      </c>
      <c r="O291" s="10" t="n">
        <v>0</v>
      </c>
      <c r="P291" s="10" t="n">
        <v>0</v>
      </c>
      <c r="Q291" s="9" t="s">
        <v>533</v>
      </c>
    </row>
    <row r="292" customFormat="false" ht="15" hidden="false" customHeight="false" outlineLevel="0" collapsed="false">
      <c r="A292" s="9" t="s">
        <v>491</v>
      </c>
      <c r="B292" s="9" t="s">
        <v>492</v>
      </c>
      <c r="C292" s="9" t="s">
        <v>128</v>
      </c>
      <c r="D292" s="9" t="s">
        <v>378</v>
      </c>
      <c r="E292" s="9" t="s">
        <v>283</v>
      </c>
      <c r="F292" s="9" t="s">
        <v>301</v>
      </c>
      <c r="G292" s="9" t="s">
        <v>531</v>
      </c>
      <c r="H292" s="9" t="s">
        <v>532</v>
      </c>
      <c r="I292" s="10" t="n">
        <v>2</v>
      </c>
      <c r="J292" s="10" t="n">
        <v>2</v>
      </c>
      <c r="K292" s="10" t="n">
        <v>4</v>
      </c>
      <c r="L292" s="10" t="n">
        <v>4</v>
      </c>
      <c r="M292" s="10" t="n">
        <v>0</v>
      </c>
      <c r="N292" s="10" t="n">
        <v>0</v>
      </c>
      <c r="O292" s="10" t="n">
        <v>0</v>
      </c>
      <c r="P292" s="10" t="n">
        <v>0</v>
      </c>
      <c r="Q292" s="9" t="s">
        <v>533</v>
      </c>
    </row>
    <row r="293" customFormat="false" ht="15" hidden="false" customHeight="false" outlineLevel="0" collapsed="false">
      <c r="A293" s="9" t="s">
        <v>491</v>
      </c>
      <c r="B293" s="9" t="s">
        <v>492</v>
      </c>
      <c r="C293" s="9" t="s">
        <v>128</v>
      </c>
      <c r="D293" s="9" t="s">
        <v>379</v>
      </c>
      <c r="E293" s="9" t="s">
        <v>283</v>
      </c>
      <c r="F293" s="9" t="s">
        <v>305</v>
      </c>
      <c r="G293" s="9" t="s">
        <v>531</v>
      </c>
      <c r="H293" s="9" t="s">
        <v>532</v>
      </c>
      <c r="I293" s="10" t="n">
        <v>2</v>
      </c>
      <c r="J293" s="10" t="n">
        <v>2</v>
      </c>
      <c r="K293" s="10" t="n">
        <v>4</v>
      </c>
      <c r="L293" s="10" t="n">
        <v>4</v>
      </c>
      <c r="M293" s="10" t="n">
        <v>0</v>
      </c>
      <c r="N293" s="10" t="n">
        <v>0</v>
      </c>
      <c r="O293" s="10" t="n">
        <v>0</v>
      </c>
      <c r="P293" s="10" t="n">
        <v>0</v>
      </c>
      <c r="Q293" s="9" t="s">
        <v>533</v>
      </c>
    </row>
    <row r="294" customFormat="false" ht="15" hidden="false" customHeight="false" outlineLevel="0" collapsed="false">
      <c r="A294" s="9" t="s">
        <v>491</v>
      </c>
      <c r="B294" s="9" t="s">
        <v>492</v>
      </c>
      <c r="C294" s="9" t="s">
        <v>128</v>
      </c>
      <c r="D294" s="9" t="s">
        <v>380</v>
      </c>
      <c r="E294" s="9" t="s">
        <v>283</v>
      </c>
      <c r="F294" s="9" t="s">
        <v>309</v>
      </c>
      <c r="G294" s="9" t="s">
        <v>531</v>
      </c>
      <c r="H294" s="9" t="s">
        <v>532</v>
      </c>
      <c r="I294" s="10" t="n">
        <v>2</v>
      </c>
      <c r="J294" s="10" t="n">
        <v>2</v>
      </c>
      <c r="K294" s="10" t="n">
        <v>4</v>
      </c>
      <c r="L294" s="10" t="n">
        <v>4</v>
      </c>
      <c r="M294" s="10" t="n">
        <v>0</v>
      </c>
      <c r="N294" s="10" t="n">
        <v>0</v>
      </c>
      <c r="O294" s="10" t="n">
        <v>0</v>
      </c>
      <c r="P294" s="10" t="n">
        <v>0</v>
      </c>
      <c r="Q294" s="9" t="s">
        <v>533</v>
      </c>
    </row>
  </sheetData>
  <conditionalFormatting sqref="Q7:Q294">
    <cfRule type="containsText" priority="2" operator="containsText" aboveAverage="0" equalAverage="0" bottom="0" percent="0" rank="0" text="SOURCE EMPTY" dxfId="8">
      <formula>NOT(ISERROR(SEARCH("SOURCE EMPTY",Q7)))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4"/>
    <col collapsed="false" customWidth="true" hidden="false" outlineLevel="0" max="4" min="4" style="0" width="25"/>
    <col collapsed="false" customWidth="true" hidden="false" outlineLevel="0" max="5" min="5" style="0" width="62"/>
    <col collapsed="false" customWidth="true" hidden="false" outlineLevel="0" max="7" min="6" style="0" width="15"/>
  </cols>
  <sheetData>
    <row r="2" customFormat="false" ht="24" hidden="false" customHeight="true" outlineLevel="0" collapsed="false">
      <c r="A2" s="1" t="s">
        <v>534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535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23.85" hidden="false" customHeight="false" outlineLevel="0" collapsed="false">
      <c r="A6" s="8" t="s">
        <v>536</v>
      </c>
      <c r="B6" s="8" t="s">
        <v>537</v>
      </c>
      <c r="C6" s="8" t="s">
        <v>538</v>
      </c>
      <c r="D6" s="8" t="s">
        <v>539</v>
      </c>
      <c r="E6" s="8" t="s">
        <v>540</v>
      </c>
      <c r="F6" s="8" t="s">
        <v>76</v>
      </c>
      <c r="G6" s="8" t="s">
        <v>86</v>
      </c>
    </row>
    <row r="7" customFormat="false" ht="15" hidden="false" customHeight="false" outlineLevel="0" collapsed="false">
      <c r="A7" s="9" t="s">
        <v>541</v>
      </c>
      <c r="B7" s="9" t="s">
        <v>542</v>
      </c>
      <c r="C7" s="9" t="s">
        <v>543</v>
      </c>
      <c r="D7" s="9" t="s">
        <v>507</v>
      </c>
      <c r="E7" s="9" t="s">
        <v>544</v>
      </c>
      <c r="F7" s="9" t="s">
        <v>545</v>
      </c>
      <c r="G7" s="9" t="s">
        <v>546</v>
      </c>
    </row>
    <row r="8" customFormat="false" ht="15" hidden="false" customHeight="false" outlineLevel="0" collapsed="false">
      <c r="A8" s="9" t="s">
        <v>547</v>
      </c>
      <c r="B8" s="9" t="s">
        <v>548</v>
      </c>
      <c r="C8" s="9" t="s">
        <v>543</v>
      </c>
      <c r="D8" s="9" t="s">
        <v>507</v>
      </c>
      <c r="E8" s="9" t="s">
        <v>549</v>
      </c>
      <c r="F8" s="9" t="s">
        <v>545</v>
      </c>
      <c r="G8" s="9" t="s">
        <v>546</v>
      </c>
    </row>
    <row r="9" customFormat="false" ht="15" hidden="false" customHeight="false" outlineLevel="0" collapsed="false">
      <c r="A9" s="9" t="s">
        <v>550</v>
      </c>
      <c r="B9" s="9" t="s">
        <v>551</v>
      </c>
      <c r="C9" s="9" t="s">
        <v>552</v>
      </c>
      <c r="D9" s="9" t="s">
        <v>507</v>
      </c>
      <c r="E9" s="9" t="s">
        <v>553</v>
      </c>
      <c r="F9" s="9" t="s">
        <v>545</v>
      </c>
      <c r="G9" s="9" t="s">
        <v>546</v>
      </c>
    </row>
    <row r="10" customFormat="false" ht="15" hidden="false" customHeight="false" outlineLevel="0" collapsed="false">
      <c r="A10" s="9" t="s">
        <v>554</v>
      </c>
      <c r="B10" s="9" t="s">
        <v>555</v>
      </c>
      <c r="C10" s="9" t="s">
        <v>556</v>
      </c>
      <c r="D10" s="9" t="s">
        <v>507</v>
      </c>
      <c r="E10" s="9" t="s">
        <v>557</v>
      </c>
      <c r="F10" s="9" t="s">
        <v>545</v>
      </c>
      <c r="G10" s="9" t="s">
        <v>546</v>
      </c>
    </row>
    <row r="11" customFormat="false" ht="15" hidden="false" customHeight="false" outlineLevel="0" collapsed="false">
      <c r="A11" s="9" t="s">
        <v>558</v>
      </c>
      <c r="B11" s="9" t="s">
        <v>559</v>
      </c>
      <c r="C11" s="9" t="s">
        <v>560</v>
      </c>
      <c r="D11" s="9" t="s">
        <v>507</v>
      </c>
      <c r="E11" s="9" t="s">
        <v>561</v>
      </c>
      <c r="F11" s="9" t="s">
        <v>545</v>
      </c>
      <c r="G11" s="9" t="s">
        <v>546</v>
      </c>
    </row>
    <row r="12" customFormat="false" ht="15" hidden="false" customHeight="false" outlineLevel="0" collapsed="false">
      <c r="A12" s="9" t="s">
        <v>562</v>
      </c>
      <c r="B12" s="9" t="s">
        <v>563</v>
      </c>
      <c r="C12" s="9" t="s">
        <v>564</v>
      </c>
      <c r="D12" s="9" t="s">
        <v>507</v>
      </c>
      <c r="E12" s="9" t="s">
        <v>565</v>
      </c>
      <c r="F12" s="9" t="s">
        <v>545</v>
      </c>
      <c r="G12" s="9" t="s">
        <v>546</v>
      </c>
    </row>
    <row r="13" customFormat="false" ht="15" hidden="false" customHeight="false" outlineLevel="0" collapsed="false">
      <c r="A13" s="9" t="s">
        <v>566</v>
      </c>
      <c r="B13" s="9" t="s">
        <v>567</v>
      </c>
      <c r="C13" s="9" t="s">
        <v>568</v>
      </c>
      <c r="D13" s="9" t="s">
        <v>507</v>
      </c>
      <c r="E13" s="9" t="s">
        <v>569</v>
      </c>
      <c r="F13" s="9" t="s">
        <v>545</v>
      </c>
      <c r="G13" s="9" t="s">
        <v>546</v>
      </c>
    </row>
    <row r="14" customFormat="false" ht="15" hidden="false" customHeight="false" outlineLevel="0" collapsed="false">
      <c r="A14" s="9" t="s">
        <v>570</v>
      </c>
      <c r="B14" s="9" t="s">
        <v>571</v>
      </c>
      <c r="C14" s="9" t="s">
        <v>572</v>
      </c>
      <c r="D14" s="9" t="s">
        <v>507</v>
      </c>
      <c r="E14" s="9" t="s">
        <v>573</v>
      </c>
      <c r="F14" s="9" t="s">
        <v>545</v>
      </c>
      <c r="G14" s="9" t="s">
        <v>546</v>
      </c>
    </row>
    <row r="15" customFormat="false" ht="15" hidden="false" customHeight="false" outlineLevel="0" collapsed="false">
      <c r="A15" s="9" t="s">
        <v>574</v>
      </c>
      <c r="B15" s="9" t="s">
        <v>575</v>
      </c>
      <c r="C15" s="9" t="s">
        <v>576</v>
      </c>
      <c r="D15" s="9" t="s">
        <v>507</v>
      </c>
      <c r="E15" s="9" t="s">
        <v>577</v>
      </c>
      <c r="F15" s="9" t="s">
        <v>545</v>
      </c>
      <c r="G15" s="9" t="s">
        <v>546</v>
      </c>
    </row>
    <row r="16" customFormat="false" ht="23.85" hidden="false" customHeight="false" outlineLevel="0" collapsed="false">
      <c r="A16" s="9" t="s">
        <v>578</v>
      </c>
      <c r="B16" s="9" t="s">
        <v>579</v>
      </c>
      <c r="C16" s="9" t="s">
        <v>580</v>
      </c>
      <c r="D16" s="9" t="s">
        <v>507</v>
      </c>
      <c r="E16" s="9" t="s">
        <v>581</v>
      </c>
      <c r="F16" s="9" t="s">
        <v>545</v>
      </c>
      <c r="G16" s="9" t="s">
        <v>546</v>
      </c>
    </row>
    <row r="17" customFormat="false" ht="23.85" hidden="false" customHeight="false" outlineLevel="0" collapsed="false">
      <c r="A17" s="9" t="s">
        <v>582</v>
      </c>
      <c r="B17" s="9" t="s">
        <v>583</v>
      </c>
      <c r="C17" s="9" t="s">
        <v>584</v>
      </c>
      <c r="D17" s="9" t="s">
        <v>507</v>
      </c>
      <c r="E17" s="9" t="s">
        <v>585</v>
      </c>
      <c r="F17" s="9" t="s">
        <v>545</v>
      </c>
      <c r="G17" s="9" t="s">
        <v>546</v>
      </c>
    </row>
    <row r="18" customFormat="false" ht="23.85" hidden="false" customHeight="false" outlineLevel="0" collapsed="false">
      <c r="A18" s="9" t="s">
        <v>586</v>
      </c>
      <c r="B18" s="9" t="s">
        <v>587</v>
      </c>
      <c r="C18" s="9" t="s">
        <v>588</v>
      </c>
      <c r="D18" s="9" t="s">
        <v>507</v>
      </c>
      <c r="E18" s="9" t="s">
        <v>589</v>
      </c>
      <c r="F18" s="9" t="s">
        <v>545</v>
      </c>
      <c r="G18" s="9" t="s">
        <v>546</v>
      </c>
    </row>
  </sheetData>
  <conditionalFormatting sqref="D7:D18">
    <cfRule type="containsText" priority="2" operator="containsText" aboveAverage="0" equalAverage="0" bottom="0" percent="0" rank="0" text="Yes" dxfId="9">
      <formula>NOT(ISERROR(SEARCH("Yes",D7)))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57"/>
    <col collapsed="false" customWidth="true" hidden="false" outlineLevel="0" max="6" min="6" style="0" width="20"/>
  </cols>
  <sheetData>
    <row r="2" customFormat="false" ht="24" hidden="false" customHeight="true" outlineLevel="0" collapsed="false">
      <c r="A2" s="1" t="s">
        <v>590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591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4" t="s">
        <v>592</v>
      </c>
      <c r="B6" s="5"/>
      <c r="C6" s="5"/>
      <c r="D6" s="5"/>
      <c r="E6" s="5"/>
      <c r="F6" s="6"/>
    </row>
    <row r="7" customFormat="false" ht="15" hidden="false" customHeight="false" outlineLevel="0" collapsed="false">
      <c r="A7" s="8" t="s">
        <v>593</v>
      </c>
      <c r="B7" s="8" t="s">
        <v>594</v>
      </c>
      <c r="C7" s="8" t="s">
        <v>595</v>
      </c>
      <c r="D7" s="8" t="s">
        <v>596</v>
      </c>
      <c r="E7" s="8" t="s">
        <v>597</v>
      </c>
      <c r="F7" s="8" t="s">
        <v>598</v>
      </c>
    </row>
    <row r="8" customFormat="false" ht="15" hidden="false" customHeight="false" outlineLevel="0" collapsed="false">
      <c r="A8" s="9" t="s">
        <v>599</v>
      </c>
      <c r="B8" s="9" t="s">
        <v>600</v>
      </c>
      <c r="C8" s="9" t="s">
        <v>601</v>
      </c>
      <c r="D8" s="9" t="s">
        <v>602</v>
      </c>
      <c r="E8" s="9" t="s">
        <v>603</v>
      </c>
      <c r="F8" s="9" t="s">
        <v>150</v>
      </c>
    </row>
    <row r="9" customFormat="false" ht="15" hidden="false" customHeight="false" outlineLevel="0" collapsed="false">
      <c r="A9" s="9" t="s">
        <v>604</v>
      </c>
      <c r="B9" s="9" t="s">
        <v>605</v>
      </c>
      <c r="C9" s="9" t="s">
        <v>606</v>
      </c>
      <c r="D9" s="9" t="s">
        <v>607</v>
      </c>
      <c r="E9" s="9" t="s">
        <v>608</v>
      </c>
      <c r="F9" s="9" t="s">
        <v>150</v>
      </c>
    </row>
    <row r="10" customFormat="false" ht="15" hidden="false" customHeight="false" outlineLevel="0" collapsed="false">
      <c r="A10" s="9" t="s">
        <v>609</v>
      </c>
      <c r="B10" s="9" t="s">
        <v>610</v>
      </c>
      <c r="C10" s="9" t="s">
        <v>611</v>
      </c>
      <c r="D10" s="9" t="s">
        <v>612</v>
      </c>
      <c r="E10" s="9" t="s">
        <v>613</v>
      </c>
      <c r="F10" s="9" t="s">
        <v>150</v>
      </c>
    </row>
    <row r="11" customFormat="false" ht="15" hidden="false" customHeight="false" outlineLevel="0" collapsed="false">
      <c r="A11" s="9" t="s">
        <v>614</v>
      </c>
      <c r="B11" s="9" t="s">
        <v>615</v>
      </c>
      <c r="C11" s="9" t="s">
        <v>616</v>
      </c>
      <c r="D11" s="9" t="s">
        <v>617</v>
      </c>
      <c r="E11" s="9" t="s">
        <v>618</v>
      </c>
      <c r="F11" s="9" t="s">
        <v>150</v>
      </c>
    </row>
    <row r="12" customFormat="false" ht="15" hidden="false" customHeight="false" outlineLevel="0" collapsed="false">
      <c r="A12" s="9" t="s">
        <v>619</v>
      </c>
      <c r="B12" s="9" t="s">
        <v>620</v>
      </c>
      <c r="C12" s="9" t="s">
        <v>621</v>
      </c>
      <c r="D12" s="9" t="s">
        <v>622</v>
      </c>
      <c r="E12" s="9" t="s">
        <v>623</v>
      </c>
      <c r="F12" s="9" t="s">
        <v>150</v>
      </c>
    </row>
    <row r="13" customFormat="false" ht="15" hidden="false" customHeight="false" outlineLevel="0" collapsed="false">
      <c r="A13" s="9" t="s">
        <v>624</v>
      </c>
      <c r="B13" s="9" t="s">
        <v>625</v>
      </c>
      <c r="C13" s="9" t="s">
        <v>626</v>
      </c>
      <c r="D13" s="9" t="s">
        <v>627</v>
      </c>
      <c r="E13" s="9" t="s">
        <v>628</v>
      </c>
      <c r="F13" s="9" t="s">
        <v>150</v>
      </c>
    </row>
    <row r="14" customFormat="false" ht="15" hidden="false" customHeight="false" outlineLevel="0" collapsed="false">
      <c r="A14" s="9" t="s">
        <v>629</v>
      </c>
      <c r="B14" s="9" t="s">
        <v>630</v>
      </c>
      <c r="C14" s="9" t="s">
        <v>631</v>
      </c>
      <c r="D14" s="9" t="s">
        <v>632</v>
      </c>
      <c r="E14" s="9" t="s">
        <v>633</v>
      </c>
      <c r="F14" s="9" t="s">
        <v>150</v>
      </c>
    </row>
    <row r="15" customFormat="false" ht="15" hidden="false" customHeight="false" outlineLevel="0" collapsed="false">
      <c r="A15" s="9" t="s">
        <v>634</v>
      </c>
      <c r="B15" s="9" t="s">
        <v>635</v>
      </c>
      <c r="C15" s="9" t="s">
        <v>636</v>
      </c>
      <c r="D15" s="9" t="s">
        <v>637</v>
      </c>
      <c r="E15" s="9" t="s">
        <v>638</v>
      </c>
      <c r="F15" s="9" t="s">
        <v>150</v>
      </c>
    </row>
    <row r="16" customFormat="false" ht="15" hidden="false" customHeight="false" outlineLevel="0" collapsed="false">
      <c r="A16" s="9" t="s">
        <v>639</v>
      </c>
      <c r="B16" s="9" t="s">
        <v>640</v>
      </c>
      <c r="C16" s="9" t="s">
        <v>641</v>
      </c>
      <c r="D16" s="9" t="s">
        <v>642</v>
      </c>
      <c r="E16" s="9" t="s">
        <v>643</v>
      </c>
      <c r="F16" s="9" t="s">
        <v>150</v>
      </c>
    </row>
    <row r="17" customFormat="false" ht="15" hidden="false" customHeight="false" outlineLevel="0" collapsed="false">
      <c r="A17" s="9" t="s">
        <v>644</v>
      </c>
      <c r="B17" s="9" t="s">
        <v>645</v>
      </c>
      <c r="C17" s="9" t="s">
        <v>646</v>
      </c>
      <c r="D17" s="9" t="s">
        <v>647</v>
      </c>
      <c r="E17" s="9" t="s">
        <v>648</v>
      </c>
      <c r="F17" s="9" t="s">
        <v>150</v>
      </c>
    </row>
    <row r="18" customFormat="false" ht="15" hidden="false" customHeight="false" outlineLevel="0" collapsed="false">
      <c r="A18" s="9" t="s">
        <v>649</v>
      </c>
      <c r="B18" s="9" t="s">
        <v>650</v>
      </c>
      <c r="C18" s="9" t="s">
        <v>651</v>
      </c>
      <c r="D18" s="9" t="s">
        <v>652</v>
      </c>
      <c r="E18" s="9" t="s">
        <v>653</v>
      </c>
      <c r="F18" s="9" t="s">
        <v>150</v>
      </c>
    </row>
    <row r="19" customFormat="false" ht="15" hidden="false" customHeight="false" outlineLevel="0" collapsed="false">
      <c r="A19" s="9" t="s">
        <v>654</v>
      </c>
      <c r="B19" s="9" t="s">
        <v>655</v>
      </c>
      <c r="C19" s="9" t="s">
        <v>656</v>
      </c>
      <c r="D19" s="9" t="s">
        <v>657</v>
      </c>
      <c r="E19" s="9" t="s">
        <v>658</v>
      </c>
      <c r="F19" s="9" t="s">
        <v>150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4" t="s">
        <v>659</v>
      </c>
      <c r="B21" s="5"/>
      <c r="C21" s="5"/>
      <c r="D21" s="5"/>
      <c r="E21" s="5"/>
      <c r="F21" s="6"/>
    </row>
    <row r="22" customFormat="false" ht="15" hidden="false" customHeight="false" outlineLevel="0" collapsed="false">
      <c r="A22" s="8" t="s">
        <v>660</v>
      </c>
      <c r="B22" s="8" t="s">
        <v>661</v>
      </c>
      <c r="C22" s="8" t="s">
        <v>662</v>
      </c>
      <c r="D22" s="8" t="s">
        <v>663</v>
      </c>
      <c r="E22" s="2"/>
      <c r="F22" s="2"/>
    </row>
    <row r="23" customFormat="false" ht="15" hidden="false" customHeight="false" outlineLevel="0" collapsed="false">
      <c r="A23" s="9" t="s">
        <v>664</v>
      </c>
      <c r="B23" s="9" t="s">
        <v>665</v>
      </c>
      <c r="C23" s="9" t="s">
        <v>666</v>
      </c>
      <c r="D23" s="9" t="s">
        <v>667</v>
      </c>
      <c r="E23" s="2"/>
      <c r="F23" s="2"/>
    </row>
    <row r="24" customFormat="false" ht="15" hidden="false" customHeight="false" outlineLevel="0" collapsed="false">
      <c r="A24" s="9" t="s">
        <v>668</v>
      </c>
      <c r="B24" s="9" t="s">
        <v>669</v>
      </c>
      <c r="C24" s="9" t="s">
        <v>670</v>
      </c>
      <c r="D24" s="9" t="s">
        <v>671</v>
      </c>
      <c r="E24" s="2"/>
      <c r="F24" s="2"/>
    </row>
    <row r="25" customFormat="false" ht="15" hidden="false" customHeight="false" outlineLevel="0" collapsed="false">
      <c r="A25" s="9" t="s">
        <v>672</v>
      </c>
      <c r="B25" s="9" t="s">
        <v>673</v>
      </c>
      <c r="C25" s="9" t="s">
        <v>674</v>
      </c>
      <c r="D25" s="9" t="s">
        <v>675</v>
      </c>
      <c r="E25" s="2"/>
      <c r="F25" s="2"/>
    </row>
    <row r="26" customFormat="false" ht="15" hidden="false" customHeight="false" outlineLevel="0" collapsed="false">
      <c r="A26" s="9" t="s">
        <v>676</v>
      </c>
      <c r="B26" s="9" t="s">
        <v>677</v>
      </c>
      <c r="C26" s="9" t="s">
        <v>678</v>
      </c>
      <c r="D26" s="9" t="s">
        <v>679</v>
      </c>
      <c r="E26" s="2"/>
      <c r="F26" s="2"/>
    </row>
    <row r="27" customFormat="false" ht="15" hidden="false" customHeight="false" outlineLevel="0" collapsed="false">
      <c r="A27" s="9" t="s">
        <v>680</v>
      </c>
      <c r="B27" s="9" t="s">
        <v>681</v>
      </c>
      <c r="C27" s="9" t="s">
        <v>682</v>
      </c>
      <c r="D27" s="9" t="s">
        <v>683</v>
      </c>
      <c r="E27" s="2"/>
      <c r="F27" s="2"/>
    </row>
    <row r="28" customFormat="false" ht="15" hidden="false" customHeight="false" outlineLevel="0" collapsed="false">
      <c r="A28" s="9" t="s">
        <v>684</v>
      </c>
      <c r="B28" s="9" t="s">
        <v>685</v>
      </c>
      <c r="C28" s="9" t="s">
        <v>686</v>
      </c>
      <c r="D28" s="9" t="s">
        <v>687</v>
      </c>
      <c r="E28" s="2"/>
      <c r="F28" s="2"/>
    </row>
    <row r="29" customFormat="false" ht="15" hidden="false" customHeight="false" outlineLevel="0" collapsed="false">
      <c r="A29" s="9" t="s">
        <v>688</v>
      </c>
      <c r="B29" s="9" t="s">
        <v>689</v>
      </c>
      <c r="C29" s="9" t="s">
        <v>690</v>
      </c>
      <c r="D29" s="9" t="s">
        <v>691</v>
      </c>
      <c r="E29" s="2"/>
      <c r="F29" s="2"/>
    </row>
    <row r="30" customFormat="false" ht="15" hidden="false" customHeight="false" outlineLevel="0" collapsed="false">
      <c r="A30" s="9" t="s">
        <v>692</v>
      </c>
      <c r="B30" s="9" t="s">
        <v>693</v>
      </c>
      <c r="C30" s="9" t="s">
        <v>694</v>
      </c>
      <c r="D30" s="9" t="s">
        <v>695</v>
      </c>
      <c r="E30" s="2"/>
      <c r="F30" s="2"/>
    </row>
    <row r="31" customFormat="false" ht="15" hidden="false" customHeight="false" outlineLevel="0" collapsed="false">
      <c r="A31" s="9" t="s">
        <v>696</v>
      </c>
      <c r="B31" s="9" t="s">
        <v>697</v>
      </c>
      <c r="C31" s="9" t="s">
        <v>698</v>
      </c>
      <c r="D31" s="9" t="s">
        <v>699</v>
      </c>
      <c r="E31" s="2"/>
      <c r="F31" s="2"/>
    </row>
    <row r="32" customFormat="false" ht="15" hidden="false" customHeight="false" outlineLevel="0" collapsed="false">
      <c r="A32" s="9" t="s">
        <v>700</v>
      </c>
      <c r="B32" s="9" t="s">
        <v>701</v>
      </c>
      <c r="C32" s="9" t="s">
        <v>702</v>
      </c>
      <c r="D32" s="9" t="s">
        <v>703</v>
      </c>
      <c r="E32" s="2"/>
      <c r="F32" s="2"/>
    </row>
    <row r="33" customFormat="false" ht="15" hidden="false" customHeight="false" outlineLevel="0" collapsed="false">
      <c r="A33" s="9" t="s">
        <v>704</v>
      </c>
      <c r="B33" s="9" t="s">
        <v>705</v>
      </c>
      <c r="C33" s="9" t="s">
        <v>706</v>
      </c>
      <c r="D33" s="9" t="s">
        <v>707</v>
      </c>
      <c r="E33" s="2"/>
      <c r="F33" s="2"/>
    </row>
    <row r="34" customFormat="false" ht="15" hidden="false" customHeight="false" outlineLevel="0" collapsed="false">
      <c r="A34" s="9" t="s">
        <v>708</v>
      </c>
      <c r="B34" s="9" t="s">
        <v>709</v>
      </c>
      <c r="C34" s="9" t="s">
        <v>710</v>
      </c>
      <c r="D34" s="9" t="s">
        <v>711</v>
      </c>
      <c r="E34" s="2"/>
      <c r="F3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1"/>
    <col collapsed="false" customWidth="true" hidden="false" outlineLevel="0" max="6" min="6" style="0" width="24"/>
    <col collapsed="false" customWidth="true" hidden="false" outlineLevel="0" max="8" min="8" style="0" width="42"/>
    <col collapsed="false" customWidth="true" hidden="false" outlineLevel="0" max="9" min="9" style="0" width="18"/>
  </cols>
  <sheetData>
    <row r="2" customFormat="false" ht="24" hidden="false" customHeight="true" outlineLevel="0" collapsed="false">
      <c r="A2" s="1" t="s">
        <v>712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713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23.85" hidden="false" customHeight="false" outlineLevel="0" collapsed="false">
      <c r="A6" s="8" t="s">
        <v>714</v>
      </c>
      <c r="B6" s="8" t="s">
        <v>715</v>
      </c>
      <c r="C6" s="8" t="s">
        <v>716</v>
      </c>
      <c r="D6" s="8" t="s">
        <v>717</v>
      </c>
      <c r="E6" s="8" t="s">
        <v>718</v>
      </c>
      <c r="F6" s="8" t="s">
        <v>86</v>
      </c>
      <c r="G6" s="2"/>
      <c r="H6" s="8" t="s">
        <v>714</v>
      </c>
      <c r="I6" s="8" t="s">
        <v>11</v>
      </c>
      <c r="J6" s="2"/>
    </row>
    <row r="7" customFormat="false" ht="15" hidden="false" customHeight="false" outlineLevel="0" collapsed="false">
      <c r="A7" s="9" t="s">
        <v>719</v>
      </c>
      <c r="B7" s="9" t="n">
        <v>6</v>
      </c>
      <c r="C7" s="15" t="n">
        <v>0.25</v>
      </c>
      <c r="D7" s="15" t="n">
        <f aca="false">B7*C7</f>
        <v>1.5</v>
      </c>
      <c r="E7" s="16" t="n">
        <f aca="false">D7/$D$15</f>
        <v>0.125</v>
      </c>
      <c r="F7" s="9" t="s">
        <v>720</v>
      </c>
      <c r="G7" s="2"/>
      <c r="H7" s="2" t="s">
        <v>719</v>
      </c>
      <c r="I7" s="17" t="n">
        <f aca="false">D7</f>
        <v>1.5</v>
      </c>
      <c r="J7" s="2"/>
    </row>
    <row r="8" customFormat="false" ht="15" hidden="false" customHeight="false" outlineLevel="0" collapsed="false">
      <c r="A8" s="9" t="s">
        <v>721</v>
      </c>
      <c r="B8" s="9" t="n">
        <v>24</v>
      </c>
      <c r="C8" s="15" t="n">
        <v>0.175</v>
      </c>
      <c r="D8" s="15" t="n">
        <f aca="false">B8*C8</f>
        <v>4.2</v>
      </c>
      <c r="E8" s="16" t="n">
        <f aca="false">D8/$D$15</f>
        <v>0.35</v>
      </c>
      <c r="F8" s="9" t="s">
        <v>720</v>
      </c>
      <c r="G8" s="2"/>
      <c r="H8" s="2" t="s">
        <v>721</v>
      </c>
      <c r="I8" s="17" t="n">
        <f aca="false">D8</f>
        <v>4.2</v>
      </c>
      <c r="J8" s="2"/>
    </row>
    <row r="9" customFormat="false" ht="15" hidden="false" customHeight="false" outlineLevel="0" collapsed="false">
      <c r="A9" s="9" t="s">
        <v>722</v>
      </c>
      <c r="B9" s="9" t="n">
        <v>144</v>
      </c>
      <c r="C9" s="15" t="n">
        <v>0.0125</v>
      </c>
      <c r="D9" s="15" t="n">
        <f aca="false">B9*C9</f>
        <v>1.8</v>
      </c>
      <c r="E9" s="16" t="n">
        <f aca="false">D9/$D$15</f>
        <v>0.15</v>
      </c>
      <c r="F9" s="9" t="s">
        <v>720</v>
      </c>
      <c r="G9" s="2"/>
      <c r="H9" s="2" t="s">
        <v>722</v>
      </c>
      <c r="I9" s="17" t="n">
        <f aca="false">D9</f>
        <v>1.8</v>
      </c>
      <c r="J9" s="2"/>
    </row>
    <row r="10" customFormat="false" ht="15" hidden="false" customHeight="false" outlineLevel="0" collapsed="false">
      <c r="A10" s="9" t="s">
        <v>723</v>
      </c>
      <c r="B10" s="9" t="n">
        <v>144</v>
      </c>
      <c r="C10" s="15" t="n">
        <v>0.01</v>
      </c>
      <c r="D10" s="15" t="n">
        <f aca="false">B10*C10</f>
        <v>1.44</v>
      </c>
      <c r="E10" s="16" t="n">
        <f aca="false">D10/$D$15</f>
        <v>0.12</v>
      </c>
      <c r="F10" s="9" t="s">
        <v>720</v>
      </c>
      <c r="G10" s="2"/>
      <c r="H10" s="2" t="s">
        <v>723</v>
      </c>
      <c r="I10" s="17" t="n">
        <f aca="false">D10</f>
        <v>1.44</v>
      </c>
      <c r="J10" s="2"/>
    </row>
    <row r="11" customFormat="false" ht="15" hidden="false" customHeight="false" outlineLevel="0" collapsed="false">
      <c r="A11" s="9" t="s">
        <v>724</v>
      </c>
      <c r="B11" s="9" t="n">
        <v>24</v>
      </c>
      <c r="C11" s="15" t="n">
        <v>0.05</v>
      </c>
      <c r="D11" s="15" t="n">
        <f aca="false">B11*C11</f>
        <v>1.2</v>
      </c>
      <c r="E11" s="16" t="n">
        <f aca="false">D11/$D$15</f>
        <v>0.1</v>
      </c>
      <c r="F11" s="9" t="s">
        <v>720</v>
      </c>
      <c r="G11" s="2"/>
      <c r="H11" s="2" t="s">
        <v>724</v>
      </c>
      <c r="I11" s="17" t="n">
        <f aca="false">D11</f>
        <v>1.2</v>
      </c>
      <c r="J11" s="2"/>
    </row>
    <row r="12" customFormat="false" ht="15" hidden="false" customHeight="false" outlineLevel="0" collapsed="false">
      <c r="A12" s="9" t="s">
        <v>725</v>
      </c>
      <c r="B12" s="9" t="n">
        <v>6</v>
      </c>
      <c r="C12" s="15" t="n">
        <v>0.12</v>
      </c>
      <c r="D12" s="15" t="n">
        <f aca="false">B12*C12</f>
        <v>0.72</v>
      </c>
      <c r="E12" s="16" t="n">
        <f aca="false">D12/$D$15</f>
        <v>0.06</v>
      </c>
      <c r="F12" s="9" t="s">
        <v>720</v>
      </c>
      <c r="G12" s="2"/>
      <c r="H12" s="2" t="s">
        <v>725</v>
      </c>
      <c r="I12" s="17" t="n">
        <f aca="false">D12</f>
        <v>0.72</v>
      </c>
      <c r="J12" s="2"/>
    </row>
    <row r="13" customFormat="false" ht="15" hidden="false" customHeight="false" outlineLevel="0" collapsed="false">
      <c r="A13" s="9" t="s">
        <v>726</v>
      </c>
      <c r="B13" s="9" t="n">
        <v>6</v>
      </c>
      <c r="C13" s="15" t="n">
        <v>0.09</v>
      </c>
      <c r="D13" s="15" t="n">
        <f aca="false">B13*C13</f>
        <v>0.54</v>
      </c>
      <c r="E13" s="16" t="n">
        <f aca="false">D13/$D$15</f>
        <v>0.045</v>
      </c>
      <c r="F13" s="9" t="s">
        <v>720</v>
      </c>
      <c r="G13" s="2"/>
      <c r="H13" s="2" t="s">
        <v>726</v>
      </c>
      <c r="I13" s="17" t="n">
        <f aca="false">D13</f>
        <v>0.54</v>
      </c>
      <c r="J13" s="2"/>
    </row>
    <row r="14" customFormat="false" ht="15" hidden="false" customHeight="false" outlineLevel="0" collapsed="false">
      <c r="A14" s="9" t="s">
        <v>727</v>
      </c>
      <c r="B14" s="9" t="n">
        <v>1</v>
      </c>
      <c r="C14" s="15" t="n">
        <v>0.6</v>
      </c>
      <c r="D14" s="15" t="n">
        <f aca="false">B14*C14</f>
        <v>0.6</v>
      </c>
      <c r="E14" s="16" t="n">
        <f aca="false">D14/$D$15</f>
        <v>0.05</v>
      </c>
      <c r="F14" s="9" t="s">
        <v>720</v>
      </c>
      <c r="G14" s="2"/>
      <c r="H14" s="2" t="s">
        <v>727</v>
      </c>
      <c r="I14" s="17" t="n">
        <f aca="false">D14</f>
        <v>0.6</v>
      </c>
      <c r="J14" s="2"/>
    </row>
    <row r="15" customFormat="false" ht="15" hidden="false" customHeight="false" outlineLevel="0" collapsed="false">
      <c r="A15" s="18" t="s">
        <v>728</v>
      </c>
      <c r="B15" s="18"/>
      <c r="C15" s="19"/>
      <c r="D15" s="19" t="n">
        <f aca="false">SUM(D7:D14)</f>
        <v>12</v>
      </c>
      <c r="E15" s="20" t="n">
        <f aca="false">SUM(E7:E14)</f>
        <v>1</v>
      </c>
      <c r="F15" s="18" t="s">
        <v>729</v>
      </c>
      <c r="G15" s="2"/>
      <c r="H15" s="2"/>
      <c r="I15" s="2"/>
      <c r="J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4" t="s">
        <v>730</v>
      </c>
      <c r="B17" s="5"/>
      <c r="C17" s="5"/>
      <c r="D17" s="5"/>
      <c r="E17" s="5"/>
      <c r="F17" s="6"/>
      <c r="G17" s="2"/>
      <c r="H17" s="2"/>
      <c r="I17" s="2"/>
      <c r="J17" s="2"/>
    </row>
    <row r="18" customFormat="false" ht="23.85" hidden="false" customHeight="false" outlineLevel="0" collapsed="false">
      <c r="A18" s="8" t="s">
        <v>731</v>
      </c>
      <c r="B18" s="8" t="s">
        <v>718</v>
      </c>
      <c r="C18" s="8" t="s">
        <v>732</v>
      </c>
      <c r="D18" s="8" t="s">
        <v>733</v>
      </c>
      <c r="E18" s="8" t="s">
        <v>734</v>
      </c>
      <c r="F18" s="2"/>
      <c r="G18" s="2"/>
      <c r="H18" s="2"/>
      <c r="I18" s="2"/>
      <c r="J18" s="2"/>
    </row>
    <row r="19" customFormat="false" ht="15" hidden="false" customHeight="false" outlineLevel="0" collapsed="false">
      <c r="A19" s="9" t="s">
        <v>735</v>
      </c>
      <c r="B19" s="21" t="n">
        <v>0.5</v>
      </c>
      <c r="C19" s="15" t="n">
        <f aca="false">$B$24</f>
        <v>14.3476512772823</v>
      </c>
      <c r="D19" s="15" t="n">
        <f aca="false">B19*C19</f>
        <v>7.17382563864113</v>
      </c>
      <c r="E19" s="15" t="n">
        <v>0</v>
      </c>
      <c r="F19" s="2"/>
      <c r="G19" s="2"/>
      <c r="H19" s="2"/>
      <c r="I19" s="2"/>
      <c r="J19" s="2"/>
    </row>
    <row r="20" customFormat="false" ht="15" hidden="false" customHeight="false" outlineLevel="0" collapsed="false">
      <c r="A20" s="9" t="s">
        <v>736</v>
      </c>
      <c r="B20" s="21" t="n">
        <v>0.5</v>
      </c>
      <c r="C20" s="15" t="n">
        <f aca="false">$B$24</f>
        <v>14.3476512772823</v>
      </c>
      <c r="D20" s="15" t="n">
        <f aca="false">B20*C20</f>
        <v>7.17382563864113</v>
      </c>
      <c r="E20" s="15" t="n">
        <v>0</v>
      </c>
      <c r="F20" s="2"/>
      <c r="G20" s="2"/>
      <c r="H20" s="2"/>
      <c r="I20" s="2"/>
      <c r="J20" s="2"/>
    </row>
    <row r="21" customFormat="false" ht="15" hidden="false" customHeight="false" outlineLevel="0" collapsed="false">
      <c r="A21" s="9" t="s">
        <v>737</v>
      </c>
      <c r="B21" s="9"/>
      <c r="C21" s="15"/>
      <c r="D21" s="15"/>
      <c r="E21" s="15" t="n">
        <v>0</v>
      </c>
      <c r="F21" s="2"/>
      <c r="G21" s="2"/>
      <c r="H21" s="2"/>
      <c r="I21" s="2"/>
      <c r="J21" s="2"/>
    </row>
    <row r="22" customFormat="false" ht="15" hidden="false" customHeight="false" outlineLevel="0" collapsed="false">
      <c r="A22" s="9" t="s">
        <v>738</v>
      </c>
      <c r="B22" s="9"/>
      <c r="C22" s="15"/>
      <c r="D22" s="15"/>
      <c r="E22" s="15" t="n">
        <v>0</v>
      </c>
      <c r="F22" s="2"/>
      <c r="G22" s="2"/>
      <c r="H22" s="2"/>
      <c r="I22" s="2"/>
      <c r="J22" s="2"/>
    </row>
    <row r="23" customFormat="false" ht="15" hidden="false" customHeight="false" outlineLevel="0" collapsed="false">
      <c r="A23" s="22" t="s">
        <v>10</v>
      </c>
      <c r="B23" s="23" t="n">
        <v>27.5</v>
      </c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2" t="s">
        <v>14</v>
      </c>
      <c r="B24" s="23" t="n">
        <v>14.3476512772823</v>
      </c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2" t="s">
        <v>17</v>
      </c>
      <c r="B25" s="23" t="n">
        <v>13.1523487227177</v>
      </c>
      <c r="C25" s="2"/>
      <c r="D25" s="2"/>
      <c r="E25" s="2"/>
      <c r="F25" s="2"/>
      <c r="G25" s="2"/>
      <c r="H25" s="2"/>
      <c r="I25" s="2"/>
      <c r="J2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6"/>
    <col collapsed="false" customWidth="true" hidden="false" outlineLevel="0" max="4" min="3" style="0" width="64"/>
    <col collapsed="false" customWidth="true" hidden="false" outlineLevel="0" max="6" min="5" style="0" width="18"/>
  </cols>
  <sheetData>
    <row r="2" customFormat="false" ht="24" hidden="false" customHeight="true" outlineLevel="0" collapsed="false">
      <c r="A2" s="1" t="s">
        <v>739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740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8" t="s">
        <v>741</v>
      </c>
      <c r="B6" s="8" t="s">
        <v>742</v>
      </c>
      <c r="C6" s="8" t="s">
        <v>743</v>
      </c>
      <c r="D6" s="8" t="s">
        <v>744</v>
      </c>
      <c r="E6" s="8" t="s">
        <v>745</v>
      </c>
      <c r="F6" s="8" t="s">
        <v>42</v>
      </c>
    </row>
    <row r="7" customFormat="false" ht="23.85" hidden="false" customHeight="false" outlineLevel="0" collapsed="false">
      <c r="A7" s="9" t="s">
        <v>746</v>
      </c>
      <c r="B7" s="9" t="s">
        <v>747</v>
      </c>
      <c r="C7" s="9" t="s">
        <v>748</v>
      </c>
      <c r="D7" s="9" t="s">
        <v>749</v>
      </c>
      <c r="E7" s="9" t="s">
        <v>750</v>
      </c>
      <c r="F7" s="9" t="n">
        <v>0</v>
      </c>
    </row>
    <row r="8" customFormat="false" ht="23.85" hidden="false" customHeight="false" outlineLevel="0" collapsed="false">
      <c r="A8" s="9" t="s">
        <v>746</v>
      </c>
      <c r="B8" s="9" t="s">
        <v>751</v>
      </c>
      <c r="C8" s="9" t="s">
        <v>752</v>
      </c>
      <c r="D8" s="9" t="s">
        <v>753</v>
      </c>
      <c r="E8" s="9" t="s">
        <v>750</v>
      </c>
      <c r="F8" s="9" t="n">
        <v>0</v>
      </c>
    </row>
    <row r="9" customFormat="false" ht="23.85" hidden="false" customHeight="false" outlineLevel="0" collapsed="false">
      <c r="A9" s="9" t="s">
        <v>746</v>
      </c>
      <c r="B9" s="9" t="s">
        <v>754</v>
      </c>
      <c r="C9" s="9" t="s">
        <v>755</v>
      </c>
      <c r="D9" s="9" t="s">
        <v>756</v>
      </c>
      <c r="E9" s="9" t="s">
        <v>750</v>
      </c>
      <c r="F9" s="9" t="n">
        <v>0</v>
      </c>
    </row>
    <row r="10" customFormat="false" ht="23.85" hidden="false" customHeight="false" outlineLevel="0" collapsed="false">
      <c r="A10" s="9" t="s">
        <v>746</v>
      </c>
      <c r="B10" s="9" t="s">
        <v>757</v>
      </c>
      <c r="C10" s="9" t="s">
        <v>758</v>
      </c>
      <c r="D10" s="9" t="s">
        <v>759</v>
      </c>
      <c r="E10" s="9" t="s">
        <v>750</v>
      </c>
      <c r="F10" s="9" t="n">
        <v>0</v>
      </c>
    </row>
    <row r="11" customFormat="false" ht="23.85" hidden="false" customHeight="false" outlineLevel="0" collapsed="false">
      <c r="A11" s="9" t="s">
        <v>746</v>
      </c>
      <c r="B11" s="9" t="s">
        <v>760</v>
      </c>
      <c r="C11" s="9" t="s">
        <v>761</v>
      </c>
      <c r="D11" s="9" t="s">
        <v>762</v>
      </c>
      <c r="E11" s="9" t="s">
        <v>750</v>
      </c>
      <c r="F11" s="9" t="n">
        <v>0</v>
      </c>
    </row>
    <row r="12" customFormat="false" ht="23.85" hidden="false" customHeight="false" outlineLevel="0" collapsed="false">
      <c r="A12" s="9" t="s">
        <v>92</v>
      </c>
      <c r="B12" s="9" t="s">
        <v>763</v>
      </c>
      <c r="C12" s="9" t="s">
        <v>764</v>
      </c>
      <c r="D12" s="9" t="s">
        <v>765</v>
      </c>
      <c r="E12" s="9" t="s">
        <v>750</v>
      </c>
      <c r="F12" s="9" t="n">
        <v>0</v>
      </c>
    </row>
    <row r="13" customFormat="false" ht="23.85" hidden="false" customHeight="false" outlineLevel="0" collapsed="false">
      <c r="A13" s="9" t="s">
        <v>100</v>
      </c>
      <c r="B13" s="9" t="s">
        <v>766</v>
      </c>
      <c r="C13" s="9" t="s">
        <v>767</v>
      </c>
      <c r="D13" s="9" t="s">
        <v>768</v>
      </c>
      <c r="E13" s="9" t="s">
        <v>750</v>
      </c>
      <c r="F13" s="9" t="n">
        <v>0</v>
      </c>
    </row>
    <row r="14" customFormat="false" ht="23.85" hidden="false" customHeight="false" outlineLevel="0" collapsed="false">
      <c r="A14" s="9" t="s">
        <v>107</v>
      </c>
      <c r="B14" s="9" t="s">
        <v>769</v>
      </c>
      <c r="C14" s="9" t="s">
        <v>770</v>
      </c>
      <c r="D14" s="9" t="s">
        <v>771</v>
      </c>
      <c r="E14" s="9" t="s">
        <v>750</v>
      </c>
      <c r="F14" s="9" t="n">
        <v>0</v>
      </c>
    </row>
    <row r="15" customFormat="false" ht="23.85" hidden="false" customHeight="false" outlineLevel="0" collapsed="false">
      <c r="A15" s="9" t="s">
        <v>114</v>
      </c>
      <c r="B15" s="9" t="s">
        <v>772</v>
      </c>
      <c r="C15" s="9" t="s">
        <v>773</v>
      </c>
      <c r="D15" s="9" t="s">
        <v>774</v>
      </c>
      <c r="E15" s="9" t="s">
        <v>750</v>
      </c>
      <c r="F15" s="9" t="n">
        <v>0</v>
      </c>
    </row>
    <row r="16" customFormat="false" ht="23.85" hidden="false" customHeight="false" outlineLevel="0" collapsed="false">
      <c r="A16" s="9" t="s">
        <v>121</v>
      </c>
      <c r="B16" s="9" t="s">
        <v>775</v>
      </c>
      <c r="C16" s="9" t="s">
        <v>776</v>
      </c>
      <c r="D16" s="9" t="s">
        <v>777</v>
      </c>
      <c r="E16" s="9" t="s">
        <v>750</v>
      </c>
      <c r="F16" s="9" t="n">
        <v>0</v>
      </c>
    </row>
    <row r="17" customFormat="false" ht="23.85" hidden="false" customHeight="false" outlineLevel="0" collapsed="false">
      <c r="A17" s="9" t="s">
        <v>128</v>
      </c>
      <c r="B17" s="9" t="s">
        <v>778</v>
      </c>
      <c r="C17" s="9" t="s">
        <v>779</v>
      </c>
      <c r="D17" s="9" t="s">
        <v>780</v>
      </c>
      <c r="E17" s="9" t="s">
        <v>750</v>
      </c>
      <c r="F17" s="9" t="n">
        <v>0</v>
      </c>
    </row>
    <row r="18" customFormat="false" ht="23.85" hidden="false" customHeight="false" outlineLevel="0" collapsed="false">
      <c r="A18" s="9" t="s">
        <v>746</v>
      </c>
      <c r="B18" s="9" t="s">
        <v>781</v>
      </c>
      <c r="C18" s="9" t="s">
        <v>782</v>
      </c>
      <c r="D18" s="9" t="s">
        <v>783</v>
      </c>
      <c r="E18" s="9" t="s">
        <v>750</v>
      </c>
      <c r="F18" s="9" t="n">
        <v>0</v>
      </c>
    </row>
    <row r="19" customFormat="false" ht="23.85" hidden="false" customHeight="false" outlineLevel="0" collapsed="false">
      <c r="A19" s="9" t="s">
        <v>746</v>
      </c>
      <c r="B19" s="9" t="s">
        <v>784</v>
      </c>
      <c r="C19" s="9" t="s">
        <v>785</v>
      </c>
      <c r="D19" s="9" t="s">
        <v>786</v>
      </c>
      <c r="E19" s="9" t="s">
        <v>750</v>
      </c>
      <c r="F19" s="9" t="n">
        <v>0</v>
      </c>
    </row>
    <row r="20" customFormat="false" ht="23.85" hidden="false" customHeight="false" outlineLevel="0" collapsed="false">
      <c r="A20" s="9" t="s">
        <v>746</v>
      </c>
      <c r="B20" s="9" t="s">
        <v>787</v>
      </c>
      <c r="C20" s="9" t="s">
        <v>788</v>
      </c>
      <c r="D20" s="9" t="s">
        <v>789</v>
      </c>
      <c r="E20" s="9" t="s">
        <v>750</v>
      </c>
      <c r="F20" s="9" t="n">
        <v>0</v>
      </c>
    </row>
  </sheetData>
  <conditionalFormatting sqref="E7:E20">
    <cfRule type="containsText" priority="2" operator="containsText" aboveAverage="0" equalAverage="0" bottom="0" percent="0" rank="0" text="UNPROVED" dxfId="10">
      <formula>NOT(ISERROR(SEARCH("UNPROVED",E7)))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65"/>
    <col collapsed="false" customWidth="true" hidden="false" outlineLevel="0" max="6" min="5" style="0" width="20"/>
  </cols>
  <sheetData>
    <row r="2" customFormat="false" ht="24" hidden="false" customHeight="true" outlineLevel="0" collapsed="false">
      <c r="A2" s="1" t="s">
        <v>790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791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23.85" hidden="false" customHeight="false" outlineLevel="0" collapsed="false">
      <c r="A6" s="8" t="s">
        <v>792</v>
      </c>
      <c r="B6" s="8" t="s">
        <v>793</v>
      </c>
      <c r="C6" s="8" t="s">
        <v>794</v>
      </c>
      <c r="D6" s="8" t="s">
        <v>795</v>
      </c>
      <c r="E6" s="8" t="s">
        <v>796</v>
      </c>
      <c r="F6" s="8" t="s">
        <v>61</v>
      </c>
    </row>
    <row r="7" customFormat="false" ht="15" hidden="false" customHeight="false" outlineLevel="0" collapsed="false">
      <c r="A7" s="9" t="n">
        <v>1</v>
      </c>
      <c r="B7" s="9" t="s">
        <v>797</v>
      </c>
      <c r="C7" s="9" t="s">
        <v>798</v>
      </c>
      <c r="D7" s="9" t="s">
        <v>799</v>
      </c>
      <c r="E7" s="9" t="n">
        <v>0</v>
      </c>
      <c r="F7" s="9" t="str">
        <f aca="false">IF(E7=0,"PASS","FAIL")</f>
        <v>PASS</v>
      </c>
    </row>
    <row r="8" customFormat="false" ht="15" hidden="false" customHeight="false" outlineLevel="0" collapsed="false">
      <c r="A8" s="9" t="n">
        <v>2</v>
      </c>
      <c r="B8" s="9" t="s">
        <v>800</v>
      </c>
      <c r="C8" s="9" t="s">
        <v>801</v>
      </c>
      <c r="D8" s="9" t="s">
        <v>802</v>
      </c>
      <c r="E8" s="9" t="n">
        <v>0</v>
      </c>
      <c r="F8" s="9" t="str">
        <f aca="false">IF(E8=0,"PASS","FAIL")</f>
        <v>PASS</v>
      </c>
    </row>
    <row r="9" customFormat="false" ht="15" hidden="false" customHeight="false" outlineLevel="0" collapsed="false">
      <c r="A9" s="9" t="n">
        <v>3</v>
      </c>
      <c r="B9" s="9" t="s">
        <v>803</v>
      </c>
      <c r="C9" s="9" t="s">
        <v>691</v>
      </c>
      <c r="D9" s="9" t="s">
        <v>804</v>
      </c>
      <c r="E9" s="9" t="n">
        <v>0</v>
      </c>
      <c r="F9" s="9" t="str">
        <f aca="false">IF(E9=0,"PASS","FAIL")</f>
        <v>PASS</v>
      </c>
    </row>
    <row r="10" customFormat="false" ht="15" hidden="false" customHeight="false" outlineLevel="0" collapsed="false">
      <c r="A10" s="9" t="n">
        <v>4</v>
      </c>
      <c r="B10" s="9" t="s">
        <v>805</v>
      </c>
      <c r="C10" s="9" t="s">
        <v>806</v>
      </c>
      <c r="D10" s="9" t="s">
        <v>807</v>
      </c>
      <c r="E10" s="9" t="n">
        <v>0</v>
      </c>
      <c r="F10" s="9" t="str">
        <f aca="false">IF(E10=0,"PASS","FAIL")</f>
        <v>PASS</v>
      </c>
    </row>
    <row r="11" customFormat="false" ht="15" hidden="false" customHeight="false" outlineLevel="0" collapsed="false">
      <c r="A11" s="9" t="n">
        <v>5</v>
      </c>
      <c r="B11" s="9" t="s">
        <v>808</v>
      </c>
      <c r="C11" s="9" t="s">
        <v>809</v>
      </c>
      <c r="D11" s="9" t="s">
        <v>810</v>
      </c>
      <c r="E11" s="9" t="n">
        <v>0</v>
      </c>
      <c r="F11" s="9" t="str">
        <f aca="false">IF(E11=0,"PASS","FAIL")</f>
        <v>PASS</v>
      </c>
    </row>
    <row r="12" customFormat="false" ht="15" hidden="false" customHeight="false" outlineLevel="0" collapsed="false">
      <c r="A12" s="9" t="n">
        <v>6</v>
      </c>
      <c r="B12" s="9" t="s">
        <v>811</v>
      </c>
      <c r="C12" s="9" t="s">
        <v>812</v>
      </c>
      <c r="D12" s="9" t="s">
        <v>813</v>
      </c>
      <c r="E12" s="9" t="n">
        <v>0</v>
      </c>
      <c r="F12" s="9" t="str">
        <f aca="false">IF(E12=0,"PASS","FAIL")</f>
        <v>PASS</v>
      </c>
    </row>
    <row r="13" customFormat="false" ht="15" hidden="false" customHeight="false" outlineLevel="0" collapsed="false">
      <c r="A13" s="9" t="n">
        <v>7</v>
      </c>
      <c r="B13" s="9" t="s">
        <v>814</v>
      </c>
      <c r="C13" s="9" t="s">
        <v>815</v>
      </c>
      <c r="D13" s="9" t="s">
        <v>816</v>
      </c>
      <c r="E13" s="9" t="n">
        <v>0</v>
      </c>
      <c r="F13" s="9" t="str">
        <f aca="false">IF(E13=0,"PASS","FAIL")</f>
        <v>PASS</v>
      </c>
    </row>
    <row r="14" customFormat="false" ht="15" hidden="false" customHeight="false" outlineLevel="0" collapsed="false">
      <c r="A14" s="9" t="n">
        <v>8</v>
      </c>
      <c r="B14" s="9" t="s">
        <v>817</v>
      </c>
      <c r="C14" s="9" t="s">
        <v>818</v>
      </c>
      <c r="D14" s="9" t="s">
        <v>819</v>
      </c>
      <c r="E14" s="9" t="n">
        <v>0</v>
      </c>
      <c r="F14" s="9" t="str">
        <f aca="false">IF(E14=0,"PASS","FAIL")</f>
        <v>PASS</v>
      </c>
    </row>
    <row r="15" customFormat="false" ht="15" hidden="false" customHeight="false" outlineLevel="0" collapsed="false">
      <c r="A15" s="9" t="n">
        <v>9</v>
      </c>
      <c r="B15" s="9" t="s">
        <v>820</v>
      </c>
      <c r="C15" s="9" t="s">
        <v>821</v>
      </c>
      <c r="D15" s="9" t="s">
        <v>822</v>
      </c>
      <c r="E15" s="9" t="n">
        <v>0</v>
      </c>
      <c r="F15" s="9" t="str">
        <f aca="false">IF(E15=0,"PASS","FAIL")</f>
        <v>PASS</v>
      </c>
    </row>
    <row r="16" customFormat="false" ht="15" hidden="false" customHeight="false" outlineLevel="0" collapsed="false">
      <c r="A16" s="9" t="n">
        <v>10</v>
      </c>
      <c r="B16" s="9" t="s">
        <v>823</v>
      </c>
      <c r="C16" s="9" t="s">
        <v>824</v>
      </c>
      <c r="D16" s="9" t="s">
        <v>825</v>
      </c>
      <c r="E16" s="9" t="n">
        <v>0</v>
      </c>
      <c r="F16" s="9" t="str">
        <f aca="false">IF(E16=0,"PASS","FAIL")</f>
        <v>PASS</v>
      </c>
    </row>
    <row r="17" customFormat="false" ht="15" hidden="false" customHeight="false" outlineLevel="0" collapsed="false">
      <c r="A17" s="9" t="n">
        <v>11</v>
      </c>
      <c r="B17" s="9" t="s">
        <v>826</v>
      </c>
      <c r="C17" s="9" t="s">
        <v>827</v>
      </c>
      <c r="D17" s="9" t="s">
        <v>828</v>
      </c>
      <c r="E17" s="9" t="n">
        <v>0</v>
      </c>
      <c r="F17" s="9" t="str">
        <f aca="false">IF(E17=0,"PASS","FAIL")</f>
        <v>PASS</v>
      </c>
    </row>
    <row r="18" customFormat="false" ht="15" hidden="false" customHeight="false" outlineLevel="0" collapsed="false">
      <c r="A18" s="9" t="n">
        <v>12</v>
      </c>
      <c r="B18" s="9" t="s">
        <v>829</v>
      </c>
      <c r="C18" s="9" t="s">
        <v>830</v>
      </c>
      <c r="D18" s="9" t="s">
        <v>831</v>
      </c>
      <c r="E18" s="9" t="n">
        <v>0</v>
      </c>
      <c r="F18" s="9" t="str">
        <f aca="false">IF(E18=0,"PASS","FAIL")</f>
        <v>PASS</v>
      </c>
    </row>
    <row r="19" customFormat="false" ht="15" hidden="false" customHeight="false" outlineLevel="0" collapsed="false">
      <c r="A19" s="9" t="n">
        <v>13</v>
      </c>
      <c r="B19" s="9" t="s">
        <v>832</v>
      </c>
      <c r="C19" s="9" t="s">
        <v>833</v>
      </c>
      <c r="D19" s="9" t="s">
        <v>834</v>
      </c>
      <c r="E19" s="9" t="n">
        <v>0</v>
      </c>
      <c r="F19" s="9" t="str">
        <f aca="false">IF(E19=0,"PASS","FAIL")</f>
        <v>PASS</v>
      </c>
    </row>
    <row r="20" customFormat="false" ht="23.85" hidden="false" customHeight="false" outlineLevel="0" collapsed="false">
      <c r="A20" s="9" t="n">
        <v>14</v>
      </c>
      <c r="B20" s="9" t="s">
        <v>835</v>
      </c>
      <c r="C20" s="9" t="s">
        <v>836</v>
      </c>
      <c r="D20" s="9" t="s">
        <v>837</v>
      </c>
      <c r="E20" s="9" t="n">
        <v>0</v>
      </c>
      <c r="F20" s="9" t="str">
        <f aca="false">IF(E20=0,"PASS","FAIL")</f>
        <v>PASS</v>
      </c>
    </row>
    <row r="21" customFormat="false" ht="15" hidden="false" customHeight="false" outlineLevel="0" collapsed="false">
      <c r="A21" s="9" t="n">
        <v>15</v>
      </c>
      <c r="B21" s="9" t="s">
        <v>838</v>
      </c>
      <c r="C21" s="9" t="s">
        <v>839</v>
      </c>
      <c r="D21" s="9" t="s">
        <v>840</v>
      </c>
      <c r="E21" s="9" t="n">
        <v>0</v>
      </c>
      <c r="F21" s="9" t="str">
        <f aca="false">IF(E21=0,"PASS","FAIL")</f>
        <v>PASS</v>
      </c>
    </row>
    <row r="22" customFormat="false" ht="23.85" hidden="false" customHeight="false" outlineLevel="0" collapsed="false">
      <c r="A22" s="9" t="n">
        <v>16</v>
      </c>
      <c r="B22" s="9" t="s">
        <v>841</v>
      </c>
      <c r="C22" s="9" t="s">
        <v>842</v>
      </c>
      <c r="D22" s="9" t="s">
        <v>843</v>
      </c>
      <c r="E22" s="9" t="n">
        <v>0</v>
      </c>
      <c r="F22" s="9" t="str">
        <f aca="false">IF(E22=0,"PASS","FAIL")</f>
        <v>PASS</v>
      </c>
    </row>
  </sheetData>
  <conditionalFormatting sqref="F7:F22">
    <cfRule type="containsText" priority="2" operator="containsText" aboveAverage="0" equalAverage="0" bottom="0" percent="0" rank="0" text="FAIL" dxfId="11">
      <formula>NOT(ISERROR(SEARCH("FAIL",F7)))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4" min="3" style="0" width="19"/>
    <col collapsed="false" customWidth="true" hidden="false" outlineLevel="0" max="7" min="5" style="0" width="20"/>
    <col collapsed="false" customWidth="true" hidden="false" outlineLevel="0" max="8" min="8" style="0" width="18"/>
  </cols>
  <sheetData>
    <row r="2" customFormat="false" ht="24" hidden="false" customHeight="true" outlineLevel="0" collapsed="false">
      <c r="A2" s="1" t="s">
        <v>844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845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8" t="s">
        <v>792</v>
      </c>
      <c r="B6" s="8" t="s">
        <v>846</v>
      </c>
      <c r="C6" s="8" t="s">
        <v>847</v>
      </c>
      <c r="D6" s="8" t="s">
        <v>848</v>
      </c>
      <c r="E6" s="8" t="s">
        <v>849</v>
      </c>
      <c r="F6" s="8" t="s">
        <v>850</v>
      </c>
      <c r="G6" s="8" t="s">
        <v>851</v>
      </c>
      <c r="H6" s="8" t="s">
        <v>42</v>
      </c>
    </row>
    <row r="7" customFormat="false" ht="15" hidden="false" customHeight="false" outlineLevel="0" collapsed="false">
      <c r="A7" s="9" t="n">
        <v>1</v>
      </c>
      <c r="B7" s="9" t="s">
        <v>852</v>
      </c>
      <c r="C7" s="9" t="n">
        <v>6</v>
      </c>
      <c r="D7" s="9" t="n">
        <v>5</v>
      </c>
      <c r="E7" s="9" t="str">
        <f aca="false">IF(D7&lt;&gt;C7,"YES","NO")</f>
        <v>YES</v>
      </c>
      <c r="F7" s="9" t="n">
        <f aca="false">C7</f>
        <v>6</v>
      </c>
      <c r="G7" s="9" t="str">
        <f aca="false">IF(F7=C7,"YES","NO")</f>
        <v>YES</v>
      </c>
      <c r="H7" s="9" t="n">
        <v>0</v>
      </c>
    </row>
    <row r="8" customFormat="false" ht="15" hidden="false" customHeight="false" outlineLevel="0" collapsed="false">
      <c r="A8" s="9" t="n">
        <v>2</v>
      </c>
      <c r="B8" s="9" t="s">
        <v>853</v>
      </c>
      <c r="C8" s="9" t="n">
        <v>24</v>
      </c>
      <c r="D8" s="9" t="n">
        <v>23</v>
      </c>
      <c r="E8" s="9" t="str">
        <f aca="false">IF(D8&lt;&gt;C8,"YES","NO")</f>
        <v>YES</v>
      </c>
      <c r="F8" s="9" t="n">
        <f aca="false">C8</f>
        <v>24</v>
      </c>
      <c r="G8" s="9" t="str">
        <f aca="false">IF(F8=C8,"YES","NO")</f>
        <v>YES</v>
      </c>
      <c r="H8" s="9" t="n">
        <v>0</v>
      </c>
    </row>
    <row r="9" customFormat="false" ht="15" hidden="false" customHeight="false" outlineLevel="0" collapsed="false">
      <c r="A9" s="9" t="n">
        <v>3</v>
      </c>
      <c r="B9" s="9" t="s">
        <v>854</v>
      </c>
      <c r="C9" s="9" t="n">
        <v>72</v>
      </c>
      <c r="D9" s="9" t="n">
        <v>71</v>
      </c>
      <c r="E9" s="9" t="str">
        <f aca="false">IF(D9&lt;&gt;C9,"YES","NO")</f>
        <v>YES</v>
      </c>
      <c r="F9" s="9" t="n">
        <f aca="false">C9</f>
        <v>72</v>
      </c>
      <c r="G9" s="9" t="str">
        <f aca="false">IF(F9=C9,"YES","NO")</f>
        <v>YES</v>
      </c>
      <c r="H9" s="9" t="n">
        <v>0</v>
      </c>
    </row>
    <row r="10" customFormat="false" ht="15" hidden="false" customHeight="false" outlineLevel="0" collapsed="false">
      <c r="A10" s="9" t="n">
        <v>4</v>
      </c>
      <c r="B10" s="9" t="s">
        <v>855</v>
      </c>
      <c r="C10" s="9" t="n">
        <v>144</v>
      </c>
      <c r="D10" s="9" t="n">
        <v>72</v>
      </c>
      <c r="E10" s="9" t="str">
        <f aca="false">IF(D10&lt;&gt;C10,"YES","NO")</f>
        <v>YES</v>
      </c>
      <c r="F10" s="9" t="n">
        <f aca="false">C10</f>
        <v>144</v>
      </c>
      <c r="G10" s="9" t="str">
        <f aca="false">IF(F10=C10,"YES","NO")</f>
        <v>YES</v>
      </c>
      <c r="H10" s="9" t="n">
        <v>0</v>
      </c>
    </row>
    <row r="11" customFormat="false" ht="15" hidden="false" customHeight="false" outlineLevel="0" collapsed="false">
      <c r="A11" s="9" t="n">
        <v>5</v>
      </c>
      <c r="B11" s="9" t="s">
        <v>856</v>
      </c>
      <c r="C11" s="9" t="n">
        <v>24</v>
      </c>
      <c r="D11" s="9" t="n">
        <v>23</v>
      </c>
      <c r="E11" s="9" t="str">
        <f aca="false">IF(D11&lt;&gt;C11,"YES","NO")</f>
        <v>YES</v>
      </c>
      <c r="F11" s="9" t="n">
        <f aca="false">C11</f>
        <v>24</v>
      </c>
      <c r="G11" s="9" t="str">
        <f aca="false">IF(F11=C11,"YES","NO")</f>
        <v>YES</v>
      </c>
      <c r="H11" s="9" t="n">
        <v>0</v>
      </c>
    </row>
    <row r="12" customFormat="false" ht="15" hidden="false" customHeight="false" outlineLevel="0" collapsed="false">
      <c r="A12" s="9" t="n">
        <v>6</v>
      </c>
      <c r="B12" s="9" t="s">
        <v>857</v>
      </c>
      <c r="C12" s="9" t="n">
        <v>168</v>
      </c>
      <c r="D12" s="9" t="n">
        <v>167</v>
      </c>
      <c r="E12" s="9" t="str">
        <f aca="false">IF(D12&lt;&gt;C12,"YES","NO")</f>
        <v>YES</v>
      </c>
      <c r="F12" s="9" t="n">
        <f aca="false">C12</f>
        <v>168</v>
      </c>
      <c r="G12" s="9" t="str">
        <f aca="false">IF(F12=C12,"YES","NO")</f>
        <v>YES</v>
      </c>
      <c r="H12" s="9" t="n">
        <v>0</v>
      </c>
    </row>
    <row r="13" customFormat="false" ht="15" hidden="false" customHeight="false" outlineLevel="0" collapsed="false">
      <c r="A13" s="9" t="n">
        <v>7</v>
      </c>
      <c r="B13" s="9" t="s">
        <v>858</v>
      </c>
      <c r="C13" s="9" t="n">
        <v>288</v>
      </c>
      <c r="D13" s="9" t="n">
        <v>287</v>
      </c>
      <c r="E13" s="9" t="str">
        <f aca="false">IF(D13&lt;&gt;C13,"YES","NO")</f>
        <v>YES</v>
      </c>
      <c r="F13" s="9" t="n">
        <f aca="false">C13</f>
        <v>288</v>
      </c>
      <c r="G13" s="9" t="str">
        <f aca="false">IF(F13=C13,"YES","NO")</f>
        <v>YES</v>
      </c>
      <c r="H13" s="9" t="n">
        <v>0</v>
      </c>
    </row>
    <row r="14" customFormat="false" ht="15" hidden="false" customHeight="false" outlineLevel="0" collapsed="false">
      <c r="A14" s="9" t="n">
        <v>8</v>
      </c>
      <c r="B14" s="9" t="s">
        <v>859</v>
      </c>
      <c r="C14" s="9" t="n">
        <v>1152</v>
      </c>
      <c r="D14" s="9" t="n">
        <v>864</v>
      </c>
      <c r="E14" s="9" t="str">
        <f aca="false">IF(D14&lt;&gt;C14,"YES","NO")</f>
        <v>YES</v>
      </c>
      <c r="F14" s="9" t="n">
        <f aca="false">C14</f>
        <v>1152</v>
      </c>
      <c r="G14" s="9" t="str">
        <f aca="false">IF(F14=C14,"YES","NO")</f>
        <v>YES</v>
      </c>
      <c r="H14" s="9" t="n">
        <v>0</v>
      </c>
    </row>
    <row r="15" customFormat="false" ht="15" hidden="false" customHeight="false" outlineLevel="0" collapsed="false">
      <c r="A15" s="9" t="n">
        <v>9</v>
      </c>
      <c r="B15" s="9" t="s">
        <v>860</v>
      </c>
      <c r="C15" s="9" t="n">
        <v>12</v>
      </c>
      <c r="D15" s="9" t="n">
        <v>13</v>
      </c>
      <c r="E15" s="9" t="str">
        <f aca="false">IF(D15&lt;&gt;C15,"YES","NO")</f>
        <v>YES</v>
      </c>
      <c r="F15" s="9" t="n">
        <f aca="false">C15</f>
        <v>12</v>
      </c>
      <c r="G15" s="9" t="str">
        <f aca="false">IF(F15=C15,"YES","NO")</f>
        <v>YES</v>
      </c>
      <c r="H15" s="9" t="n">
        <v>0</v>
      </c>
    </row>
    <row r="16" customFormat="false" ht="15" hidden="false" customHeight="false" outlineLevel="0" collapsed="false">
      <c r="A16" s="9" t="n">
        <v>10</v>
      </c>
      <c r="B16" s="9" t="s">
        <v>861</v>
      </c>
      <c r="C16" s="9" t="n">
        <v>0</v>
      </c>
      <c r="D16" s="9" t="n">
        <v>1</v>
      </c>
      <c r="E16" s="9" t="str">
        <f aca="false">IF(D16&lt;&gt;C16,"YES","NO")</f>
        <v>YES</v>
      </c>
      <c r="F16" s="9" t="n">
        <f aca="false">C16</f>
        <v>0</v>
      </c>
      <c r="G16" s="9" t="str">
        <f aca="false">IF(F16=C16,"YES","NO")</f>
        <v>YES</v>
      </c>
      <c r="H16" s="9" t="n">
        <v>0</v>
      </c>
    </row>
    <row r="17" customFormat="false" ht="15" hidden="false" customHeight="false" outlineLevel="0" collapsed="false">
      <c r="A17" s="9" t="n">
        <v>11</v>
      </c>
      <c r="B17" s="9" t="s">
        <v>862</v>
      </c>
      <c r="C17" s="9" t="n">
        <v>0</v>
      </c>
      <c r="D17" s="9" t="n">
        <v>1</v>
      </c>
      <c r="E17" s="9" t="str">
        <f aca="false">IF(D17&lt;&gt;C17,"YES","NO")</f>
        <v>YES</v>
      </c>
      <c r="F17" s="9" t="n">
        <f aca="false">C17</f>
        <v>0</v>
      </c>
      <c r="G17" s="9" t="str">
        <f aca="false">IF(F17=C17,"YES","NO")</f>
        <v>YES</v>
      </c>
      <c r="H17" s="9" t="n">
        <v>0</v>
      </c>
    </row>
    <row r="18" customFormat="false" ht="15" hidden="false" customHeight="false" outlineLevel="0" collapsed="false">
      <c r="A18" s="9" t="n">
        <v>12</v>
      </c>
      <c r="B18" s="9" t="s">
        <v>863</v>
      </c>
      <c r="C18" s="9" t="n">
        <v>0</v>
      </c>
      <c r="D18" s="9" t="n">
        <v>1</v>
      </c>
      <c r="E18" s="9" t="str">
        <f aca="false">IF(D18&lt;&gt;C18,"YES","NO")</f>
        <v>YES</v>
      </c>
      <c r="F18" s="9" t="n">
        <f aca="false">C18</f>
        <v>0</v>
      </c>
      <c r="G18" s="9" t="str">
        <f aca="false">IF(F18=C18,"YES","NO")</f>
        <v>YES</v>
      </c>
      <c r="H18" s="9" t="n">
        <v>0</v>
      </c>
    </row>
  </sheetData>
  <conditionalFormatting sqref="E7:E18">
    <cfRule type="containsText" priority="2" operator="containsText" aboveAverage="0" equalAverage="0" bottom="0" percent="0" rank="0" text="NO" dxfId="12">
      <formula>NOT(ISERROR(SEARCH("NO",E7)))</formula>
    </cfRule>
  </conditionalFormatting>
  <conditionalFormatting sqref="G7:G18">
    <cfRule type="containsText" priority="3" operator="containsText" aboveAverage="0" equalAverage="0" bottom="0" percent="0" rank="0" text="NO" dxfId="13">
      <formula>NOT(ISERROR(SEARCH("NO",G7)))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4" min="3" style="0" width="19"/>
    <col collapsed="false" customWidth="true" hidden="false" outlineLevel="0" max="5" min="5" style="0" width="13"/>
    <col collapsed="false" customWidth="true" hidden="false" outlineLevel="0" max="6" min="6" style="0" width="45"/>
  </cols>
  <sheetData>
    <row r="2" customFormat="false" ht="24" hidden="false" customHeight="true" outlineLevel="0" collapsed="false">
      <c r="A2" s="1" t="s">
        <v>864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865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8" t="s">
        <v>792</v>
      </c>
      <c r="B6" s="8" t="s">
        <v>866</v>
      </c>
      <c r="C6" s="8" t="s">
        <v>867</v>
      </c>
      <c r="D6" s="8" t="s">
        <v>868</v>
      </c>
      <c r="E6" s="8" t="s">
        <v>86</v>
      </c>
      <c r="F6" s="8" t="s">
        <v>869</v>
      </c>
    </row>
    <row r="7" customFormat="false" ht="15" hidden="false" customHeight="false" outlineLevel="0" collapsed="false">
      <c r="A7" s="9" t="n">
        <v>1</v>
      </c>
      <c r="B7" s="9" t="s">
        <v>870</v>
      </c>
      <c r="C7" s="24" t="n">
        <f aca="false">'Architecture Test'!N7</f>
        <v>12</v>
      </c>
      <c r="D7" s="24" t="n">
        <v>12</v>
      </c>
      <c r="E7" s="9" t="str">
        <f aca="false">IF(ABS(C7-D7)&lt;0.000001,"PASS","FAIL")</f>
        <v>PASS</v>
      </c>
      <c r="F7" s="9" t="s">
        <v>871</v>
      </c>
    </row>
    <row r="8" customFormat="false" ht="15" hidden="false" customHeight="false" outlineLevel="0" collapsed="false">
      <c r="A8" s="9" t="n">
        <v>2</v>
      </c>
      <c r="B8" s="9" t="s">
        <v>872</v>
      </c>
      <c r="C8" s="24" t="n">
        <f aca="false">COUNTIFS('Architecture Test'!O7:O11,"SELECT")</f>
        <v>1</v>
      </c>
      <c r="D8" s="24" t="n">
        <v>1</v>
      </c>
      <c r="E8" s="9" t="str">
        <f aca="false">IF(ABS(C8-D8)&lt;0.000001,"PASS","FAIL")</f>
        <v>PASS</v>
      </c>
      <c r="F8" s="9" t="s">
        <v>873</v>
      </c>
    </row>
    <row r="9" customFormat="false" ht="15" hidden="false" customHeight="false" outlineLevel="0" collapsed="false">
      <c r="A9" s="9" t="n">
        <v>3</v>
      </c>
      <c r="B9" s="9" t="s">
        <v>852</v>
      </c>
      <c r="C9" s="24" t="n">
        <f aca="false">COUNTA('A0 Packages'!A7:A12)</f>
        <v>6</v>
      </c>
      <c r="D9" s="24" t="n">
        <v>6</v>
      </c>
      <c r="E9" s="9" t="str">
        <f aca="false">IF(ABS(C9-D9)&lt;0.000001,"PASS","FAIL")</f>
        <v>PASS</v>
      </c>
      <c r="F9" s="9" t="s">
        <v>874</v>
      </c>
    </row>
    <row r="10" customFormat="false" ht="15" hidden="false" customHeight="false" outlineLevel="0" collapsed="false">
      <c r="A10" s="9" t="n">
        <v>4</v>
      </c>
      <c r="B10" s="9" t="s">
        <v>875</v>
      </c>
      <c r="C10" s="24" t="n">
        <f aca="false">COUNTIFS('A0 Packages'!N7:N12,"FROZEN FOR ISSUE")</f>
        <v>6</v>
      </c>
      <c r="D10" s="24" t="n">
        <v>6</v>
      </c>
      <c r="E10" s="9" t="str">
        <f aca="false">IF(ABS(C10-D10)&lt;0.000001,"PASS","FAIL")</f>
        <v>PASS</v>
      </c>
      <c r="F10" s="9" t="s">
        <v>876</v>
      </c>
    </row>
    <row r="11" customFormat="false" ht="15" hidden="false" customHeight="false" outlineLevel="0" collapsed="false">
      <c r="A11" s="9" t="n">
        <v>5</v>
      </c>
      <c r="B11" s="9" t="s">
        <v>877</v>
      </c>
      <c r="C11" s="24" t="n">
        <f aca="false">SUM('A0 Packages'!O7:O12)</f>
        <v>0</v>
      </c>
      <c r="D11" s="24" t="n">
        <v>0</v>
      </c>
      <c r="E11" s="9" t="str">
        <f aca="false">IF(ABS(C11-D11)&lt;0.000001,"PASS","FAIL")</f>
        <v>PASS</v>
      </c>
      <c r="F11" s="9" t="s">
        <v>878</v>
      </c>
    </row>
    <row r="12" customFormat="false" ht="15" hidden="false" customHeight="false" outlineLevel="0" collapsed="false">
      <c r="A12" s="9" t="n">
        <v>6</v>
      </c>
      <c r="B12" s="9" t="s">
        <v>879</v>
      </c>
      <c r="C12" s="24" t="n">
        <f aca="false">SUM('A0 Packages'!P7:P12)</f>
        <v>0</v>
      </c>
      <c r="D12" s="24" t="n">
        <v>0</v>
      </c>
      <c r="E12" s="9" t="str">
        <f aca="false">IF(ABS(C12-D12)&lt;0.000001,"PASS","FAIL")</f>
        <v>PASS</v>
      </c>
      <c r="F12" s="9" t="s">
        <v>880</v>
      </c>
    </row>
    <row r="13" customFormat="false" ht="15" hidden="false" customHeight="false" outlineLevel="0" collapsed="false">
      <c r="A13" s="9" t="n">
        <v>7</v>
      </c>
      <c r="B13" s="9" t="s">
        <v>82</v>
      </c>
      <c r="C13" s="24" t="n">
        <f aca="false">SUM('A0 Packages'!I7:I12)</f>
        <v>48</v>
      </c>
      <c r="D13" s="24" t="n">
        <v>48</v>
      </c>
      <c r="E13" s="9" t="str">
        <f aca="false">IF(ABS(C13-D13)&lt;0.000001,"PASS","FAIL")</f>
        <v>PASS</v>
      </c>
      <c r="F13" s="9" t="s">
        <v>881</v>
      </c>
    </row>
    <row r="14" customFormat="false" ht="15" hidden="false" customHeight="false" outlineLevel="0" collapsed="false">
      <c r="A14" s="9" t="n">
        <v>8</v>
      </c>
      <c r="B14" s="9" t="s">
        <v>15</v>
      </c>
      <c r="C14" s="24" t="n">
        <f aca="false">COUNTA('Receiver States'!A7:A30)</f>
        <v>24</v>
      </c>
      <c r="D14" s="24" t="n">
        <v>24</v>
      </c>
      <c r="E14" s="9" t="str">
        <f aca="false">IF(ABS(C14-D14)&lt;0.000001,"PASS","FAIL")</f>
        <v>PASS</v>
      </c>
      <c r="F14" s="9" t="s">
        <v>882</v>
      </c>
    </row>
    <row r="15" customFormat="false" ht="15" hidden="false" customHeight="false" outlineLevel="0" collapsed="false">
      <c r="A15" s="9" t="n">
        <v>9</v>
      </c>
      <c r="B15" s="9" t="s">
        <v>883</v>
      </c>
      <c r="C15" s="24" t="n">
        <f aca="false">COUNTIFS('Receiver States'!H7:H30,"&lt;&gt;SOURCE EMPTY")</f>
        <v>0</v>
      </c>
      <c r="D15" s="24" t="n">
        <v>0</v>
      </c>
      <c r="E15" s="9" t="str">
        <f aca="false">IF(ABS(C15-D15)&lt;0.000001,"PASS","FAIL")</f>
        <v>PASS</v>
      </c>
      <c r="F15" s="9" t="s">
        <v>884</v>
      </c>
    </row>
    <row r="16" customFormat="false" ht="15" hidden="false" customHeight="false" outlineLevel="0" collapsed="false">
      <c r="A16" s="9" t="n">
        <v>10</v>
      </c>
      <c r="B16" s="9" t="s">
        <v>885</v>
      </c>
      <c r="C16" s="24" t="n">
        <f aca="false">SUM('Receiver States'!I7:I30)</f>
        <v>0</v>
      </c>
      <c r="D16" s="24" t="n">
        <v>0</v>
      </c>
      <c r="E16" s="9" t="str">
        <f aca="false">IF(ABS(C16-D16)&lt;0.000001,"PASS","FAIL")</f>
        <v>PASS</v>
      </c>
      <c r="F16" s="9" t="s">
        <v>886</v>
      </c>
    </row>
    <row r="17" customFormat="false" ht="15" hidden="false" customHeight="false" outlineLevel="0" collapsed="false">
      <c r="A17" s="9" t="n">
        <v>11</v>
      </c>
      <c r="B17" s="9" t="s">
        <v>18</v>
      </c>
      <c r="C17" s="24" t="n">
        <f aca="false">COUNTA('Public Methods'!A7:A78)</f>
        <v>72</v>
      </c>
      <c r="D17" s="24" t="n">
        <v>72</v>
      </c>
      <c r="E17" s="9" t="str">
        <f aca="false">IF(ABS(C17-D17)&lt;0.000001,"PASS","FAIL")</f>
        <v>PASS</v>
      </c>
      <c r="F17" s="9" t="s">
        <v>887</v>
      </c>
    </row>
    <row r="18" customFormat="false" ht="15" hidden="false" customHeight="false" outlineLevel="0" collapsed="false">
      <c r="A18" s="9" t="n">
        <v>12</v>
      </c>
      <c r="B18" s="9" t="s">
        <v>888</v>
      </c>
      <c r="C18" s="24" t="n">
        <f aca="false">COUNTIFS('Public Methods'!O7:O78,"FROZEN FOR ISSUE")</f>
        <v>72</v>
      </c>
      <c r="D18" s="24" t="n">
        <v>72</v>
      </c>
      <c r="E18" s="9" t="str">
        <f aca="false">IF(ABS(C18-D18)&lt;0.000001,"PASS","FAIL")</f>
        <v>PASS</v>
      </c>
      <c r="F18" s="9" t="s">
        <v>889</v>
      </c>
    </row>
    <row r="19" customFormat="false" ht="15" hidden="false" customHeight="false" outlineLevel="0" collapsed="false">
      <c r="A19" s="9" t="n">
        <v>13</v>
      </c>
      <c r="B19" s="9" t="s">
        <v>890</v>
      </c>
      <c r="C19" s="24" t="n">
        <f aca="false">SUM('Public Methods'!M7:M78)</f>
        <v>144</v>
      </c>
      <c r="D19" s="24" t="n">
        <v>144</v>
      </c>
      <c r="E19" s="9" t="str">
        <f aca="false">IF(ABS(C19-D19)&lt;0.000001,"PASS","FAIL")</f>
        <v>PASS</v>
      </c>
      <c r="F19" s="9" t="s">
        <v>891</v>
      </c>
    </row>
    <row r="20" customFormat="false" ht="15" hidden="false" customHeight="false" outlineLevel="0" collapsed="false">
      <c r="A20" s="9" t="n">
        <v>14</v>
      </c>
      <c r="B20" s="9" t="s">
        <v>892</v>
      </c>
      <c r="C20" s="24" t="n">
        <f aca="false">SUM('Public Methods'!N7:N78)</f>
        <v>0</v>
      </c>
      <c r="D20" s="24" t="n">
        <v>0</v>
      </c>
      <c r="E20" s="9" t="str">
        <f aca="false">IF(ABS(C20-D20)&lt;0.000001,"PASS","FAIL")</f>
        <v>PASS</v>
      </c>
      <c r="F20" s="9" t="s">
        <v>893</v>
      </c>
    </row>
    <row r="21" customFormat="false" ht="15" hidden="false" customHeight="false" outlineLevel="0" collapsed="false">
      <c r="A21" s="9" t="n">
        <v>15</v>
      </c>
      <c r="B21" s="9" t="s">
        <v>24</v>
      </c>
      <c r="C21" s="24" t="n">
        <f aca="false">COUNTA('A1 Releases'!A7:A30)</f>
        <v>24</v>
      </c>
      <c r="D21" s="24" t="n">
        <v>24</v>
      </c>
      <c r="E21" s="9" t="str">
        <f aca="false">IF(ABS(C21-D21)&lt;0.000001,"PASS","FAIL")</f>
        <v>PASS</v>
      </c>
      <c r="F21" s="9" t="s">
        <v>882</v>
      </c>
    </row>
    <row r="22" customFormat="false" ht="15" hidden="false" customHeight="false" outlineLevel="0" collapsed="false">
      <c r="A22" s="9" t="n">
        <v>16</v>
      </c>
      <c r="B22" s="9" t="s">
        <v>894</v>
      </c>
      <c r="C22" s="24" t="n">
        <f aca="false">COUNTIFS('A1 Releases'!L7:L30,"ISSUE AUTHORIZED")</f>
        <v>24</v>
      </c>
      <c r="D22" s="24" t="n">
        <v>24</v>
      </c>
      <c r="E22" s="9" t="str">
        <f aca="false">IF(ABS(C22-D22)&lt;0.000001,"PASS","FAIL")</f>
        <v>PASS</v>
      </c>
      <c r="F22" s="9" t="s">
        <v>895</v>
      </c>
    </row>
    <row r="23" customFormat="false" ht="15" hidden="false" customHeight="false" outlineLevel="0" collapsed="false">
      <c r="A23" s="9" t="n">
        <v>17</v>
      </c>
      <c r="B23" s="9" t="s">
        <v>896</v>
      </c>
      <c r="C23" s="24" t="n">
        <f aca="false">COUNTIFS('A1 Releases'!M7:M30,"&lt;&gt;UNASSIGNED")</f>
        <v>0</v>
      </c>
      <c r="D23" s="24" t="n">
        <v>0</v>
      </c>
      <c r="E23" s="9" t="str">
        <f aca="false">IF(ABS(C23-D23)&lt;0.000001,"PASS","FAIL")</f>
        <v>PASS</v>
      </c>
      <c r="F23" s="9" t="s">
        <v>897</v>
      </c>
    </row>
    <row r="24" customFormat="false" ht="15" hidden="false" customHeight="false" outlineLevel="0" collapsed="false">
      <c r="A24" s="9" t="n">
        <v>18</v>
      </c>
      <c r="B24" s="9" t="s">
        <v>898</v>
      </c>
      <c r="C24" s="24" t="n">
        <f aca="false">COUNTIFS('A1 Releases'!N7:N30,"&lt;&gt;NONE")</f>
        <v>0</v>
      </c>
      <c r="D24" s="24" t="n">
        <v>0</v>
      </c>
      <c r="E24" s="9" t="str">
        <f aca="false">IF(ABS(C24-D24)&lt;0.000001,"PASS","FAIL")</f>
        <v>PASS</v>
      </c>
      <c r="F24" s="9" t="s">
        <v>899</v>
      </c>
    </row>
    <row r="25" customFormat="false" ht="15" hidden="false" customHeight="false" outlineLevel="0" collapsed="false">
      <c r="A25" s="9" t="n">
        <v>19</v>
      </c>
      <c r="B25" s="9" t="s">
        <v>900</v>
      </c>
      <c r="C25" s="24" t="n">
        <f aca="false">SUM('A1 Releases'!O7:O30)</f>
        <v>0</v>
      </c>
      <c r="D25" s="24" t="n">
        <v>0</v>
      </c>
      <c r="E25" s="9" t="str">
        <f aca="false">IF(ABS(C25-D25)&lt;0.000001,"PASS","FAIL")</f>
        <v>PASS</v>
      </c>
      <c r="F25" s="9" t="s">
        <v>901</v>
      </c>
    </row>
    <row r="26" customFormat="false" ht="15" hidden="false" customHeight="false" outlineLevel="0" collapsed="false">
      <c r="A26" s="9" t="n">
        <v>20</v>
      </c>
      <c r="B26" s="9" t="s">
        <v>902</v>
      </c>
      <c r="C26" s="24" t="n">
        <f aca="false">SUM('A1 Releases'!P7:P30)</f>
        <v>0</v>
      </c>
      <c r="D26" s="24" t="n">
        <v>0</v>
      </c>
      <c r="E26" s="9" t="str">
        <f aca="false">IF(ABS(C26-D26)&lt;0.000001,"PASS","FAIL")</f>
        <v>PASS</v>
      </c>
      <c r="F26" s="9" t="s">
        <v>903</v>
      </c>
    </row>
    <row r="27" customFormat="false" ht="15" hidden="false" customHeight="false" outlineLevel="0" collapsed="false">
      <c r="A27" s="9" t="n">
        <v>21</v>
      </c>
      <c r="B27" s="9" t="s">
        <v>904</v>
      </c>
      <c r="C27" s="24" t="n">
        <f aca="false">SUM('A1 Releases'!Q7:Q30)</f>
        <v>0</v>
      </c>
      <c r="D27" s="24" t="n">
        <v>0</v>
      </c>
      <c r="E27" s="9" t="str">
        <f aca="false">IF(ABS(C27-D27)&lt;0.000001,"PASS","FAIL")</f>
        <v>PASS</v>
      </c>
      <c r="F27" s="9" t="s">
        <v>905</v>
      </c>
    </row>
    <row r="28" customFormat="false" ht="15" hidden="false" customHeight="false" outlineLevel="0" collapsed="false">
      <c r="A28" s="9" t="n">
        <v>22</v>
      </c>
      <c r="B28" s="9" t="s">
        <v>906</v>
      </c>
      <c r="C28" s="24" t="n">
        <f aca="false">COUNTA('Ancestry Firewall'!A7:A174)</f>
        <v>168</v>
      </c>
      <c r="D28" s="24" t="n">
        <v>168</v>
      </c>
      <c r="E28" s="9" t="str">
        <f aca="false">IF(ABS(C28-D28)&lt;0.000001,"PASS","FAIL")</f>
        <v>PASS</v>
      </c>
      <c r="F28" s="9" t="s">
        <v>907</v>
      </c>
    </row>
    <row r="29" customFormat="false" ht="15" hidden="false" customHeight="false" outlineLevel="0" collapsed="false">
      <c r="A29" s="9" t="n">
        <v>23</v>
      </c>
      <c r="B29" s="9" t="s">
        <v>908</v>
      </c>
      <c r="C29" s="24" t="n">
        <f aca="false">COUNTIFS('Ancestry Firewall'!G7:G174,"Yes")</f>
        <v>0</v>
      </c>
      <c r="D29" s="24" t="n">
        <v>0</v>
      </c>
      <c r="E29" s="9" t="str">
        <f aca="false">IF(ABS(C29-D29)&lt;0.000001,"PASS","FAIL")</f>
        <v>PASS</v>
      </c>
      <c r="F29" s="9" t="s">
        <v>909</v>
      </c>
    </row>
    <row r="30" customFormat="false" ht="15" hidden="false" customHeight="false" outlineLevel="0" collapsed="false">
      <c r="A30" s="9" t="n">
        <v>24</v>
      </c>
      <c r="B30" s="9" t="s">
        <v>910</v>
      </c>
      <c r="C30" s="24" t="n">
        <f aca="false">COUNTIFS('Ancestry Firewall'!H7:H174,"&lt;&gt;SOURCE EMPTY")</f>
        <v>0</v>
      </c>
      <c r="D30" s="24" t="n">
        <v>0</v>
      </c>
      <c r="E30" s="9" t="str">
        <f aca="false">IF(ABS(C30-D30)&lt;0.000001,"PASS","FAIL")</f>
        <v>PASS</v>
      </c>
      <c r="F30" s="9" t="s">
        <v>911</v>
      </c>
    </row>
    <row r="31" customFormat="false" ht="15" hidden="false" customHeight="false" outlineLevel="0" collapsed="false">
      <c r="A31" s="9" t="n">
        <v>25</v>
      </c>
      <c r="B31" s="9" t="s">
        <v>912</v>
      </c>
      <c r="C31" s="24" t="n">
        <f aca="false">SUM('Ancestry Firewall'!I7:I174)</f>
        <v>0</v>
      </c>
      <c r="D31" s="24" t="n">
        <v>0</v>
      </c>
      <c r="E31" s="9" t="str">
        <f aca="false">IF(ABS(C31-D31)&lt;0.000001,"PASS","FAIL")</f>
        <v>PASS</v>
      </c>
      <c r="F31" s="9" t="s">
        <v>913</v>
      </c>
    </row>
    <row r="32" customFormat="false" ht="15" hidden="false" customHeight="false" outlineLevel="0" collapsed="false">
      <c r="A32" s="9" t="n">
        <v>26</v>
      </c>
      <c r="B32" s="9" t="s">
        <v>914</v>
      </c>
      <c r="C32" s="24" t="n">
        <f aca="false">COUNTA('Experiment Plan'!A7:A294)</f>
        <v>288</v>
      </c>
      <c r="D32" s="24" t="n">
        <v>288</v>
      </c>
      <c r="E32" s="9" t="str">
        <f aca="false">IF(ABS(C32-D32)&lt;0.000001,"PASS","FAIL")</f>
        <v>PASS</v>
      </c>
      <c r="F32" s="9" t="s">
        <v>915</v>
      </c>
    </row>
    <row r="33" customFormat="false" ht="15" hidden="false" customHeight="false" outlineLevel="0" collapsed="false">
      <c r="A33" s="9" t="n">
        <v>27</v>
      </c>
      <c r="B33" s="9" t="s">
        <v>916</v>
      </c>
      <c r="C33" s="24" t="n">
        <f aca="false">SUM('Experiment Plan'!I7:I294)</f>
        <v>576</v>
      </c>
      <c r="D33" s="24" t="n">
        <v>576</v>
      </c>
      <c r="E33" s="9" t="str">
        <f aca="false">IF(ABS(C33-D33)&lt;0.000001,"PASS","FAIL")</f>
        <v>PASS</v>
      </c>
      <c r="F33" s="9" t="s">
        <v>917</v>
      </c>
    </row>
    <row r="34" customFormat="false" ht="15" hidden="false" customHeight="false" outlineLevel="0" collapsed="false">
      <c r="A34" s="9" t="n">
        <v>28</v>
      </c>
      <c r="B34" s="9" t="s">
        <v>918</v>
      </c>
      <c r="C34" s="24" t="n">
        <f aca="false">SUM('Experiment Plan'!K7:K294)</f>
        <v>1152</v>
      </c>
      <c r="D34" s="24" t="n">
        <v>1152</v>
      </c>
      <c r="E34" s="9" t="str">
        <f aca="false">IF(ABS(C34-D34)&lt;0.000001,"PASS","FAIL")</f>
        <v>PASS</v>
      </c>
      <c r="F34" s="9" t="s">
        <v>919</v>
      </c>
    </row>
    <row r="35" customFormat="false" ht="15" hidden="false" customHeight="false" outlineLevel="0" collapsed="false">
      <c r="A35" s="9" t="n">
        <v>29</v>
      </c>
      <c r="B35" s="9" t="s">
        <v>920</v>
      </c>
      <c r="C35" s="24" t="n">
        <f aca="false">SUM('Experiment Plan'!L7:L294)</f>
        <v>1152</v>
      </c>
      <c r="D35" s="24" t="n">
        <v>1152</v>
      </c>
      <c r="E35" s="9" t="str">
        <f aca="false">IF(ABS(C35-D35)&lt;0.000001,"PASS","FAIL")</f>
        <v>PASS</v>
      </c>
      <c r="F35" s="9" t="s">
        <v>921</v>
      </c>
    </row>
    <row r="36" customFormat="false" ht="15" hidden="false" customHeight="false" outlineLevel="0" collapsed="false">
      <c r="A36" s="9" t="n">
        <v>30</v>
      </c>
      <c r="B36" s="9" t="s">
        <v>922</v>
      </c>
      <c r="C36" s="24" t="n">
        <f aca="false">SUM('Experiment Plan'!M7:M294)</f>
        <v>0</v>
      </c>
      <c r="D36" s="24" t="n">
        <v>0</v>
      </c>
      <c r="E36" s="9" t="str">
        <f aca="false">IF(ABS(C36-D36)&lt;0.000001,"PASS","FAIL")</f>
        <v>PASS</v>
      </c>
      <c r="F36" s="9" t="s">
        <v>923</v>
      </c>
    </row>
    <row r="37" customFormat="false" ht="15" hidden="false" customHeight="false" outlineLevel="0" collapsed="false">
      <c r="A37" s="9" t="n">
        <v>31</v>
      </c>
      <c r="B37" s="9" t="s">
        <v>528</v>
      </c>
      <c r="C37" s="24" t="n">
        <f aca="false">SUM('Experiment Plan'!N7:N294)</f>
        <v>0</v>
      </c>
      <c r="D37" s="24" t="n">
        <v>0</v>
      </c>
      <c r="E37" s="9" t="str">
        <f aca="false">IF(ABS(C37-D37)&lt;0.000001,"PASS","FAIL")</f>
        <v>PASS</v>
      </c>
      <c r="F37" s="9" t="s">
        <v>924</v>
      </c>
    </row>
    <row r="38" customFormat="false" ht="15" hidden="false" customHeight="false" outlineLevel="0" collapsed="false">
      <c r="A38" s="9" t="n">
        <v>32</v>
      </c>
      <c r="B38" s="9" t="s">
        <v>529</v>
      </c>
      <c r="C38" s="24" t="n">
        <f aca="false">SUM('Experiment Plan'!O7:O294)</f>
        <v>0</v>
      </c>
      <c r="D38" s="24" t="n">
        <v>0</v>
      </c>
      <c r="E38" s="9" t="str">
        <f aca="false">IF(ABS(C38-D38)&lt;0.000001,"PASS","FAIL")</f>
        <v>PASS</v>
      </c>
      <c r="F38" s="9" t="s">
        <v>925</v>
      </c>
    </row>
    <row r="39" customFormat="false" ht="15" hidden="false" customHeight="false" outlineLevel="0" collapsed="false">
      <c r="A39" s="9" t="n">
        <v>33</v>
      </c>
      <c r="B39" s="9" t="s">
        <v>530</v>
      </c>
      <c r="C39" s="24" t="n">
        <f aca="false">SUM('Experiment Plan'!P7:P294)</f>
        <v>0</v>
      </c>
      <c r="D39" s="24" t="n">
        <v>0</v>
      </c>
      <c r="E39" s="9" t="str">
        <f aca="false">IF(ABS(C39-D39)&lt;0.000001,"PASS","FAIL")</f>
        <v>PASS</v>
      </c>
      <c r="F39" s="9" t="s">
        <v>926</v>
      </c>
    </row>
    <row r="40" customFormat="false" ht="15" hidden="false" customHeight="false" outlineLevel="0" collapsed="false">
      <c r="A40" s="9" t="n">
        <v>34</v>
      </c>
      <c r="B40" s="9" t="s">
        <v>36</v>
      </c>
      <c r="C40" s="24" t="n">
        <f aca="false">COUNTA('Public Seams'!A7:A18)</f>
        <v>12</v>
      </c>
      <c r="D40" s="24" t="n">
        <v>12</v>
      </c>
      <c r="E40" s="9" t="str">
        <f aca="false">IF(ABS(C40-D40)&lt;0.000001,"PASS","FAIL")</f>
        <v>PASS</v>
      </c>
      <c r="F40" s="9" t="s">
        <v>927</v>
      </c>
    </row>
    <row r="41" customFormat="false" ht="15" hidden="false" customHeight="false" outlineLevel="0" collapsed="false">
      <c r="A41" s="9" t="n">
        <v>35</v>
      </c>
      <c r="B41" s="9" t="s">
        <v>928</v>
      </c>
      <c r="C41" s="24" t="n">
        <f aca="false">COUNTIFS('Public Seams'!D7:D18,"Yes")</f>
        <v>0</v>
      </c>
      <c r="D41" s="24" t="n">
        <v>0</v>
      </c>
      <c r="E41" s="9" t="str">
        <f aca="false">IF(ABS(C41-D41)&lt;0.000001,"PASS","FAIL")</f>
        <v>PASS</v>
      </c>
      <c r="F41" s="9" t="s">
        <v>929</v>
      </c>
    </row>
    <row r="42" customFormat="false" ht="15" hidden="false" customHeight="false" outlineLevel="0" collapsed="false">
      <c r="A42" s="9" t="n">
        <v>36</v>
      </c>
      <c r="B42" s="9" t="s">
        <v>592</v>
      </c>
      <c r="C42" s="24" t="n">
        <f aca="false">COUNTA(Governance!A8:A19)</f>
        <v>12</v>
      </c>
      <c r="D42" s="24" t="n">
        <v>12</v>
      </c>
      <c r="E42" s="9" t="str">
        <f aca="false">IF(ABS(C42-D42)&lt;0.000001,"PASS","FAIL")</f>
        <v>PASS</v>
      </c>
      <c r="F42" s="9" t="s">
        <v>930</v>
      </c>
    </row>
    <row r="43" customFormat="false" ht="15" hidden="false" customHeight="false" outlineLevel="0" collapsed="false">
      <c r="A43" s="9" t="n">
        <v>37</v>
      </c>
      <c r="B43" s="9" t="s">
        <v>931</v>
      </c>
      <c r="C43" s="24" t="n">
        <f aca="false">COUNTIFS(Governance!F8:F19,"&lt;&gt;SOURCE EMPTY")</f>
        <v>0</v>
      </c>
      <c r="D43" s="24" t="n">
        <v>0</v>
      </c>
      <c r="E43" s="9" t="str">
        <f aca="false">IF(ABS(C43-D43)&lt;0.000001,"PASS","FAIL")</f>
        <v>PASS</v>
      </c>
      <c r="F43" s="9" t="s">
        <v>932</v>
      </c>
    </row>
    <row r="44" customFormat="false" ht="15" hidden="false" customHeight="false" outlineLevel="0" collapsed="false">
      <c r="A44" s="9" t="n">
        <v>38</v>
      </c>
      <c r="B44" s="9" t="s">
        <v>659</v>
      </c>
      <c r="C44" s="24" t="n">
        <f aca="false">COUNTA(Governance!A23:A34)</f>
        <v>12</v>
      </c>
      <c r="D44" s="24" t="n">
        <v>12</v>
      </c>
      <c r="E44" s="9" t="str">
        <f aca="false">IF(ABS(C44-D44)&lt;0.000001,"PASS","FAIL")</f>
        <v>PASS</v>
      </c>
      <c r="F44" s="9" t="s">
        <v>933</v>
      </c>
    </row>
    <row r="45" customFormat="false" ht="15" hidden="false" customHeight="false" outlineLevel="0" collapsed="false">
      <c r="A45" s="9" t="n">
        <v>39</v>
      </c>
      <c r="B45" s="9" t="s">
        <v>934</v>
      </c>
      <c r="C45" s="24" t="n">
        <f aca="false">COUNTA(Finance!A7:A14)</f>
        <v>8</v>
      </c>
      <c r="D45" s="24" t="n">
        <v>8</v>
      </c>
      <c r="E45" s="9" t="str">
        <f aca="false">IF(ABS(C45-D45)&lt;0.000001,"PASS","FAIL")</f>
        <v>PASS</v>
      </c>
      <c r="F45" s="9" t="s">
        <v>935</v>
      </c>
    </row>
    <row r="46" customFormat="false" ht="15" hidden="false" customHeight="false" outlineLevel="0" collapsed="false">
      <c r="A46" s="9" t="n">
        <v>40</v>
      </c>
      <c r="B46" s="9" t="s">
        <v>20</v>
      </c>
      <c r="C46" s="24" t="n">
        <f aca="false">Finance!D15</f>
        <v>12</v>
      </c>
      <c r="D46" s="24" t="n">
        <v>12</v>
      </c>
      <c r="E46" s="9" t="str">
        <f aca="false">IF(ABS(C46-D46)&lt;0.000001,"PASS","FAIL")</f>
        <v>PASS</v>
      </c>
      <c r="F46" s="9" t="s">
        <v>936</v>
      </c>
    </row>
    <row r="47" customFormat="false" ht="15" hidden="false" customHeight="false" outlineLevel="0" collapsed="false">
      <c r="A47" s="9" t="n">
        <v>41</v>
      </c>
      <c r="B47" s="9" t="s">
        <v>937</v>
      </c>
      <c r="C47" s="24" t="n">
        <f aca="false">Finance!E15</f>
        <v>1</v>
      </c>
      <c r="D47" s="24" t="n">
        <v>1</v>
      </c>
      <c r="E47" s="9" t="str">
        <f aca="false">IF(ABS(C47-D47)&lt;0.000001,"PASS","FAIL")</f>
        <v>PASS</v>
      </c>
      <c r="F47" s="9" t="s">
        <v>938</v>
      </c>
    </row>
    <row r="48" customFormat="false" ht="15" hidden="false" customHeight="false" outlineLevel="0" collapsed="false">
      <c r="A48" s="9" t="n">
        <v>42</v>
      </c>
      <c r="B48" s="9" t="s">
        <v>939</v>
      </c>
      <c r="C48" s="24" t="n">
        <f aca="false">IF(Finance!D15&lt;=80,1,0)</f>
        <v>1</v>
      </c>
      <c r="D48" s="24" t="n">
        <v>1</v>
      </c>
      <c r="E48" s="9" t="str">
        <f aca="false">IF(ABS(C48-D48)&lt;0.000001,"PASS","FAIL")</f>
        <v>PASS</v>
      </c>
      <c r="F48" s="9" t="s">
        <v>940</v>
      </c>
    </row>
    <row r="49" customFormat="false" ht="15" hidden="false" customHeight="false" outlineLevel="0" collapsed="false">
      <c r="A49" s="9" t="n">
        <v>43</v>
      </c>
      <c r="B49" s="9" t="s">
        <v>941</v>
      </c>
      <c r="C49" s="24" t="n">
        <f aca="false">Finance!B23</f>
        <v>27.5</v>
      </c>
      <c r="D49" s="24" t="n">
        <v>27.5</v>
      </c>
      <c r="E49" s="9" t="str">
        <f aca="false">IF(ABS(C49-D49)&lt;0.000001,"PASS","FAIL")</f>
        <v>PASS</v>
      </c>
      <c r="F49" s="9" t="s">
        <v>942</v>
      </c>
    </row>
    <row r="50" customFormat="false" ht="15" hidden="false" customHeight="false" outlineLevel="0" collapsed="false">
      <c r="A50" s="9" t="n">
        <v>44</v>
      </c>
      <c r="B50" s="9" t="s">
        <v>14</v>
      </c>
      <c r="C50" s="24" t="n">
        <f aca="false">Finance!B24</f>
        <v>14.3476512772823</v>
      </c>
      <c r="D50" s="24" t="n">
        <v>14.3476512772823</v>
      </c>
      <c r="E50" s="9" t="str">
        <f aca="false">IF(ABS(C50-D50)&lt;0.000001,"PASS","FAIL")</f>
        <v>PASS</v>
      </c>
      <c r="F50" s="9" t="s">
        <v>943</v>
      </c>
    </row>
    <row r="51" customFormat="false" ht="15" hidden="false" customHeight="false" outlineLevel="0" collapsed="false">
      <c r="A51" s="9" t="n">
        <v>45</v>
      </c>
      <c r="B51" s="9" t="s">
        <v>17</v>
      </c>
      <c r="C51" s="24" t="n">
        <f aca="false">Finance!B25</f>
        <v>13.1523487227177</v>
      </c>
      <c r="D51" s="24" t="n">
        <v>13.1523487227177</v>
      </c>
      <c r="E51" s="9" t="str">
        <f aca="false">IF(ABS(C51-D51)&lt;0.000001,"PASS","FAIL")</f>
        <v>PASS</v>
      </c>
      <c r="F51" s="9" t="s">
        <v>944</v>
      </c>
    </row>
    <row r="52" customFormat="false" ht="15" hidden="false" customHeight="false" outlineLevel="0" collapsed="false">
      <c r="A52" s="9" t="n">
        <v>46</v>
      </c>
      <c r="B52" s="9" t="s">
        <v>945</v>
      </c>
      <c r="C52" s="24" t="n">
        <f aca="false">Finance!B24+Finance!B25</f>
        <v>27.5</v>
      </c>
      <c r="D52" s="24" t="n">
        <v>27.5</v>
      </c>
      <c r="E52" s="9" t="str">
        <f aca="false">IF(ABS(C52-D52)&lt;0.000001,"PASS","FAIL")</f>
        <v>PASS</v>
      </c>
      <c r="F52" s="9" t="s">
        <v>946</v>
      </c>
    </row>
    <row r="53" customFormat="false" ht="15" hidden="false" customHeight="false" outlineLevel="0" collapsed="false">
      <c r="A53" s="9" t="n">
        <v>47</v>
      </c>
      <c r="B53" s="9" t="s">
        <v>947</v>
      </c>
      <c r="C53" s="24" t="n">
        <f aca="false">Finance!D19</f>
        <v>7.17382563864113</v>
      </c>
      <c r="D53" s="24" t="n">
        <v>7.17382563864113</v>
      </c>
      <c r="E53" s="9" t="str">
        <f aca="false">IF(ABS(C53-D53)&lt;0.000001,"PASS","FAIL")</f>
        <v>PASS</v>
      </c>
      <c r="F53" s="9" t="s">
        <v>948</v>
      </c>
    </row>
    <row r="54" customFormat="false" ht="15" hidden="false" customHeight="false" outlineLevel="0" collapsed="false">
      <c r="A54" s="9" t="n">
        <v>48</v>
      </c>
      <c r="B54" s="9" t="s">
        <v>26</v>
      </c>
      <c r="C54" s="24" t="n">
        <f aca="false">Finance!D20</f>
        <v>7.17382563864113</v>
      </c>
      <c r="D54" s="24" t="n">
        <v>7.17382563864113</v>
      </c>
      <c r="E54" s="9" t="str">
        <f aca="false">IF(ABS(C54-D54)&lt;0.000001,"PASS","FAIL")</f>
        <v>PASS</v>
      </c>
      <c r="F54" s="9" t="s">
        <v>949</v>
      </c>
    </row>
    <row r="55" customFormat="false" ht="15" hidden="false" customHeight="false" outlineLevel="0" collapsed="false">
      <c r="A55" s="9" t="n">
        <v>49</v>
      </c>
      <c r="B55" s="9" t="s">
        <v>950</v>
      </c>
      <c r="C55" s="24" t="n">
        <f aca="false">Finance!E21</f>
        <v>0</v>
      </c>
      <c r="D55" s="24" t="n">
        <v>0</v>
      </c>
      <c r="E55" s="9" t="str">
        <f aca="false">IF(ABS(C55-D55)&lt;0.000001,"PASS","FAIL")</f>
        <v>PASS</v>
      </c>
      <c r="F55" s="9" t="s">
        <v>951</v>
      </c>
    </row>
    <row r="56" customFormat="false" ht="15" hidden="false" customHeight="false" outlineLevel="0" collapsed="false">
      <c r="A56" s="9" t="n">
        <v>50</v>
      </c>
      <c r="B56" s="9" t="s">
        <v>952</v>
      </c>
      <c r="C56" s="24" t="n">
        <f aca="false">Finance!E22</f>
        <v>0</v>
      </c>
      <c r="D56" s="24" t="n">
        <v>0</v>
      </c>
      <c r="E56" s="9" t="str">
        <f aca="false">IF(ABS(C56-D56)&lt;0.000001,"PASS","FAIL")</f>
        <v>PASS</v>
      </c>
      <c r="F56" s="9" t="s">
        <v>953</v>
      </c>
    </row>
    <row r="57" customFormat="false" ht="15" hidden="false" customHeight="false" outlineLevel="0" collapsed="false">
      <c r="A57" s="9" t="n">
        <v>51</v>
      </c>
      <c r="B57" s="9" t="s">
        <v>954</v>
      </c>
      <c r="C57" s="24" t="n">
        <f aca="false">COUNTA('Technology Agenda'!A7:A20)</f>
        <v>14</v>
      </c>
      <c r="D57" s="24" t="n">
        <v>14</v>
      </c>
      <c r="E57" s="9" t="str">
        <f aca="false">IF(ABS(C57-D57)&lt;0.000001,"PASS","FAIL")</f>
        <v>PASS</v>
      </c>
      <c r="F57" s="9" t="s">
        <v>955</v>
      </c>
    </row>
    <row r="58" customFormat="false" ht="15" hidden="false" customHeight="false" outlineLevel="0" collapsed="false">
      <c r="A58" s="9" t="n">
        <v>52</v>
      </c>
      <c r="B58" s="9" t="s">
        <v>956</v>
      </c>
      <c r="C58" s="24" t="n">
        <f aca="false">SUM('Technology Agenda'!F7:F20)</f>
        <v>0</v>
      </c>
      <c r="D58" s="24" t="n">
        <v>0</v>
      </c>
      <c r="E58" s="9" t="str">
        <f aca="false">IF(ABS(C58-D58)&lt;0.000001,"PASS","FAIL")</f>
        <v>PASS</v>
      </c>
      <c r="F58" s="9" t="s">
        <v>957</v>
      </c>
    </row>
    <row r="59" customFormat="false" ht="15" hidden="false" customHeight="false" outlineLevel="0" collapsed="false">
      <c r="A59" s="9" t="n">
        <v>53</v>
      </c>
      <c r="B59" s="9" t="s">
        <v>958</v>
      </c>
      <c r="C59" s="24" t="n">
        <f aca="false">COUNTIFS('Stress Tests'!F7:F22,"PASS")</f>
        <v>16</v>
      </c>
      <c r="D59" s="24" t="n">
        <v>16</v>
      </c>
      <c r="E59" s="9" t="str">
        <f aca="false">IF(ABS(C59-D59)&lt;0.000001,"PASS","FAIL")</f>
        <v>PASS</v>
      </c>
      <c r="F59" s="9" t="s">
        <v>959</v>
      </c>
    </row>
    <row r="60" customFormat="false" ht="15" hidden="false" customHeight="false" outlineLevel="0" collapsed="false">
      <c r="A60" s="9" t="n">
        <v>54</v>
      </c>
      <c r="B60" s="9" t="s">
        <v>960</v>
      </c>
      <c r="C60" s="24" t="n">
        <f aca="false">COUNTIFS(Mutations!E7:E18,"YES")</f>
        <v>12</v>
      </c>
      <c r="D60" s="24" t="n">
        <v>12</v>
      </c>
      <c r="E60" s="9" t="str">
        <f aca="false">IF(ABS(C60-D60)&lt;0.000001,"PASS","FAIL")</f>
        <v>PASS</v>
      </c>
      <c r="F60" s="9" t="s">
        <v>961</v>
      </c>
    </row>
    <row r="61" customFormat="false" ht="15" hidden="false" customHeight="false" outlineLevel="0" collapsed="false">
      <c r="A61" s="9" t="n">
        <v>55</v>
      </c>
      <c r="B61" s="9" t="s">
        <v>962</v>
      </c>
      <c r="C61" s="24" t="n">
        <f aca="false">COUNTIFS(Mutations!G7:G18,"YES")</f>
        <v>12</v>
      </c>
      <c r="D61" s="24" t="n">
        <v>12</v>
      </c>
      <c r="E61" s="9" t="str">
        <f aca="false">IF(ABS(C61-D61)&lt;0.000001,"PASS","FAIL")</f>
        <v>PASS</v>
      </c>
      <c r="F61" s="9" t="s">
        <v>963</v>
      </c>
    </row>
    <row r="62" customFormat="false" ht="15" hidden="false" customHeight="false" outlineLevel="0" collapsed="false">
      <c r="A62" s="9" t="n">
        <v>56</v>
      </c>
      <c r="B62" s="9" t="s">
        <v>964</v>
      </c>
      <c r="C62" s="24" t="n">
        <f aca="false">SUM(Mutations!H7:H18)</f>
        <v>0</v>
      </c>
      <c r="D62" s="24" t="n">
        <v>0</v>
      </c>
      <c r="E62" s="9" t="str">
        <f aca="false">IF(ABS(C62-D62)&lt;0.000001,"PASS","FAIL")</f>
        <v>PASS</v>
      </c>
      <c r="F62" s="9" t="s">
        <v>965</v>
      </c>
    </row>
  </sheetData>
  <conditionalFormatting sqref="E7:E62">
    <cfRule type="containsText" priority="2" operator="containsText" aboveAverage="0" equalAverage="0" bottom="0" percent="0" rank="0" text="FAIL" dxfId="14">
      <formula>NOT(ISERROR(SEARCH("FAIL",E7)))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8"/>
    <col collapsed="false" customWidth="true" hidden="false" outlineLevel="0" max="3" min="3" style="0" width="32"/>
    <col collapsed="false" customWidth="true" hidden="false" outlineLevel="0" max="4" min="4" style="0" width="66"/>
  </cols>
  <sheetData>
    <row r="2" customFormat="false" ht="24" hidden="false" customHeight="true" outlineLevel="0" collapsed="false">
      <c r="A2" s="1" t="s">
        <v>966</v>
      </c>
      <c r="B2" s="2"/>
      <c r="C2" s="2"/>
      <c r="D2" s="2"/>
    </row>
    <row r="3" customFormat="false" ht="18" hidden="false" customHeight="true" outlineLevel="0" collapsed="false">
      <c r="A3" s="3" t="s">
        <v>967</v>
      </c>
      <c r="B3" s="3"/>
      <c r="C3" s="3"/>
      <c r="D3" s="3"/>
    </row>
    <row r="4" customFormat="false" ht="15" hidden="false" customHeight="false" outlineLevel="0" collapsed="false">
      <c r="A4" s="2"/>
      <c r="B4" s="2"/>
      <c r="C4" s="2"/>
      <c r="D4" s="2"/>
    </row>
    <row r="5" customFormat="false" ht="15" hidden="false" customHeight="false" outlineLevel="0" collapsed="false">
      <c r="A5" s="2"/>
      <c r="B5" s="2"/>
      <c r="C5" s="2"/>
      <c r="D5" s="2"/>
    </row>
    <row r="6" customFormat="false" ht="15" hidden="false" customHeight="false" outlineLevel="0" collapsed="false">
      <c r="A6" s="8" t="s">
        <v>968</v>
      </c>
      <c r="B6" s="8" t="s">
        <v>969</v>
      </c>
      <c r="C6" s="8" t="s">
        <v>86</v>
      </c>
      <c r="D6" s="8" t="s">
        <v>970</v>
      </c>
    </row>
    <row r="7" customFormat="false" ht="23.85" hidden="false" customHeight="false" outlineLevel="0" collapsed="false">
      <c r="A7" s="9" t="s">
        <v>971</v>
      </c>
      <c r="B7" s="9" t="s">
        <v>972</v>
      </c>
      <c r="C7" s="9" t="s">
        <v>973</v>
      </c>
      <c r="D7" s="9" t="s">
        <v>974</v>
      </c>
    </row>
    <row r="8" customFormat="false" ht="23.85" hidden="false" customHeight="false" outlineLevel="0" collapsed="false">
      <c r="A8" s="9" t="s">
        <v>971</v>
      </c>
      <c r="B8" s="9" t="s">
        <v>975</v>
      </c>
      <c r="C8" s="9" t="s">
        <v>976</v>
      </c>
      <c r="D8" s="9" t="s">
        <v>977</v>
      </c>
    </row>
    <row r="9" customFormat="false" ht="23.85" hidden="false" customHeight="false" outlineLevel="0" collapsed="false">
      <c r="A9" s="9" t="s">
        <v>971</v>
      </c>
      <c r="B9" s="9" t="s">
        <v>978</v>
      </c>
      <c r="C9" s="9" t="s">
        <v>979</v>
      </c>
      <c r="D9" s="9" t="s">
        <v>980</v>
      </c>
    </row>
    <row r="10" customFormat="false" ht="23.85" hidden="false" customHeight="false" outlineLevel="0" collapsed="false">
      <c r="A10" s="9" t="s">
        <v>971</v>
      </c>
      <c r="B10" s="9" t="s">
        <v>981</v>
      </c>
      <c r="C10" s="9" t="s">
        <v>982</v>
      </c>
      <c r="D10" s="9" t="s">
        <v>983</v>
      </c>
    </row>
    <row r="11" customFormat="false" ht="23.85" hidden="false" customHeight="false" outlineLevel="0" collapsed="false">
      <c r="A11" s="9" t="s">
        <v>971</v>
      </c>
      <c r="B11" s="9" t="s">
        <v>984</v>
      </c>
      <c r="C11" s="9" t="s">
        <v>985</v>
      </c>
      <c r="D11" s="9" t="s">
        <v>986</v>
      </c>
    </row>
    <row r="12" customFormat="false" ht="23.85" hidden="false" customHeight="false" outlineLevel="0" collapsed="false">
      <c r="A12" s="9" t="s">
        <v>971</v>
      </c>
      <c r="B12" s="9" t="s">
        <v>987</v>
      </c>
      <c r="C12" s="9" t="s">
        <v>988</v>
      </c>
      <c r="D12" s="9" t="s">
        <v>989</v>
      </c>
    </row>
    <row r="13" customFormat="false" ht="23.85" hidden="false" customHeight="false" outlineLevel="0" collapsed="false">
      <c r="A13" s="9" t="s">
        <v>971</v>
      </c>
      <c r="B13" s="9" t="s">
        <v>990</v>
      </c>
      <c r="C13" s="9" t="s">
        <v>988</v>
      </c>
      <c r="D13" s="9" t="s">
        <v>991</v>
      </c>
    </row>
    <row r="14" customFormat="false" ht="15" hidden="false" customHeight="false" outlineLevel="0" collapsed="false">
      <c r="A14" s="9" t="s">
        <v>992</v>
      </c>
      <c r="B14" s="9" t="s">
        <v>993</v>
      </c>
      <c r="C14" s="9" t="s">
        <v>994</v>
      </c>
      <c r="D14" s="9" t="s">
        <v>995</v>
      </c>
    </row>
    <row r="15" customFormat="false" ht="15" hidden="false" customHeight="false" outlineLevel="0" collapsed="false">
      <c r="A15" s="9" t="s">
        <v>992</v>
      </c>
      <c r="B15" s="9" t="s">
        <v>996</v>
      </c>
      <c r="C15" s="9" t="s">
        <v>997</v>
      </c>
      <c r="D15" s="9" t="s">
        <v>998</v>
      </c>
    </row>
    <row r="16" customFormat="false" ht="15" hidden="false" customHeight="false" outlineLevel="0" collapsed="false">
      <c r="A16" s="9" t="s">
        <v>992</v>
      </c>
      <c r="B16" s="9" t="s">
        <v>999</v>
      </c>
      <c r="C16" s="9" t="s">
        <v>997</v>
      </c>
      <c r="D16" s="9" t="s">
        <v>1000</v>
      </c>
    </row>
    <row r="17" customFormat="false" ht="15" hidden="false" customHeight="false" outlineLevel="0" collapsed="false">
      <c r="A17" s="9" t="s">
        <v>992</v>
      </c>
      <c r="B17" s="9" t="s">
        <v>1001</v>
      </c>
      <c r="C17" s="9" t="s">
        <v>1002</v>
      </c>
      <c r="D17" s="9" t="s">
        <v>1003</v>
      </c>
    </row>
    <row r="18" customFormat="false" ht="15" hidden="false" customHeight="false" outlineLevel="0" collapsed="false">
      <c r="A18" s="9" t="s">
        <v>992</v>
      </c>
      <c r="B18" s="9" t="s">
        <v>1004</v>
      </c>
      <c r="C18" s="9" t="s">
        <v>994</v>
      </c>
      <c r="D18" s="9" t="s">
        <v>1005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