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Root Lanes" sheetId="4" state="visible" r:id="rId6"/>
    <sheet name="Section Grammar" sheetId="5" state="visible" r:id="rId7"/>
    <sheet name="Worlds" sheetId="6" state="visible" r:id="rId8"/>
    <sheet name="Closure Matrix" sheetId="7" state="visible" r:id="rId9"/>
    <sheet name="Section Packets" sheetId="8" state="visible" r:id="rId10"/>
    <sheet name="Public Seams" sheetId="9" state="visible" r:id="rId11"/>
    <sheet name="Concurrency Schedule" sheetId="10" state="visible" r:id="rId12"/>
    <sheet name="Workforce Separation" sheetId="11" state="visible" r:id="rId13"/>
    <sheet name="Finance" sheetId="12" state="visible" r:id="rId14"/>
    <sheet name="FRAME Allocation" sheetId="13" state="visible" r:id="rId15"/>
    <sheet name="Release Gates" sheetId="14" state="visible" r:id="rId16"/>
    <sheet name="Nonconversions" sheetId="15" state="visible" r:id="rId17"/>
    <sheet name="Stress Tests" sheetId="16" state="visible" r:id="rId18"/>
    <sheet name="Mutations" sheetId="17" state="visible" r:id="rId19"/>
    <sheet name="Audit" sheetId="18" state="visible" r:id="rId20"/>
    <sheet name="Sources &amp; Limits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<sst xmlns="http://schemas.openxmlformats.org/spreadsheetml/2006/main" count="4804" uniqueCount="1083">
  <si>
    <t xml:space="preserve">Concurrent six-root causal-section closure</t>
  </si>
  <si>
    <t xml:space="preserve">Six root-native architecture lanes start together and close on their own clocks. This constitution fixes the closure grammar and preserves unlike mechanisms; it does not claim a closed physical margin.</t>
  </si>
  <si>
    <t xml:space="preserve">Decision object</t>
  </si>
  <si>
    <t xml:space="preserve">Value</t>
  </si>
  <si>
    <t xml:space="preserve">Unit</t>
  </si>
  <si>
    <t xml:space="preserve">State</t>
  </si>
  <si>
    <t xml:space="preserve">Meaning</t>
  </si>
  <si>
    <t xml:space="preserve">Authority</t>
  </si>
  <si>
    <t xml:space="preserve">Prohibited conversion</t>
  </si>
  <si>
    <t xml:space="preserve">Next burden</t>
  </si>
  <si>
    <t xml:space="preserve">selected sequence</t>
  </si>
  <si>
    <t xml:space="preserve">bounded asynchronous all-six</t>
  </si>
  <si>
    <t xml:space="preserve">text</t>
  </si>
  <si>
    <t xml:space="preserve">SELECTED</t>
  </si>
  <si>
    <t xml:space="preserve">six roots begin together and finish locally</t>
  </si>
  <si>
    <t xml:space="preserve">FGR-2</t>
  </si>
  <si>
    <t xml:space="preserve">parallel work to common control</t>
  </si>
  <si>
    <t xml:space="preserve">quantitative root closure</t>
  </si>
  <si>
    <t xml:space="preserve">root-native lanes</t>
  </si>
  <si>
    <t xml:space="preserve">count</t>
  </si>
  <si>
    <t xml:space="preserve">CONSTITUTED</t>
  </si>
  <si>
    <t xml:space="preserve">one isolated lane per sentinel root</t>
  </si>
  <si>
    <t xml:space="preserve">one finish to portfolio completion</t>
  </si>
  <si>
    <t xml:space="preserve">six complete dossiers</t>
  </si>
  <si>
    <t xml:space="preserve">section packets</t>
  </si>
  <si>
    <t xml:space="preserve">eight packets per root</t>
  </si>
  <si>
    <t xml:space="preserve">packet to evidence</t>
  </si>
  <si>
    <t xml:space="preserve">accepted paper artifacts</t>
  </si>
  <si>
    <t xml:space="preserve">closure cells</t>
  </si>
  <si>
    <t xml:space="preserve">OPEN</t>
  </si>
  <si>
    <t xml:space="preserve">six accounts across four worlds per root</t>
  </si>
  <si>
    <t xml:space="preserve">nominal surplus to denial pass</t>
  </si>
  <si>
    <t xml:space="preserve">owned and required bounds</t>
  </si>
  <si>
    <t xml:space="preserve">public seam records</t>
  </si>
  <si>
    <t xml:space="preserve">FROZEN</t>
  </si>
  <si>
    <t xml:space="preserve">twelve semantic seams per root</t>
  </si>
  <si>
    <t xml:space="preserve">PFP-4</t>
  </si>
  <si>
    <t xml:space="preserve">shared meaning to common runtime</t>
  </si>
  <si>
    <t xml:space="preserve">root-native mappings</t>
  </si>
  <si>
    <t xml:space="preserve">author-challenge cells</t>
  </si>
  <si>
    <t xml:space="preserve">one author and one challenger per root</t>
  </si>
  <si>
    <t xml:space="preserve">review to design authority</t>
  </si>
  <si>
    <t xml:space="preserve">source-empty identities</t>
  </si>
  <si>
    <t xml:space="preserve">serial comparison</t>
  </si>
  <si>
    <t xml:space="preserve">weeks</t>
  </si>
  <si>
    <t xml:space="preserve">PLANNING</t>
  </si>
  <si>
    <t xml:space="preserve">sum of six controlled durations</t>
  </si>
  <si>
    <t xml:space="preserve">paper duration to schedule fact</t>
  </si>
  <si>
    <t xml:space="preserve">observed work duration</t>
  </si>
  <si>
    <t xml:space="preserve">parallel wall-clock</t>
  </si>
  <si>
    <t xml:space="preserve">longest controlled root duration</t>
  </si>
  <si>
    <t xml:space="preserve">slowest lane to command</t>
  </si>
  <si>
    <t xml:space="preserve">local review completion</t>
  </si>
  <si>
    <t xml:space="preserve">calendar reduction</t>
  </si>
  <si>
    <t xml:space="preserve">share</t>
  </si>
  <si>
    <t xml:space="preserve">parallel comparison against serial queue</t>
  </si>
  <si>
    <t xml:space="preserve">comparison to delivery promise</t>
  </si>
  <si>
    <t xml:space="preserve">observed schedule</t>
  </si>
  <si>
    <t xml:space="preserve">maximum FRAME envelope</t>
  </si>
  <si>
    <t xml:space="preserve">USD B</t>
  </si>
  <si>
    <t xml:space="preserve">HELD</t>
  </si>
  <si>
    <t xml:space="preserve">fifteen percent of inherited six-root options</t>
  </si>
  <si>
    <t xml:space="preserve">A2C-5</t>
  </si>
  <si>
    <t xml:space="preserve">ceiling to award or payment</t>
  </si>
  <si>
    <t xml:space="preserve">accepted packets</t>
  </si>
  <si>
    <t xml:space="preserve">accepted value</t>
  </si>
  <si>
    <t xml:space="preserve">no artifact has been accepted</t>
  </si>
  <si>
    <t xml:space="preserve">SOURCE EMPTY</t>
  </si>
  <si>
    <t xml:space="preserve">constitution to fiscal transaction</t>
  </si>
  <si>
    <t xml:space="preserve">independent acceptance</t>
  </si>
  <si>
    <t xml:space="preserve">capability credit</t>
  </si>
  <si>
    <t xml:space="preserve">paper closure is not readiness</t>
  </si>
  <si>
    <t xml:space="preserve">none</t>
  </si>
  <si>
    <t xml:space="preserve">model to observed effect</t>
  </si>
  <si>
    <t xml:space="preserve">representative events</t>
  </si>
  <si>
    <t xml:space="preserve">production authority</t>
  </si>
  <si>
    <t xml:space="preserve">sentinels do not select production winners</t>
  </si>
  <si>
    <t xml:space="preserve">one root to force winner</t>
  </si>
  <si>
    <t xml:space="preserve">complete-root proof</t>
  </si>
  <si>
    <t xml:space="preserve">rendering authority</t>
  </si>
  <si>
    <t xml:space="preserve">exterior follows earned internal form</t>
  </si>
  <si>
    <t xml:space="preserve">section grammar to image</t>
  </si>
  <si>
    <t xml:space="preserve">later form warrant</t>
  </si>
  <si>
    <t xml:space="preserve">Terminal test</t>
  </si>
  <si>
    <t xml:space="preserve">Observed</t>
  </si>
  <si>
    <t xml:space="preserve">root lanes</t>
  </si>
  <si>
    <t xml:space="preserve">serial weeks</t>
  </si>
  <si>
    <t xml:space="preserve">parallel weeks</t>
  </si>
  <si>
    <t xml:space="preserve">audit failures</t>
  </si>
  <si>
    <t xml:space="preserve">observations</t>
  </si>
  <si>
    <t xml:space="preserve">capability</t>
  </si>
  <si>
    <t xml:space="preserve">production</t>
  </si>
  <si>
    <t xml:space="preserve">rendering</t>
  </si>
  <si>
    <t xml:space="preserve">Authoritative FGR-2 controls</t>
  </si>
  <si>
    <t xml:space="preserve">Blue cells are controlled planning inputs. They create no article, evidence, payment, capability, production or rendering authority.</t>
  </si>
  <si>
    <t xml:space="preserve">Control</t>
  </si>
  <si>
    <t xml:space="preserve">mission systems</t>
  </si>
  <si>
    <t xml:space="preserve">constituted planning boundary</t>
  </si>
  <si>
    <t xml:space="preserve">closure accounts</t>
  </si>
  <si>
    <t xml:space="preserve">closure worlds</t>
  </si>
  <si>
    <t xml:space="preserve">packets per root</t>
  </si>
  <si>
    <t xml:space="preserve">packet rows</t>
  </si>
  <si>
    <t xml:space="preserve">public seams</t>
  </si>
  <si>
    <t xml:space="preserve">seam rows</t>
  </si>
  <si>
    <t xml:space="preserve">root authors</t>
  </si>
  <si>
    <t xml:space="preserve">independent challengers</t>
  </si>
  <si>
    <t xml:space="preserve">private option ceiling</t>
  </si>
  <si>
    <t xml:space="preserve">FRAME share</t>
  </si>
  <si>
    <t xml:space="preserve">FRAME ceiling</t>
  </si>
  <si>
    <t xml:space="preserve">held share</t>
  </si>
  <si>
    <t xml:space="preserve">work views</t>
  </si>
  <si>
    <t xml:space="preserve">FRAME allocation rows</t>
  </si>
  <si>
    <t xml:space="preserve">schedule rows</t>
  </si>
  <si>
    <t xml:space="preserve">serial root-weeks</t>
  </si>
  <si>
    <t xml:space="preserve">release gates</t>
  </si>
  <si>
    <t xml:space="preserve">FGR-1</t>
  </si>
  <si>
    <t xml:space="preserve">G06 open</t>
  </si>
  <si>
    <t xml:space="preserve">sites</t>
  </si>
  <si>
    <t xml:space="preserve">implementation state held</t>
  </si>
  <si>
    <t xml:space="preserve">firms</t>
  </si>
  <si>
    <t xml:space="preserve">awards</t>
  </si>
  <si>
    <t xml:space="preserve">obligations</t>
  </si>
  <si>
    <t xml:space="preserve">payments</t>
  </si>
  <si>
    <t xml:space="preserve">Internal-architecture sequence hard-gate test</t>
  </si>
  <si>
    <t xml:space="preserve">Bounded asynchronous concurrency is selected only if all six roots remain independent, comparable and able to finish inside the branch stop condition.</t>
  </si>
  <si>
    <t xml:space="preserve">Sequence</t>
  </si>
  <si>
    <t xml:space="preserve">six roots active</t>
  </si>
  <si>
    <t xml:space="preserve">separate authors</t>
  </si>
  <si>
    <t xml:space="preserve">separate challengers</t>
  </si>
  <si>
    <t xml:space="preserve">no common solver</t>
  </si>
  <si>
    <t xml:space="preserve">existing seams only</t>
  </si>
  <si>
    <t xml:space="preserve">conflict visible</t>
  </si>
  <si>
    <t xml:space="preserve">no shared queue</t>
  </si>
  <si>
    <t xml:space="preserve">branch budget fit</t>
  </si>
  <si>
    <t xml:space="preserve">no root precedent</t>
  </si>
  <si>
    <t xml:space="preserve">failure local</t>
  </si>
  <si>
    <t xml:space="preserve">money conserved</t>
  </si>
  <si>
    <t xml:space="preserve">exterior held</t>
  </si>
  <si>
    <t xml:space="preserve">Passes</t>
  </si>
  <si>
    <t xml:space="preserve">Eligible</t>
  </si>
  <si>
    <t xml:space="preserve">Decision</t>
  </si>
  <si>
    <t xml:space="preserve">lifeline-first serial</t>
  </si>
  <si>
    <t xml:space="preserve">lowest-margin-first serial</t>
  </si>
  <si>
    <t xml:space="preserve">limiting-account waves</t>
  </si>
  <si>
    <t xml:space="preserve">synchronized all-six lockstep</t>
  </si>
  <si>
    <t xml:space="preserve">unbounded parallel drafting</t>
  </si>
  <si>
    <t xml:space="preserve">Six isolated root-native architecture lanes</t>
  </si>
  <si>
    <t xml:space="preserve">All lanes start together but close on their own clocks. One root cannot lend a model, margin or completion state to another.</t>
  </si>
  <si>
    <t xml:space="preserve">System</t>
  </si>
  <si>
    <t xml:space="preserve">Root</t>
  </si>
  <si>
    <t xml:space="preserve">Article</t>
  </si>
  <si>
    <t xml:space="preserve">Limiting account</t>
  </si>
  <si>
    <t xml:space="preserve">Causal section</t>
  </si>
  <si>
    <t xml:space="preserve">Duration weeks</t>
  </si>
  <si>
    <t xml:space="preserve">Start week</t>
  </si>
  <si>
    <t xml:space="preserve">Finish week</t>
  </si>
  <si>
    <t xml:space="preserve">Option USD B</t>
  </si>
  <si>
    <t xml:space="preserve">Maximum FRAME USD B</t>
  </si>
  <si>
    <t xml:space="preserve">MS-ET</t>
  </si>
  <si>
    <t xml:space="preserve">ET-A</t>
  </si>
  <si>
    <t xml:space="preserve">Pelagic exchange cell</t>
  </si>
  <si>
    <t xml:space="preserve">Route flow</t>
  </si>
  <si>
    <t xml:space="preserve">moving-source mass and custody section</t>
  </si>
  <si>
    <t xml:space="preserve">CONCURRENT / HELD</t>
  </si>
  <si>
    <t xml:space="preserve">MS-CT</t>
  </si>
  <si>
    <t xml:space="preserve">CT-C</t>
  </si>
  <si>
    <t xml:space="preserve">Occupied-building utility-spine sector</t>
  </si>
  <si>
    <t xml:space="preserve">Energy</t>
  </si>
  <si>
    <t xml:space="preserve">occupied-structure reaction and utility section</t>
  </si>
  <si>
    <t xml:space="preserve">MS-HC</t>
  </si>
  <si>
    <t xml:space="preserve">HC-A</t>
  </si>
  <si>
    <t xml:space="preserve">Atmospheric intervention cell</t>
  </si>
  <si>
    <t xml:space="preserve">energy-fluid-effect kilometre section</t>
  </si>
  <si>
    <t xml:space="preserve">MS-LF</t>
  </si>
  <si>
    <t xml:space="preserve">LF-B</t>
  </si>
  <si>
    <t xml:space="preserve">IGT-50 geothermal source position</t>
  </si>
  <si>
    <t xml:space="preserve">reservoir-bore-bus-treatment-injection section</t>
  </si>
  <si>
    <t xml:space="preserve">MS-HU</t>
  </si>
  <si>
    <t xml:space="preserve">HU-A</t>
  </si>
  <si>
    <t xml:space="preserve">Complete clinical island</t>
  </si>
  <si>
    <t xml:space="preserve">Mass</t>
  </si>
  <si>
    <t xml:space="preserve">person-care-sterility-relationship section</t>
  </si>
  <si>
    <t xml:space="preserve">MS-RT</t>
  </si>
  <si>
    <t xml:space="preserve">RT-B</t>
  </si>
  <si>
    <t xml:space="preserve">Disconnected microfactory mesh</t>
  </si>
  <si>
    <t xml:space="preserve">dirty-return-to-qualified-release topology</t>
  </si>
  <si>
    <t xml:space="preserve">Six noncompensatory causal-section accounts</t>
  </si>
  <si>
    <t xml:space="preserve">The grammar standardizes meaning, not geometry, method, solver, material, controller or drawing template.</t>
  </si>
  <si>
    <t xml:space="preserve">Account</t>
  </si>
  <si>
    <t xml:space="preserve">Closure account</t>
  </si>
  <si>
    <t xml:space="preserve">Required content</t>
  </si>
  <si>
    <t xml:space="preserve">Decision form</t>
  </si>
  <si>
    <t xml:space="preserve">A01</t>
  </si>
  <si>
    <t xml:space="preserve">Mass and material custody</t>
  </si>
  <si>
    <t xml:space="preserve">source, product, consumable, payload and retained hazard</t>
  </si>
  <si>
    <t xml:space="preserve">capacity or burden</t>
  </si>
  <si>
    <t xml:space="preserve">A02</t>
  </si>
  <si>
    <t xml:space="preserve">Energy and heat</t>
  </si>
  <si>
    <t xml:space="preserve">generation, distribution, black start, conversion loss and heat rejection</t>
  </si>
  <si>
    <t xml:space="preserve">A03</t>
  </si>
  <si>
    <t xml:space="preserve">Geometry and load path</t>
  </si>
  <si>
    <t xml:space="preserve">working volume, structure, stability, clearances, interfaces and removal direction</t>
  </si>
  <si>
    <t xml:space="preserve">A04</t>
  </si>
  <si>
    <t xml:space="preserve">Safe state and human boundary</t>
  </si>
  <si>
    <t xml:space="preserve">detection, isolation, refuge, egress, manual control and civil rights</t>
  </si>
  <si>
    <t xml:space="preserve">conjunctive</t>
  </si>
  <si>
    <t xml:space="preserve">A05</t>
  </si>
  <si>
    <t xml:space="preserve">Residual and environmental custody</t>
  </si>
  <si>
    <t xml:space="preserve">dirty return, brine, runoff, smoke, clinical waste and rejected material</t>
  </si>
  <si>
    <t xml:space="preserve">A06</t>
  </si>
  <si>
    <t xml:space="preserve">Removal and cold reconstruction</t>
  </si>
  <si>
    <t xml:space="preserve">disassembly, inspection, replacement, rebuild and ancestry recovery</t>
  </si>
  <si>
    <t xml:space="preserve">Four required section worlds</t>
  </si>
  <si>
    <t xml:space="preserve">Every account must close separately in every world. Nominal surplus cannot compensate for a denial or reconstruction failure.</t>
  </si>
  <si>
    <t xml:space="preserve">World</t>
  </si>
  <si>
    <t xml:space="preserve">Required condition</t>
  </si>
  <si>
    <t xml:space="preserve">W01</t>
  </si>
  <si>
    <t xml:space="preserve">Nominal mission</t>
  </si>
  <si>
    <t xml:space="preserve">declared article mission without inserted loss</t>
  </si>
  <si>
    <t xml:space="preserve">W02</t>
  </si>
  <si>
    <t xml:space="preserve">Fatal-keystone challenge</t>
  </si>
  <si>
    <t xml:space="preserve">principal causal mechanism challenged at full physical scale</t>
  </si>
  <si>
    <t xml:space="preserve">W03</t>
  </si>
  <si>
    <t xml:space="preserve">Largest-independent-cell loss</t>
  </si>
  <si>
    <t xml:space="preserve">largest independent contributing cell or path removed</t>
  </si>
  <si>
    <t xml:space="preserve">W04</t>
  </si>
  <si>
    <t xml:space="preserve">Cold reconstruction</t>
  </si>
  <si>
    <t xml:space="preserve">outside team rebuilds from frozen records without origin runtime</t>
  </si>
  <si>
    <t xml:space="preserve">One hundred forty-four root-account-world closure cells</t>
  </si>
  <si>
    <t xml:space="preserve">Inputs remain source empty. A quantitative closure pass must populate owned bounds and demands without adding decisive host capacity.</t>
  </si>
  <si>
    <t xml:space="preserve">Cell</t>
  </si>
  <si>
    <t xml:space="preserve">World state</t>
  </si>
  <si>
    <t xml:space="preserve">Owned quantity</t>
  </si>
  <si>
    <t xml:space="preserve">Requirement or limit</t>
  </si>
  <si>
    <t xml:space="preserve">Host contribution</t>
  </si>
  <si>
    <t xml:space="preserve">Modeled margin</t>
  </si>
  <si>
    <t xml:space="preserve">Disposition</t>
  </si>
  <si>
    <t xml:space="preserve">Observation</t>
  </si>
  <si>
    <t xml:space="preserve">G06 credit</t>
  </si>
  <si>
    <t xml:space="preserve">ET-A-A01-W01</t>
  </si>
  <si>
    <t xml:space="preserve">n.a.</t>
  </si>
  <si>
    <t xml:space="preserve">ET-A-A01-W02</t>
  </si>
  <si>
    <t xml:space="preserve">ET-A-A01-W03</t>
  </si>
  <si>
    <t xml:space="preserve">ET-A-A01-W04</t>
  </si>
  <si>
    <t xml:space="preserve">ET-A-A02-W01</t>
  </si>
  <si>
    <t xml:space="preserve">ET-A-A02-W02</t>
  </si>
  <si>
    <t xml:space="preserve">ET-A-A02-W03</t>
  </si>
  <si>
    <t xml:space="preserve">ET-A-A02-W04</t>
  </si>
  <si>
    <t xml:space="preserve">ET-A-A03-W01</t>
  </si>
  <si>
    <t xml:space="preserve">ET-A-A03-W02</t>
  </si>
  <si>
    <t xml:space="preserve">ET-A-A03-W03</t>
  </si>
  <si>
    <t xml:space="preserve">ET-A-A03-W04</t>
  </si>
  <si>
    <t xml:space="preserve">ET-A-A04-W01</t>
  </si>
  <si>
    <t xml:space="preserve">ET-A-A04-W02</t>
  </si>
  <si>
    <t xml:space="preserve">ET-A-A04-W03</t>
  </si>
  <si>
    <t xml:space="preserve">ET-A-A04-W04</t>
  </si>
  <si>
    <t xml:space="preserve">ET-A-A05-W01</t>
  </si>
  <si>
    <t xml:space="preserve">ET-A-A05-W02</t>
  </si>
  <si>
    <t xml:space="preserve">ET-A-A05-W03</t>
  </si>
  <si>
    <t xml:space="preserve">ET-A-A05-W04</t>
  </si>
  <si>
    <t xml:space="preserve">ET-A-A06-W01</t>
  </si>
  <si>
    <t xml:space="preserve">ET-A-A06-W02</t>
  </si>
  <si>
    <t xml:space="preserve">ET-A-A06-W03</t>
  </si>
  <si>
    <t xml:space="preserve">ET-A-A06-W04</t>
  </si>
  <si>
    <t xml:space="preserve">CT-C-A01-W01</t>
  </si>
  <si>
    <t xml:space="preserve">CT-C-A01-W02</t>
  </si>
  <si>
    <t xml:space="preserve">CT-C-A01-W03</t>
  </si>
  <si>
    <t xml:space="preserve">CT-C-A01-W04</t>
  </si>
  <si>
    <t xml:space="preserve">CT-C-A02-W01</t>
  </si>
  <si>
    <t xml:space="preserve">CT-C-A02-W02</t>
  </si>
  <si>
    <t xml:space="preserve">CT-C-A02-W03</t>
  </si>
  <si>
    <t xml:space="preserve">CT-C-A02-W04</t>
  </si>
  <si>
    <t xml:space="preserve">CT-C-A03-W01</t>
  </si>
  <si>
    <t xml:space="preserve">CT-C-A03-W02</t>
  </si>
  <si>
    <t xml:space="preserve">CT-C-A03-W03</t>
  </si>
  <si>
    <t xml:space="preserve">CT-C-A03-W04</t>
  </si>
  <si>
    <t xml:space="preserve">CT-C-A04-W01</t>
  </si>
  <si>
    <t xml:space="preserve">CT-C-A04-W02</t>
  </si>
  <si>
    <t xml:space="preserve">CT-C-A04-W03</t>
  </si>
  <si>
    <t xml:space="preserve">CT-C-A04-W04</t>
  </si>
  <si>
    <t xml:space="preserve">CT-C-A05-W01</t>
  </si>
  <si>
    <t xml:space="preserve">CT-C-A05-W02</t>
  </si>
  <si>
    <t xml:space="preserve">CT-C-A05-W03</t>
  </si>
  <si>
    <t xml:space="preserve">CT-C-A05-W04</t>
  </si>
  <si>
    <t xml:space="preserve">CT-C-A06-W01</t>
  </si>
  <si>
    <t xml:space="preserve">CT-C-A06-W02</t>
  </si>
  <si>
    <t xml:space="preserve">CT-C-A06-W03</t>
  </si>
  <si>
    <t xml:space="preserve">CT-C-A06-W04</t>
  </si>
  <si>
    <t xml:space="preserve">HC-A-A01-W01</t>
  </si>
  <si>
    <t xml:space="preserve">HC-A-A01-W02</t>
  </si>
  <si>
    <t xml:space="preserve">HC-A-A01-W03</t>
  </si>
  <si>
    <t xml:space="preserve">HC-A-A01-W04</t>
  </si>
  <si>
    <t xml:space="preserve">HC-A-A02-W01</t>
  </si>
  <si>
    <t xml:space="preserve">HC-A-A02-W02</t>
  </si>
  <si>
    <t xml:space="preserve">HC-A-A02-W03</t>
  </si>
  <si>
    <t xml:space="preserve">HC-A-A02-W04</t>
  </si>
  <si>
    <t xml:space="preserve">HC-A-A03-W01</t>
  </si>
  <si>
    <t xml:space="preserve">HC-A-A03-W02</t>
  </si>
  <si>
    <t xml:space="preserve">HC-A-A03-W03</t>
  </si>
  <si>
    <t xml:space="preserve">HC-A-A03-W04</t>
  </si>
  <si>
    <t xml:space="preserve">HC-A-A04-W01</t>
  </si>
  <si>
    <t xml:space="preserve">HC-A-A04-W02</t>
  </si>
  <si>
    <t xml:space="preserve">HC-A-A04-W03</t>
  </si>
  <si>
    <t xml:space="preserve">HC-A-A04-W04</t>
  </si>
  <si>
    <t xml:space="preserve">HC-A-A05-W01</t>
  </si>
  <si>
    <t xml:space="preserve">HC-A-A05-W02</t>
  </si>
  <si>
    <t xml:space="preserve">HC-A-A05-W03</t>
  </si>
  <si>
    <t xml:space="preserve">HC-A-A05-W04</t>
  </si>
  <si>
    <t xml:space="preserve">HC-A-A06-W01</t>
  </si>
  <si>
    <t xml:space="preserve">HC-A-A06-W02</t>
  </si>
  <si>
    <t xml:space="preserve">HC-A-A06-W03</t>
  </si>
  <si>
    <t xml:space="preserve">HC-A-A06-W04</t>
  </si>
  <si>
    <t xml:space="preserve">LF-B-A01-W01</t>
  </si>
  <si>
    <t xml:space="preserve">LF-B-A01-W02</t>
  </si>
  <si>
    <t xml:space="preserve">LF-B-A01-W03</t>
  </si>
  <si>
    <t xml:space="preserve">LF-B-A01-W04</t>
  </si>
  <si>
    <t xml:space="preserve">LF-B-A02-W01</t>
  </si>
  <si>
    <t xml:space="preserve">LF-B-A02-W02</t>
  </si>
  <si>
    <t xml:space="preserve">LF-B-A02-W03</t>
  </si>
  <si>
    <t xml:space="preserve">LF-B-A02-W04</t>
  </si>
  <si>
    <t xml:space="preserve">LF-B-A03-W01</t>
  </si>
  <si>
    <t xml:space="preserve">LF-B-A03-W02</t>
  </si>
  <si>
    <t xml:space="preserve">LF-B-A03-W03</t>
  </si>
  <si>
    <t xml:space="preserve">LF-B-A03-W04</t>
  </si>
  <si>
    <t xml:space="preserve">LF-B-A04-W01</t>
  </si>
  <si>
    <t xml:space="preserve">LF-B-A04-W02</t>
  </si>
  <si>
    <t xml:space="preserve">LF-B-A04-W03</t>
  </si>
  <si>
    <t xml:space="preserve">LF-B-A04-W04</t>
  </si>
  <si>
    <t xml:space="preserve">LF-B-A05-W01</t>
  </si>
  <si>
    <t xml:space="preserve">LF-B-A05-W02</t>
  </si>
  <si>
    <t xml:space="preserve">LF-B-A05-W03</t>
  </si>
  <si>
    <t xml:space="preserve">LF-B-A05-W04</t>
  </si>
  <si>
    <t xml:space="preserve">LF-B-A06-W01</t>
  </si>
  <si>
    <t xml:space="preserve">LF-B-A06-W02</t>
  </si>
  <si>
    <t xml:space="preserve">LF-B-A06-W03</t>
  </si>
  <si>
    <t xml:space="preserve">LF-B-A06-W04</t>
  </si>
  <si>
    <t xml:space="preserve">HU-A-A01-W01</t>
  </si>
  <si>
    <t xml:space="preserve">HU-A-A01-W02</t>
  </si>
  <si>
    <t xml:space="preserve">HU-A-A01-W03</t>
  </si>
  <si>
    <t xml:space="preserve">HU-A-A01-W04</t>
  </si>
  <si>
    <t xml:space="preserve">HU-A-A02-W01</t>
  </si>
  <si>
    <t xml:space="preserve">HU-A-A02-W02</t>
  </si>
  <si>
    <t xml:space="preserve">HU-A-A02-W03</t>
  </si>
  <si>
    <t xml:space="preserve">HU-A-A02-W04</t>
  </si>
  <si>
    <t xml:space="preserve">HU-A-A03-W01</t>
  </si>
  <si>
    <t xml:space="preserve">HU-A-A03-W02</t>
  </si>
  <si>
    <t xml:space="preserve">HU-A-A03-W03</t>
  </si>
  <si>
    <t xml:space="preserve">HU-A-A03-W04</t>
  </si>
  <si>
    <t xml:space="preserve">HU-A-A04-W01</t>
  </si>
  <si>
    <t xml:space="preserve">HU-A-A04-W02</t>
  </si>
  <si>
    <t xml:space="preserve">HU-A-A04-W03</t>
  </si>
  <si>
    <t xml:space="preserve">HU-A-A04-W04</t>
  </si>
  <si>
    <t xml:space="preserve">HU-A-A05-W01</t>
  </si>
  <si>
    <t xml:space="preserve">HU-A-A05-W02</t>
  </si>
  <si>
    <t xml:space="preserve">HU-A-A05-W03</t>
  </si>
  <si>
    <t xml:space="preserve">HU-A-A05-W04</t>
  </si>
  <si>
    <t xml:space="preserve">HU-A-A06-W01</t>
  </si>
  <si>
    <t xml:space="preserve">HU-A-A06-W02</t>
  </si>
  <si>
    <t xml:space="preserve">HU-A-A06-W03</t>
  </si>
  <si>
    <t xml:space="preserve">HU-A-A06-W04</t>
  </si>
  <si>
    <t xml:space="preserve">RT-B-A01-W01</t>
  </si>
  <si>
    <t xml:space="preserve">RT-B-A01-W02</t>
  </si>
  <si>
    <t xml:space="preserve">RT-B-A01-W03</t>
  </si>
  <si>
    <t xml:space="preserve">RT-B-A01-W04</t>
  </si>
  <si>
    <t xml:space="preserve">RT-B-A02-W01</t>
  </si>
  <si>
    <t xml:space="preserve">RT-B-A02-W02</t>
  </si>
  <si>
    <t xml:space="preserve">RT-B-A02-W03</t>
  </si>
  <si>
    <t xml:space="preserve">RT-B-A02-W04</t>
  </si>
  <si>
    <t xml:space="preserve">RT-B-A03-W01</t>
  </si>
  <si>
    <t xml:space="preserve">RT-B-A03-W02</t>
  </si>
  <si>
    <t xml:space="preserve">RT-B-A03-W03</t>
  </si>
  <si>
    <t xml:space="preserve">RT-B-A03-W04</t>
  </si>
  <si>
    <t xml:space="preserve">RT-B-A04-W01</t>
  </si>
  <si>
    <t xml:space="preserve">RT-B-A04-W02</t>
  </si>
  <si>
    <t xml:space="preserve">RT-B-A04-W03</t>
  </si>
  <si>
    <t xml:space="preserve">RT-B-A04-W04</t>
  </si>
  <si>
    <t xml:space="preserve">RT-B-A05-W01</t>
  </si>
  <si>
    <t xml:space="preserve">RT-B-A05-W02</t>
  </si>
  <si>
    <t xml:space="preserve">RT-B-A05-W03</t>
  </si>
  <si>
    <t xml:space="preserve">RT-B-A05-W04</t>
  </si>
  <si>
    <t xml:space="preserve">RT-B-A06-W01</t>
  </si>
  <si>
    <t xml:space="preserve">RT-B-A06-W02</t>
  </si>
  <si>
    <t xml:space="preserve">RT-B-A06-W03</t>
  </si>
  <si>
    <t xml:space="preserve">RT-B-A06-W04</t>
  </si>
  <si>
    <t xml:space="preserve">Forty-eight causal-section dossier packets</t>
  </si>
  <si>
    <t xml:space="preserve">Packets may share public field names. They may not share a technical drawing template or candidate runtime.</t>
  </si>
  <si>
    <t xml:space="preserve">Packet</t>
  </si>
  <si>
    <t xml:space="preserve">Type</t>
  </si>
  <si>
    <t xml:space="preserve">Required packet</t>
  </si>
  <si>
    <t xml:space="preserve">Root-native section</t>
  </si>
  <si>
    <t xml:space="preserve">Packet state</t>
  </si>
  <si>
    <t xml:space="preserve">Accepted</t>
  </si>
  <si>
    <t xml:space="preserve">Result</t>
  </si>
  <si>
    <t xml:space="preserve">Common implementation?</t>
  </si>
  <si>
    <t xml:space="preserve">ET-A-P01</t>
  </si>
  <si>
    <t xml:space="preserve">P01</t>
  </si>
  <si>
    <t xml:space="preserve">Coordinate, boundary and ancestry</t>
  </si>
  <si>
    <t xml:space="preserve">no common drawing template</t>
  </si>
  <si>
    <t xml:space="preserve">ET-A-P02</t>
  </si>
  <si>
    <t xml:space="preserve">P02</t>
  </si>
  <si>
    <t xml:space="preserve">Causal path and public denominator</t>
  </si>
  <si>
    <t xml:space="preserve">ET-A-P03</t>
  </si>
  <si>
    <t xml:space="preserve">P03</t>
  </si>
  <si>
    <t xml:space="preserve">Conserved state and mass packets</t>
  </si>
  <si>
    <t xml:space="preserve">ET-A-P04</t>
  </si>
  <si>
    <t xml:space="preserve">P04</t>
  </si>
  <si>
    <t xml:space="preserve">Geometry, volume, clearance and load path</t>
  </si>
  <si>
    <t xml:space="preserve">ET-A-P05</t>
  </si>
  <si>
    <t xml:space="preserve">P05</t>
  </si>
  <si>
    <t xml:space="preserve">Energy, heat and working medium</t>
  </si>
  <si>
    <t xml:space="preserve">ET-A-P06</t>
  </si>
  <si>
    <t xml:space="preserve">P06</t>
  </si>
  <si>
    <t xml:space="preserve">Human access, safe state and residual custody</t>
  </si>
  <si>
    <t xml:space="preserve">ET-A-P07</t>
  </si>
  <si>
    <t xml:space="preserve">P07</t>
  </si>
  <si>
    <t xml:space="preserve">Removal, replacement and cold reconstruction</t>
  </si>
  <si>
    <t xml:space="preserve">ET-A-P08</t>
  </si>
  <si>
    <t xml:space="preserve">P08</t>
  </si>
  <si>
    <t xml:space="preserve">Uncertainty, change and independent challenge</t>
  </si>
  <si>
    <t xml:space="preserve">CT-C-P01</t>
  </si>
  <si>
    <t xml:space="preserve">CT-C-P02</t>
  </si>
  <si>
    <t xml:space="preserve">CT-C-P03</t>
  </si>
  <si>
    <t xml:space="preserve">CT-C-P04</t>
  </si>
  <si>
    <t xml:space="preserve">CT-C-P05</t>
  </si>
  <si>
    <t xml:space="preserve">CT-C-P06</t>
  </si>
  <si>
    <t xml:space="preserve">CT-C-P07</t>
  </si>
  <si>
    <t xml:space="preserve">CT-C-P08</t>
  </si>
  <si>
    <t xml:space="preserve">HC-A-P01</t>
  </si>
  <si>
    <t xml:space="preserve">HC-A-P02</t>
  </si>
  <si>
    <t xml:space="preserve">HC-A-P03</t>
  </si>
  <si>
    <t xml:space="preserve">HC-A-P04</t>
  </si>
  <si>
    <t xml:space="preserve">HC-A-P05</t>
  </si>
  <si>
    <t xml:space="preserve">HC-A-P06</t>
  </si>
  <si>
    <t xml:space="preserve">HC-A-P07</t>
  </si>
  <si>
    <t xml:space="preserve">HC-A-P08</t>
  </si>
  <si>
    <t xml:space="preserve">LF-B-P01</t>
  </si>
  <si>
    <t xml:space="preserve">LF-B-P02</t>
  </si>
  <si>
    <t xml:space="preserve">LF-B-P03</t>
  </si>
  <si>
    <t xml:space="preserve">LF-B-P04</t>
  </si>
  <si>
    <t xml:space="preserve">LF-B-P05</t>
  </si>
  <si>
    <t xml:space="preserve">LF-B-P06</t>
  </si>
  <si>
    <t xml:space="preserve">LF-B-P07</t>
  </si>
  <si>
    <t xml:space="preserve">LF-B-P08</t>
  </si>
  <si>
    <t xml:space="preserve">HU-A-P01</t>
  </si>
  <si>
    <t xml:space="preserve">HU-A-P02</t>
  </si>
  <si>
    <t xml:space="preserve">HU-A-P03</t>
  </si>
  <si>
    <t xml:space="preserve">HU-A-P04</t>
  </si>
  <si>
    <t xml:space="preserve">HU-A-P05</t>
  </si>
  <si>
    <t xml:space="preserve">HU-A-P06</t>
  </si>
  <si>
    <t xml:space="preserve">HU-A-P07</t>
  </si>
  <si>
    <t xml:space="preserve">HU-A-P08</t>
  </si>
  <si>
    <t xml:space="preserve">RT-B-P01</t>
  </si>
  <si>
    <t xml:space="preserve">RT-B-P02</t>
  </si>
  <si>
    <t xml:space="preserve">RT-B-P03</t>
  </si>
  <si>
    <t xml:space="preserve">RT-B-P04</t>
  </si>
  <si>
    <t xml:space="preserve">RT-B-P05</t>
  </si>
  <si>
    <t xml:space="preserve">RT-B-P06</t>
  </si>
  <si>
    <t xml:space="preserve">RT-B-P07</t>
  </si>
  <si>
    <t xml:space="preserve">RT-B-P08</t>
  </si>
  <si>
    <t xml:space="preserve">Seventy-two root-to-public seam declarations</t>
  </si>
  <si>
    <t xml:space="preserve">The twelve inherited seams carry comparable meaning only. A seam registrar cannot choose geometry, control, safeing or reconstruction.</t>
  </si>
  <si>
    <t xml:space="preserve">Record</t>
  </si>
  <si>
    <t xml:space="preserve">Public seam</t>
  </si>
  <si>
    <t xml:space="preserve">Shared content</t>
  </si>
  <si>
    <t xml:space="preserve">Implementation</t>
  </si>
  <si>
    <t xml:space="preserve">Common runtime</t>
  </si>
  <si>
    <t xml:space="preserve">Boundary</t>
  </si>
  <si>
    <t xml:space="preserve">ET-A-S01</t>
  </si>
  <si>
    <t xml:space="preserve">public denominator</t>
  </si>
  <si>
    <t xml:space="preserve">public meaning only</t>
  </si>
  <si>
    <t xml:space="preserve">root-native</t>
  </si>
  <si>
    <t xml:space="preserve">PROHIBITED</t>
  </si>
  <si>
    <t xml:space="preserve">no technical solution transferred</t>
  </si>
  <si>
    <t xml:space="preserve">ET-A-S02</t>
  </si>
  <si>
    <t xml:space="preserve">service clock</t>
  </si>
  <si>
    <t xml:space="preserve">ET-A-S03</t>
  </si>
  <si>
    <t xml:space="preserve">mass identity</t>
  </si>
  <si>
    <t xml:space="preserve">ET-A-S04</t>
  </si>
  <si>
    <t xml:space="preserve">energy identity</t>
  </si>
  <si>
    <t xml:space="preserve">ET-A-S05</t>
  </si>
  <si>
    <t xml:space="preserve">working-medium identity</t>
  </si>
  <si>
    <t xml:space="preserve">ET-A-S06</t>
  </si>
  <si>
    <t xml:space="preserve">receiver state</t>
  </si>
  <si>
    <t xml:space="preserve">ET-A-S07</t>
  </si>
  <si>
    <t xml:space="preserve">rights status</t>
  </si>
  <si>
    <t xml:space="preserve">ET-A-S08</t>
  </si>
  <si>
    <t xml:space="preserve">safe-state status</t>
  </si>
  <si>
    <t xml:space="preserve">ET-A-S09</t>
  </si>
  <si>
    <t xml:space="preserve">residual custody</t>
  </si>
  <si>
    <t xml:space="preserve">ET-A-S10</t>
  </si>
  <si>
    <t xml:space="preserve">evidence clock</t>
  </si>
  <si>
    <t xml:space="preserve">ET-A-S11</t>
  </si>
  <si>
    <t xml:space="preserve">configuration ancestry</t>
  </si>
  <si>
    <t xml:space="preserve">ET-A-S12</t>
  </si>
  <si>
    <t xml:space="preserve">reconstruction result</t>
  </si>
  <si>
    <t xml:space="preserve">CT-C-S01</t>
  </si>
  <si>
    <t xml:space="preserve">CT-C-S02</t>
  </si>
  <si>
    <t xml:space="preserve">CT-C-S03</t>
  </si>
  <si>
    <t xml:space="preserve">CT-C-S04</t>
  </si>
  <si>
    <t xml:space="preserve">CT-C-S05</t>
  </si>
  <si>
    <t xml:space="preserve">CT-C-S06</t>
  </si>
  <si>
    <t xml:space="preserve">CT-C-S07</t>
  </si>
  <si>
    <t xml:space="preserve">CT-C-S08</t>
  </si>
  <si>
    <t xml:space="preserve">CT-C-S09</t>
  </si>
  <si>
    <t xml:space="preserve">CT-C-S10</t>
  </si>
  <si>
    <t xml:space="preserve">CT-C-S11</t>
  </si>
  <si>
    <t xml:space="preserve">CT-C-S12</t>
  </si>
  <si>
    <t xml:space="preserve">HC-A-S01</t>
  </si>
  <si>
    <t xml:space="preserve">HC-A-S02</t>
  </si>
  <si>
    <t xml:space="preserve">HC-A-S03</t>
  </si>
  <si>
    <t xml:space="preserve">HC-A-S04</t>
  </si>
  <si>
    <t xml:space="preserve">HC-A-S05</t>
  </si>
  <si>
    <t xml:space="preserve">HC-A-S06</t>
  </si>
  <si>
    <t xml:space="preserve">HC-A-S07</t>
  </si>
  <si>
    <t xml:space="preserve">HC-A-S08</t>
  </si>
  <si>
    <t xml:space="preserve">HC-A-S09</t>
  </si>
  <si>
    <t xml:space="preserve">HC-A-S10</t>
  </si>
  <si>
    <t xml:space="preserve">HC-A-S11</t>
  </si>
  <si>
    <t xml:space="preserve">HC-A-S12</t>
  </si>
  <si>
    <t xml:space="preserve">LF-B-S01</t>
  </si>
  <si>
    <t xml:space="preserve">LF-B-S02</t>
  </si>
  <si>
    <t xml:space="preserve">LF-B-S03</t>
  </si>
  <si>
    <t xml:space="preserve">LF-B-S04</t>
  </si>
  <si>
    <t xml:space="preserve">LF-B-S05</t>
  </si>
  <si>
    <t xml:space="preserve">LF-B-S06</t>
  </si>
  <si>
    <t xml:space="preserve">LF-B-S07</t>
  </si>
  <si>
    <t xml:space="preserve">LF-B-S08</t>
  </si>
  <si>
    <t xml:space="preserve">LF-B-S09</t>
  </si>
  <si>
    <t xml:space="preserve">LF-B-S10</t>
  </si>
  <si>
    <t xml:space="preserve">LF-B-S11</t>
  </si>
  <si>
    <t xml:space="preserve">LF-B-S12</t>
  </si>
  <si>
    <t xml:space="preserve">HU-A-S01</t>
  </si>
  <si>
    <t xml:space="preserve">HU-A-S02</t>
  </si>
  <si>
    <t xml:space="preserve">HU-A-S03</t>
  </si>
  <si>
    <t xml:space="preserve">HU-A-S04</t>
  </si>
  <si>
    <t xml:space="preserve">HU-A-S05</t>
  </si>
  <si>
    <t xml:space="preserve">HU-A-S06</t>
  </si>
  <si>
    <t xml:space="preserve">HU-A-S07</t>
  </si>
  <si>
    <t xml:space="preserve">HU-A-S08</t>
  </si>
  <si>
    <t xml:space="preserve">HU-A-S09</t>
  </si>
  <si>
    <t xml:space="preserve">HU-A-S10</t>
  </si>
  <si>
    <t xml:space="preserve">HU-A-S11</t>
  </si>
  <si>
    <t xml:space="preserve">HU-A-S12</t>
  </si>
  <si>
    <t xml:space="preserve">RT-B-S01</t>
  </si>
  <si>
    <t xml:space="preserve">RT-B-S02</t>
  </si>
  <si>
    <t xml:space="preserve">RT-B-S03</t>
  </si>
  <si>
    <t xml:space="preserve">RT-B-S04</t>
  </si>
  <si>
    <t xml:space="preserve">RT-B-S05</t>
  </si>
  <si>
    <t xml:space="preserve">RT-B-S06</t>
  </si>
  <si>
    <t xml:space="preserve">RT-B-S07</t>
  </si>
  <si>
    <t xml:space="preserve">RT-B-S08</t>
  </si>
  <si>
    <t xml:space="preserve">RT-B-S09</t>
  </si>
  <si>
    <t xml:space="preserve">RT-B-S10</t>
  </si>
  <si>
    <t xml:space="preserve">RT-B-S11</t>
  </si>
  <si>
    <t xml:space="preserve">RT-B-S12</t>
  </si>
  <si>
    <t xml:space="preserve">Twenty-four asynchronous planning phases</t>
  </si>
  <si>
    <t xml:space="preserve">Durations are controlled planning assumptions. Each root advances locally; there is no portfolio lockstep gate.</t>
  </si>
  <si>
    <t xml:space="preserve">Order</t>
  </si>
  <si>
    <t xml:space="preserve">Phase</t>
  </si>
  <si>
    <t xml:space="preserve">Execution</t>
  </si>
  <si>
    <t xml:space="preserve">Calendar comparison</t>
  </si>
  <si>
    <t xml:space="preserve">Weeks</t>
  </si>
  <si>
    <t xml:space="preserve">ET-A-Q1</t>
  </si>
  <si>
    <t xml:space="preserve">boundary freeze</t>
  </si>
  <si>
    <t xml:space="preserve">serial queue</t>
  </si>
  <si>
    <t xml:space="preserve">ET-A-Q2</t>
  </si>
  <si>
    <t xml:space="preserve">internal tensor build</t>
  </si>
  <si>
    <t xml:space="preserve">bounded asynchronous</t>
  </si>
  <si>
    <t xml:space="preserve">ET-A-Q3</t>
  </si>
  <si>
    <t xml:space="preserve">independent challenge</t>
  </si>
  <si>
    <t xml:space="preserve">ET-A-Q4</t>
  </si>
  <si>
    <t xml:space="preserve">public seam return</t>
  </si>
  <si>
    <t xml:space="preserve">CT-C-Q1</t>
  </si>
  <si>
    <t xml:space="preserve">CT-C-Q2</t>
  </si>
  <si>
    <t xml:space="preserve">CT-C-Q3</t>
  </si>
  <si>
    <t xml:space="preserve">CT-C-Q4</t>
  </si>
  <si>
    <t xml:space="preserve">HC-A-Q1</t>
  </si>
  <si>
    <t xml:space="preserve">HC-A-Q2</t>
  </si>
  <si>
    <t xml:space="preserve">HC-A-Q3</t>
  </si>
  <si>
    <t xml:space="preserve">HC-A-Q4</t>
  </si>
  <si>
    <t xml:space="preserve">LF-B-Q1</t>
  </si>
  <si>
    <t xml:space="preserve">LF-B-Q2</t>
  </si>
  <si>
    <t xml:space="preserve">LF-B-Q3</t>
  </si>
  <si>
    <t xml:space="preserve">LF-B-Q4</t>
  </si>
  <si>
    <t xml:space="preserve">HU-A-Q1</t>
  </si>
  <si>
    <t xml:space="preserve">HU-A-Q2</t>
  </si>
  <si>
    <t xml:space="preserve">HU-A-Q3</t>
  </si>
  <si>
    <t xml:space="preserve">HU-A-Q4</t>
  </si>
  <si>
    <t xml:space="preserve">RT-B-Q1</t>
  </si>
  <si>
    <t xml:space="preserve">RT-B-Q2</t>
  </si>
  <si>
    <t xml:space="preserve">RT-B-Q3</t>
  </si>
  <si>
    <t xml:space="preserve">RT-B-Q4</t>
  </si>
  <si>
    <t xml:space="preserve">Twelve public author and challenge cells</t>
  </si>
  <si>
    <t xml:space="preserve">A person or beneficial-control group may not author and independently challenge the same root. Identities remain source empty.</t>
  </si>
  <si>
    <t xml:space="preserve">Role</t>
  </si>
  <si>
    <t xml:space="preserve">Author credit</t>
  </si>
  <si>
    <t xml:space="preserve">Challenge credit</t>
  </si>
  <si>
    <t xml:space="preserve">Cross-root decisive control</t>
  </si>
  <si>
    <t xml:space="preserve">Identity</t>
  </si>
  <si>
    <t xml:space="preserve">Restriction</t>
  </si>
  <si>
    <t xml:space="preserve">ET-A-AUTHOR</t>
  </si>
  <si>
    <t xml:space="preserve">root-native author</t>
  </si>
  <si>
    <t xml:space="preserve">may not challenge own root</t>
  </si>
  <si>
    <t xml:space="preserve">ET-A-CHALLENGE</t>
  </si>
  <si>
    <t xml:space="preserve">independent challenger</t>
  </si>
  <si>
    <t xml:space="preserve">may not author root model</t>
  </si>
  <si>
    <t xml:space="preserve">CT-C-AUTHOR</t>
  </si>
  <si>
    <t xml:space="preserve">CT-C-CHALLENGE</t>
  </si>
  <si>
    <t xml:space="preserve">HC-A-AUTHOR</t>
  </si>
  <si>
    <t xml:space="preserve">HC-A-CHALLENGE</t>
  </si>
  <si>
    <t xml:space="preserve">LF-B-AUTHOR</t>
  </si>
  <si>
    <t xml:space="preserve">LF-B-CHALLENGE</t>
  </si>
  <si>
    <t xml:space="preserve">HU-A-AUTHOR</t>
  </si>
  <si>
    <t xml:space="preserve">HU-A-CHALLENGE</t>
  </si>
  <si>
    <t xml:space="preserve">RT-B-AUTHOR</t>
  </si>
  <si>
    <t xml:space="preserve">RT-B-CHALLENGE</t>
  </si>
  <si>
    <t xml:space="preserve">Candidate authority under concurrent section closure</t>
  </si>
  <si>
    <t xml:space="preserve">Concurrency changes peak eligible FRAME exposure and calendar, not the USD 3.59B option ceiling. No amount is awarded, obligated or paid.</t>
  </si>
  <si>
    <t xml:space="preserve">Held share</t>
  </si>
  <si>
    <t xml:space="preserve">Held authority USD B</t>
  </si>
  <si>
    <t xml:space="preserve">Accepted USD B</t>
  </si>
  <si>
    <t xml:space="preserve">Paid USD B</t>
  </si>
  <si>
    <t xml:space="preserve">TOTAL</t>
  </si>
  <si>
    <t xml:space="preserve">six roots</t>
  </si>
  <si>
    <t xml:space="preserve">all causal-section lanes</t>
  </si>
  <si>
    <t xml:space="preserve">Thirty cross-classified FRAME work views</t>
  </si>
  <si>
    <t xml:space="preserve">Work views divide the inherited FRAME ceiling once. They do not create a second budget or authorize payment.</t>
  </si>
  <si>
    <t xml:space="preserve">Work view</t>
  </si>
  <si>
    <t xml:space="preserve">Share</t>
  </si>
  <si>
    <t xml:space="preserve">Root FRAME ceiling USD B</t>
  </si>
  <si>
    <t xml:space="preserve">Work-view ceiling USD B</t>
  </si>
  <si>
    <t xml:space="preserve">mass and geometry</t>
  </si>
  <si>
    <t xml:space="preserve">energy and working medium</t>
  </si>
  <si>
    <t xml:space="preserve">safe state and residual</t>
  </si>
  <si>
    <t xml:space="preserve">reconstruction and ancestry</t>
  </si>
  <si>
    <t xml:space="preserve">public-seam challenge</t>
  </si>
  <si>
    <t xml:space="preserve">Seventy-two inherited requirement-to-architecture gates</t>
  </si>
  <si>
    <t xml:space="preserve">The causal-section grammar does not close G06. Quantitative margins, safety, ancestry, build, event and reconstruction evidence remain absent.</t>
  </si>
  <si>
    <t xml:space="preserve">Gate</t>
  </si>
  <si>
    <t xml:space="preserve">Gate claim</t>
  </si>
  <si>
    <t xml:space="preserve">Authority basis</t>
  </si>
  <si>
    <t xml:space="preserve">Requirement closed</t>
  </si>
  <si>
    <t xml:space="preserve">Evidence accepted</t>
  </si>
  <si>
    <t xml:space="preserve">This pass effect</t>
  </si>
  <si>
    <t xml:space="preserve">Exterior authority</t>
  </si>
  <si>
    <t xml:space="preserve">ET-A-G01</t>
  </si>
  <si>
    <t xml:space="preserve">denominator</t>
  </si>
  <si>
    <t xml:space="preserve">NEXT GATE</t>
  </si>
  <si>
    <t xml:space="preserve">ET-A-G02</t>
  </si>
  <si>
    <t xml:space="preserve">article boundary</t>
  </si>
  <si>
    <t xml:space="preserve">ET-A-G03</t>
  </si>
  <si>
    <t xml:space="preserve">form loads</t>
  </si>
  <si>
    <t xml:space="preserve">ET-A-G04</t>
  </si>
  <si>
    <t xml:space="preserve">interfaces</t>
  </si>
  <si>
    <t xml:space="preserve">ET-A-G05</t>
  </si>
  <si>
    <t xml:space="preserve">denial set</t>
  </si>
  <si>
    <t xml:space="preserve">ET-A-G06</t>
  </si>
  <si>
    <t xml:space="preserve">paper closure</t>
  </si>
  <si>
    <t xml:space="preserve">grammar constituted; quantitative margin absent</t>
  </si>
  <si>
    <t xml:space="preserve">GRAMMAR ONLY</t>
  </si>
  <si>
    <t xml:space="preserve">ET-A-G07</t>
  </si>
  <si>
    <t xml:space="preserve">safety and rights</t>
  </si>
  <si>
    <t xml:space="preserve">future source record</t>
  </si>
  <si>
    <t xml:space="preserve">ET-A-G08</t>
  </si>
  <si>
    <t xml:space="preserve">ancestry</t>
  </si>
  <si>
    <t xml:space="preserve">ET-A-G09</t>
  </si>
  <si>
    <t xml:space="preserve">executable build record</t>
  </si>
  <si>
    <t xml:space="preserve">ET-A-G10</t>
  </si>
  <si>
    <t xml:space="preserve">representative event</t>
  </si>
  <si>
    <t xml:space="preserve">ET-A-G11</t>
  </si>
  <si>
    <t xml:space="preserve">cold reconstruction</t>
  </si>
  <si>
    <t xml:space="preserve">ET-A-G12</t>
  </si>
  <si>
    <t xml:space="preserve">architecture warrant</t>
  </si>
  <si>
    <t xml:space="preserve">INTERNAL ARCHITECTURE ONLY</t>
  </si>
  <si>
    <t xml:space="preserve">CT-C-G01</t>
  </si>
  <si>
    <t xml:space="preserve">CT-C-G02</t>
  </si>
  <si>
    <t xml:space="preserve">CT-C-G03</t>
  </si>
  <si>
    <t xml:space="preserve">CT-C-G04</t>
  </si>
  <si>
    <t xml:space="preserve">CT-C-G05</t>
  </si>
  <si>
    <t xml:space="preserve">CT-C-G06</t>
  </si>
  <si>
    <t xml:space="preserve">CT-C-G07</t>
  </si>
  <si>
    <t xml:space="preserve">CT-C-G08</t>
  </si>
  <si>
    <t xml:space="preserve">CT-C-G09</t>
  </si>
  <si>
    <t xml:space="preserve">CT-C-G10</t>
  </si>
  <si>
    <t xml:space="preserve">CT-C-G11</t>
  </si>
  <si>
    <t xml:space="preserve">CT-C-G12</t>
  </si>
  <si>
    <t xml:space="preserve">HC-A-G01</t>
  </si>
  <si>
    <t xml:space="preserve">HC-A-G02</t>
  </si>
  <si>
    <t xml:space="preserve">HC-A-G03</t>
  </si>
  <si>
    <t xml:space="preserve">HC-A-G04</t>
  </si>
  <si>
    <t xml:space="preserve">HC-A-G05</t>
  </si>
  <si>
    <t xml:space="preserve">HC-A-G06</t>
  </si>
  <si>
    <t xml:space="preserve">HC-A-G07</t>
  </si>
  <si>
    <t xml:space="preserve">HC-A-G08</t>
  </si>
  <si>
    <t xml:space="preserve">HC-A-G09</t>
  </si>
  <si>
    <t xml:space="preserve">HC-A-G10</t>
  </si>
  <si>
    <t xml:space="preserve">HC-A-G11</t>
  </si>
  <si>
    <t xml:space="preserve">HC-A-G12</t>
  </si>
  <si>
    <t xml:space="preserve">LF-B-G01</t>
  </si>
  <si>
    <t xml:space="preserve">LF-B-G02</t>
  </si>
  <si>
    <t xml:space="preserve">LF-B-G03</t>
  </si>
  <si>
    <t xml:space="preserve">LF-B-G04</t>
  </si>
  <si>
    <t xml:space="preserve">LF-B-G05</t>
  </si>
  <si>
    <t xml:space="preserve">LF-B-G06</t>
  </si>
  <si>
    <t xml:space="preserve">LF-B-G07</t>
  </si>
  <si>
    <t xml:space="preserve">LF-B-G08</t>
  </si>
  <si>
    <t xml:space="preserve">LF-B-G09</t>
  </si>
  <si>
    <t xml:space="preserve">LF-B-G10</t>
  </si>
  <si>
    <t xml:space="preserve">LF-B-G11</t>
  </si>
  <si>
    <t xml:space="preserve">LF-B-G12</t>
  </si>
  <si>
    <t xml:space="preserve">HU-A-G01</t>
  </si>
  <si>
    <t xml:space="preserve">HU-A-G02</t>
  </si>
  <si>
    <t xml:space="preserve">HU-A-G03</t>
  </si>
  <si>
    <t xml:space="preserve">HU-A-G04</t>
  </si>
  <si>
    <t xml:space="preserve">HU-A-G05</t>
  </si>
  <si>
    <t xml:space="preserve">HU-A-G06</t>
  </si>
  <si>
    <t xml:space="preserve">HU-A-G07</t>
  </si>
  <si>
    <t xml:space="preserve">HU-A-G08</t>
  </si>
  <si>
    <t xml:space="preserve">HU-A-G09</t>
  </si>
  <si>
    <t xml:space="preserve">HU-A-G10</t>
  </si>
  <si>
    <t xml:space="preserve">HU-A-G11</t>
  </si>
  <si>
    <t xml:space="preserve">HU-A-G12</t>
  </si>
  <si>
    <t xml:space="preserve">RT-B-G01</t>
  </si>
  <si>
    <t xml:space="preserve">RT-B-G02</t>
  </si>
  <si>
    <t xml:space="preserve">RT-B-G03</t>
  </si>
  <si>
    <t xml:space="preserve">RT-B-G04</t>
  </si>
  <si>
    <t xml:space="preserve">RT-B-G05</t>
  </si>
  <si>
    <t xml:space="preserve">RT-B-G06</t>
  </si>
  <si>
    <t xml:space="preserve">RT-B-G07</t>
  </si>
  <si>
    <t xml:space="preserve">RT-B-G08</t>
  </si>
  <si>
    <t xml:space="preserve">RT-B-G09</t>
  </si>
  <si>
    <t xml:space="preserve">RT-B-G10</t>
  </si>
  <si>
    <t xml:space="preserve">RT-B-G11</t>
  </si>
  <si>
    <t xml:space="preserve">RT-B-G12</t>
  </si>
  <si>
    <t xml:space="preserve">Twenty prohibited causal-section conversions</t>
  </si>
  <si>
    <t xml:space="preserve">These are hard type boundaries. Crossing one invalidates the claimed downstream state.</t>
  </si>
  <si>
    <t xml:space="preserve">Rule</t>
  </si>
  <si>
    <t xml:space="preserve">From</t>
  </si>
  <si>
    <t xml:space="preserve">Must not become</t>
  </si>
  <si>
    <t xml:space="preserve">Reason</t>
  </si>
  <si>
    <t xml:space="preserve">N01</t>
  </si>
  <si>
    <t xml:space="preserve">causal-section grammar</t>
  </si>
  <si>
    <t xml:space="preserve">common geometric drawing</t>
  </si>
  <si>
    <t xml:space="preserve">shared meaning cannot select common form</t>
  </si>
  <si>
    <t xml:space="preserve">N02</t>
  </si>
  <si>
    <t xml:space="preserve">public seam</t>
  </si>
  <si>
    <t xml:space="preserve">technical interface implementation</t>
  </si>
  <si>
    <t xml:space="preserve">a registrar cannot design a root</t>
  </si>
  <si>
    <t xml:space="preserve">N03</t>
  </si>
  <si>
    <t xml:space="preserve">parallel start</t>
  </si>
  <si>
    <t xml:space="preserve">common program control</t>
  </si>
  <si>
    <t xml:space="preserve">simultaneous work does not create one owner</t>
  </si>
  <si>
    <t xml:space="preserve">N04</t>
  </si>
  <si>
    <t xml:space="preserve">root finish</t>
  </si>
  <si>
    <t xml:space="preserve">portfolio completion</t>
  </si>
  <si>
    <t xml:space="preserve">one dossier cannot release five others</t>
  </si>
  <si>
    <t xml:space="preserve">N05</t>
  </si>
  <si>
    <t xml:space="preserve">longest duration</t>
  </si>
  <si>
    <t xml:space="preserve">portfolio authority</t>
  </si>
  <si>
    <t xml:space="preserve">the slowest lane cannot command the rest</t>
  </si>
  <si>
    <t xml:space="preserve">N06</t>
  </si>
  <si>
    <t xml:space="preserve">paper duration</t>
  </si>
  <si>
    <t xml:space="preserve">schedule fact</t>
  </si>
  <si>
    <t xml:space="preserve">planning weeks are not observed performance</t>
  </si>
  <si>
    <t xml:space="preserve">N07</t>
  </si>
  <si>
    <t xml:space="preserve">award or obligation</t>
  </si>
  <si>
    <t xml:space="preserve">eligible exposure is not a fiscal transaction</t>
  </si>
  <si>
    <t xml:space="preserve">N08</t>
  </si>
  <si>
    <t xml:space="preserve">accepted packet</t>
  </si>
  <si>
    <t xml:space="preserve">physical evidence</t>
  </si>
  <si>
    <t xml:space="preserve">paper acceptance cannot prove hardware</t>
  </si>
  <si>
    <t xml:space="preserve">N09</t>
  </si>
  <si>
    <t xml:space="preserve">owned quantity blank</t>
  </si>
  <si>
    <t xml:space="preserve">zero burden</t>
  </si>
  <si>
    <t xml:space="preserve">missing input cannot become favorable closure</t>
  </si>
  <si>
    <t xml:space="preserve">N10</t>
  </si>
  <si>
    <t xml:space="preserve">host contribution zero</t>
  </si>
  <si>
    <t xml:space="preserve">proved independence</t>
  </si>
  <si>
    <t xml:space="preserve">a declared zero still requires evidence</t>
  </si>
  <si>
    <t xml:space="preserve">N11</t>
  </si>
  <si>
    <t xml:space="preserve">modeled margin</t>
  </si>
  <si>
    <t xml:space="preserve">observed performance</t>
  </si>
  <si>
    <t xml:space="preserve">calculation is not a representative event</t>
  </si>
  <si>
    <t xml:space="preserve">N12</t>
  </si>
  <si>
    <t xml:space="preserve">nominal surplus</t>
  </si>
  <si>
    <t xml:space="preserve">denial closure</t>
  </si>
  <si>
    <t xml:space="preserve">worlds are noncompensatory</t>
  </si>
  <si>
    <t xml:space="preserve">N13</t>
  </si>
  <si>
    <t xml:space="preserve">sibling-root margin</t>
  </si>
  <si>
    <t xml:space="preserve">candidate credit</t>
  </si>
  <si>
    <t xml:space="preserve">roots cannot lend closure</t>
  </si>
  <si>
    <t xml:space="preserve">N14</t>
  </si>
  <si>
    <t xml:space="preserve">common units</t>
  </si>
  <si>
    <t xml:space="preserve">common solver</t>
  </si>
  <si>
    <t xml:space="preserve">comparability does not require implementation</t>
  </si>
  <si>
    <t xml:space="preserve">N15</t>
  </si>
  <si>
    <t xml:space="preserve">design veto</t>
  </si>
  <si>
    <t xml:space="preserve">challenge may return evidence, not choose form</t>
  </si>
  <si>
    <t xml:space="preserve">N16</t>
  </si>
  <si>
    <t xml:space="preserve">safe-state diagram</t>
  </si>
  <si>
    <t xml:space="preserve">measured terminal state</t>
  </si>
  <si>
    <t xml:space="preserve">a command path is not an observed result</t>
  </si>
  <si>
    <t xml:space="preserve">N17</t>
  </si>
  <si>
    <t xml:space="preserve">cold-rebuild plan</t>
  </si>
  <si>
    <t xml:space="preserve">reconstructed article</t>
  </si>
  <si>
    <t xml:space="preserve">a packet cannot stand in for a second team</t>
  </si>
  <si>
    <t xml:space="preserve">N18</t>
  </si>
  <si>
    <t xml:space="preserve">internal architecture</t>
  </si>
  <si>
    <t xml:space="preserve">exterior rendering</t>
  </si>
  <si>
    <t xml:space="preserve">form authority remains separately held</t>
  </si>
  <si>
    <t xml:space="preserve">N19</t>
  </si>
  <si>
    <t xml:space="preserve">one root survival</t>
  </si>
  <si>
    <t xml:space="preserve">production winner</t>
  </si>
  <si>
    <t xml:space="preserve">six sentinels retain sibling roots</t>
  </si>
  <si>
    <t xml:space="preserve">N20</t>
  </si>
  <si>
    <t xml:space="preserve">all-six paper closure</t>
  </si>
  <si>
    <t xml:space="preserve">force readiness</t>
  </si>
  <si>
    <t xml:space="preserve">complete-root proof still governs capability</t>
  </si>
  <si>
    <t xml:space="preserve">Sixteen concurrency and closure stress cases</t>
  </si>
  <si>
    <t xml:space="preserve">The constitution must keep parallel learning from becoming shared technical control or premature evidence.</t>
  </si>
  <si>
    <t xml:space="preserve">ID</t>
  </si>
  <si>
    <t xml:space="preserve">Disturbance</t>
  </si>
  <si>
    <t xml:space="preserve">Required response</t>
  </si>
  <si>
    <t xml:space="preserve">Forbidden conversion</t>
  </si>
  <si>
    <t xml:space="preserve">S01</t>
  </si>
  <si>
    <t xml:space="preserve">LF-B asks to define the energy template</t>
  </si>
  <si>
    <t xml:space="preserve">retain six root-native energy maps</t>
  </si>
  <si>
    <t xml:space="preserve">root precedent</t>
  </si>
  <si>
    <t xml:space="preserve">RETURN</t>
  </si>
  <si>
    <t xml:space="preserve">PASS</t>
  </si>
  <si>
    <t xml:space="preserve">S02</t>
  </si>
  <si>
    <t xml:space="preserve">one author serves two decisive roots</t>
  </si>
  <si>
    <t xml:space="preserve">split authorship before work</t>
  </si>
  <si>
    <t xml:space="preserve">shared ancestry</t>
  </si>
  <si>
    <t xml:space="preserve">INVALID</t>
  </si>
  <si>
    <t xml:space="preserve">S03</t>
  </si>
  <si>
    <t xml:space="preserve">challenger helped author same root</t>
  </si>
  <si>
    <t xml:space="preserve">replace challenger and replay review</t>
  </si>
  <si>
    <t xml:space="preserve">self-certification</t>
  </si>
  <si>
    <t xml:space="preserve">S04</t>
  </si>
  <si>
    <t xml:space="preserve">root finishes before siblings</t>
  </si>
  <si>
    <t xml:space="preserve">hold portfolio claim; retain local packet</t>
  </si>
  <si>
    <t xml:space="preserve">finish to portfolio completion</t>
  </si>
  <si>
    <t xml:space="preserve">HOLD</t>
  </si>
  <si>
    <t xml:space="preserve">S05</t>
  </si>
  <si>
    <t xml:space="preserve">root exceeds planned duration</t>
  </si>
  <si>
    <t xml:space="preserve">continue local review without lockstep</t>
  </si>
  <si>
    <t xml:space="preserve">slowest root to command</t>
  </si>
  <si>
    <t xml:space="preserve">S06</t>
  </si>
  <si>
    <t xml:space="preserve">public seam exposes incompatible units</t>
  </si>
  <si>
    <t xml:space="preserve">return both mappings without selecting method</t>
  </si>
  <si>
    <t xml:space="preserve">registrar to designer</t>
  </si>
  <si>
    <t xml:space="preserve">S07</t>
  </si>
  <si>
    <t xml:space="preserve">host capacity closes negative margin</t>
  </si>
  <si>
    <t xml:space="preserve">remove host contribution or enlarge article</t>
  </si>
  <si>
    <t xml:space="preserve">borrowed support to closure</t>
  </si>
  <si>
    <t xml:space="preserve">RESIZE</t>
  </si>
  <si>
    <t xml:space="preserve">S08</t>
  </si>
  <si>
    <t xml:space="preserve">interval crosses zero</t>
  </si>
  <si>
    <t xml:space="preserve">retain indeterminate state</t>
  </si>
  <si>
    <t xml:space="preserve">uncertainty to pass</t>
  </si>
  <si>
    <t xml:space="preserve">S09</t>
  </si>
  <si>
    <t xml:space="preserve">fatal keystone fails validly</t>
  </si>
  <si>
    <t xml:space="preserve">kill root claim</t>
  </si>
  <si>
    <t xml:space="preserve">adverse result to schedule delay</t>
  </si>
  <si>
    <t xml:space="preserve">KILL</t>
  </si>
  <si>
    <t xml:space="preserve">S10</t>
  </si>
  <si>
    <t xml:space="preserve">nominal case offsets denial failure</t>
  </si>
  <si>
    <t xml:space="preserve">reject compensation</t>
  </si>
  <si>
    <t xml:space="preserve">average to closure</t>
  </si>
  <si>
    <t xml:space="preserve">S11</t>
  </si>
  <si>
    <t xml:space="preserve">one packet accepted</t>
  </si>
  <si>
    <t xml:space="preserve">release only that packet state</t>
  </si>
  <si>
    <t xml:space="preserve">paper to evidence</t>
  </si>
  <si>
    <t xml:space="preserve">S12</t>
  </si>
  <si>
    <t xml:space="preserve">FRAME maximum is requested</t>
  </si>
  <si>
    <t xml:space="preserve">require inherited fiscal warrants</t>
  </si>
  <si>
    <t xml:space="preserve">ceiling to payment</t>
  </si>
  <si>
    <t xml:space="preserve">S13</t>
  </si>
  <si>
    <t xml:space="preserve">common CAD library proposed</t>
  </si>
  <si>
    <t xml:space="preserve">retain semantic grammar only</t>
  </si>
  <si>
    <t xml:space="preserve">common drawing to unlike physics</t>
  </si>
  <si>
    <t xml:space="preserve">REJECT</t>
  </si>
  <si>
    <t xml:space="preserve">S14</t>
  </si>
  <si>
    <t xml:space="preserve">network unavailable during rebuild</t>
  </si>
  <si>
    <t xml:space="preserve">require local frozen record</t>
  </si>
  <si>
    <t xml:space="preserve">cloud access to reproducibility</t>
  </si>
  <si>
    <t xml:space="preserve">FAIL</t>
  </si>
  <si>
    <t xml:space="preserve">S15</t>
  </si>
  <si>
    <t xml:space="preserve">all 144 paper cells close</t>
  </si>
  <si>
    <t xml:space="preserve">retain evidence gates open</t>
  </si>
  <si>
    <t xml:space="preserve">model to observation</t>
  </si>
  <si>
    <t xml:space="preserve">NO CREDIT</t>
  </si>
  <si>
    <t xml:space="preserve">S16</t>
  </si>
  <si>
    <t xml:space="preserve">exterior depiction requested</t>
  </si>
  <si>
    <t xml:space="preserve">require later form warrant</t>
  </si>
  <si>
    <t xml:space="preserve">internal section to rendering</t>
  </si>
  <si>
    <t xml:space="preserve">Live mutation and restoration log</t>
  </si>
  <si>
    <t xml:space="preserve">Each mutation changes one authoritative control, trips at least one terminal audit and restores the passing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</si>
  <si>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</si>
  <si>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</si>
  <si>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</si>
  <si>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</si>
  <si>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</si>
  <si>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</si>
  <si>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</si>
  <si>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</si>
  <si>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YES</t>
  </si>
  <si>
    <t xml:space="preserve">M02</t>
  </si>
  <si>
    <t xml:space="preserve">Controls!B8</t>
  </si>
  <si>
    <t xml:space="preserve">M03</t>
  </si>
  <si>
    <t xml:space="preserve">Controls!B9</t>
  </si>
  <si>
    <t xml:space="preserve">M04</t>
  </si>
  <si>
    <t xml:space="preserve">Controls!B10</t>
  </si>
  <si>
    <t xml:space="preserve">M05</t>
  </si>
  <si>
    <t xml:space="preserve">Controls!B11</t>
  </si>
  <si>
    <t xml:space="preserve">M06</t>
  </si>
  <si>
    <t xml:space="preserve">Controls!B12</t>
  </si>
  <si>
    <t xml:space="preserve">M07</t>
  </si>
  <si>
    <t xml:space="preserve">Controls!B13</t>
  </si>
  <si>
    <t xml:space="preserve">M08</t>
  </si>
  <si>
    <t xml:space="preserve">Controls!B14</t>
  </si>
  <si>
    <t xml:space="preserve">M09</t>
  </si>
  <si>
    <t xml:space="preserve">Controls!B15</t>
  </si>
  <si>
    <t xml:space="preserve">M10</t>
  </si>
  <si>
    <t xml:space="preserve">Controls!B16</t>
  </si>
  <si>
    <t xml:space="preserve">M11</t>
  </si>
  <si>
    <t xml:space="preserve">Controls!B17</t>
  </si>
  <si>
    <t xml:space="preserve">M12</t>
  </si>
  <si>
    <t xml:space="preserve">Controls!B18</t>
  </si>
  <si>
    <t xml:space="preserve">M13</t>
  </si>
  <si>
    <t xml:space="preserve">Controls!B19</t>
  </si>
  <si>
    <t xml:space="preserve">M14</t>
  </si>
  <si>
    <t xml:space="preserve">Controls!B20</t>
  </si>
  <si>
    <t xml:space="preserve">M15</t>
  </si>
  <si>
    <t xml:space="preserve">Controls!B21</t>
  </si>
  <si>
    <t xml:space="preserve">M16</t>
  </si>
  <si>
    <t xml:space="preserve">Controls!B22</t>
  </si>
  <si>
    <t xml:space="preserve">M17</t>
  </si>
  <si>
    <t xml:space="preserve">Controls!B23</t>
  </si>
  <si>
    <t xml:space="preserve">M18</t>
  </si>
  <si>
    <t xml:space="preserve">Controls!B24</t>
  </si>
  <si>
    <t xml:space="preserve">M19</t>
  </si>
  <si>
    <t xml:space="preserve">Controls!B25</t>
  </si>
  <si>
    <t xml:space="preserve">M20</t>
  </si>
  <si>
    <t xml:space="preserve">Controls!B37</t>
  </si>
  <si>
    <t xml:space="preserve">Terminal concurrent-section audit</t>
  </si>
  <si>
    <t xml:space="preserve">Passing checks prove internal conservation and source-empty boundaries only. They create no physical closure, payment, capability, production or rendering authority.</t>
  </si>
  <si>
    <t xml:space="preserve">Audit</t>
  </si>
  <si>
    <t xml:space="preserve">Expected</t>
  </si>
  <si>
    <t xml:space="preserve">Difference</t>
  </si>
  <si>
    <t xml:space="preserve">control: mission systems</t>
  </si>
  <si>
    <t xml:space="preserve">control: closure accounts</t>
  </si>
  <si>
    <t xml:space="preserve">control: closure worlds</t>
  </si>
  <si>
    <t xml:space="preserve">control: closure cells</t>
  </si>
  <si>
    <t xml:space="preserve">control: packets per root</t>
  </si>
  <si>
    <t xml:space="preserve">control: packet rows</t>
  </si>
  <si>
    <t xml:space="preserve">control: public seams</t>
  </si>
  <si>
    <t xml:space="preserve">control: seam rows</t>
  </si>
  <si>
    <t xml:space="preserve">control: root authors</t>
  </si>
  <si>
    <t xml:space="preserve">control: independent challengers</t>
  </si>
  <si>
    <t xml:space="preserve">control: author-challenge cells</t>
  </si>
  <si>
    <t xml:space="preserve">control: private option ceiling</t>
  </si>
  <si>
    <t xml:space="preserve">control: FRAME share</t>
  </si>
  <si>
    <t xml:space="preserve">control: FRAME ceiling</t>
  </si>
  <si>
    <t xml:space="preserve">control: held share</t>
  </si>
  <si>
    <t xml:space="preserve">control: work views</t>
  </si>
  <si>
    <t xml:space="preserve">control: FRAME allocation rows</t>
  </si>
  <si>
    <t xml:space="preserve">control: schedule rows</t>
  </si>
  <si>
    <t xml:space="preserve">control: serial root-weeks</t>
  </si>
  <si>
    <t xml:space="preserve">control: parallel wall-clock</t>
  </si>
  <si>
    <t xml:space="preserve">control: release gates</t>
  </si>
  <si>
    <t xml:space="preserve">control: G06 open</t>
  </si>
  <si>
    <t xml:space="preserve">control: sites</t>
  </si>
  <si>
    <t xml:space="preserve">control: firms</t>
  </si>
  <si>
    <t xml:space="preserve">control: awards</t>
  </si>
  <si>
    <t xml:space="preserve">control: obligations</t>
  </si>
  <si>
    <t xml:space="preserve">control: payments</t>
  </si>
  <si>
    <t xml:space="preserve">control: observations</t>
  </si>
  <si>
    <t xml:space="preserve">control: capability</t>
  </si>
  <si>
    <t xml:space="preserve">control: production</t>
  </si>
  <si>
    <t xml:space="preserve">control: rendering</t>
  </si>
  <si>
    <t xml:space="preserve">rejected sequences</t>
  </si>
  <si>
    <t xml:space="preserve">section accounts</t>
  </si>
  <si>
    <t xml:space="preserve">section worlds</t>
  </si>
  <si>
    <t xml:space="preserve">closure rows</t>
  </si>
  <si>
    <t xml:space="preserve">closure rows open</t>
  </si>
  <si>
    <t xml:space="preserve">closure owned source empty</t>
  </si>
  <si>
    <t xml:space="preserve">closure requirements source empty</t>
  </si>
  <si>
    <t xml:space="preserve">closure host contribution zero</t>
  </si>
  <si>
    <t xml:space="preserve">closure G06 credit zero</t>
  </si>
  <si>
    <t xml:space="preserve">packet rows constituted</t>
  </si>
  <si>
    <t xml:space="preserve">packet acceptance zero</t>
  </si>
  <si>
    <t xml:space="preserve">common runtime prohibited</t>
  </si>
  <si>
    <t xml:space="preserve">seam acceptance zero</t>
  </si>
  <si>
    <t xml:space="preserve">six concurrent starts</t>
  </si>
  <si>
    <t xml:space="preserve">workforce cells</t>
  </si>
  <si>
    <t xml:space="preserve">author cells</t>
  </si>
  <si>
    <t xml:space="preserve">challenge cells</t>
  </si>
  <si>
    <t xml:space="preserve">cross-root decisive control zero</t>
  </si>
  <si>
    <t xml:space="preserve">workforce identities empty</t>
  </si>
  <si>
    <t xml:space="preserve">finance option sum</t>
  </si>
  <si>
    <t xml:space="preserve">finance FRAME sum</t>
  </si>
  <si>
    <t xml:space="preserve">finance held sum</t>
  </si>
  <si>
    <t xml:space="preserve">finance accepted zero</t>
  </si>
  <si>
    <t xml:space="preserve">finance paid zero</t>
  </si>
  <si>
    <t xml:space="preserve">FRAME allocation sum</t>
  </si>
  <si>
    <t xml:space="preserve">FRAME accepted zero</t>
  </si>
  <si>
    <t xml:space="preserve">release gate rows</t>
  </si>
  <si>
    <t xml:space="preserve">constituted release gates</t>
  </si>
  <si>
    <t xml:space="preserve">open release gates</t>
  </si>
  <si>
    <t xml:space="preserve">G06 grammar-only rows</t>
  </si>
  <si>
    <t xml:space="preserve">release evidence zero</t>
  </si>
  <si>
    <t xml:space="preserve">exterior held roots</t>
  </si>
  <si>
    <t xml:space="preserve">nonconversions</t>
  </si>
  <si>
    <t xml:space="preserve">stress cases</t>
  </si>
  <si>
    <t xml:space="preserve">stress passes</t>
  </si>
  <si>
    <t xml:space="preserve">closure cells ET-A</t>
  </si>
  <si>
    <t xml:space="preserve">packets ET-A</t>
  </si>
  <si>
    <t xml:space="preserve">seams ET-A</t>
  </si>
  <si>
    <t xml:space="preserve">FRAME shares ET-A</t>
  </si>
  <si>
    <t xml:space="preserve">closure cells CT-C</t>
  </si>
  <si>
    <t xml:space="preserve">packets CT-C</t>
  </si>
  <si>
    <t xml:space="preserve">seams CT-C</t>
  </si>
  <si>
    <t xml:space="preserve">FRAME shares CT-C</t>
  </si>
  <si>
    <t xml:space="preserve">closure cells HC-A</t>
  </si>
  <si>
    <t xml:space="preserve">packets HC-A</t>
  </si>
  <si>
    <t xml:space="preserve">seams HC-A</t>
  </si>
  <si>
    <t xml:space="preserve">FRAME shares HC-A</t>
  </si>
  <si>
    <t xml:space="preserve">closure cells LF-B</t>
  </si>
  <si>
    <t xml:space="preserve">packets LF-B</t>
  </si>
  <si>
    <t xml:space="preserve">seams LF-B</t>
  </si>
  <si>
    <t xml:space="preserve">FRAME shares LF-B</t>
  </si>
  <si>
    <t xml:space="preserve">closure cells HU-A</t>
  </si>
  <si>
    <t xml:space="preserve">packets HU-A</t>
  </si>
  <si>
    <t xml:space="preserve">seams HU-A</t>
  </si>
  <si>
    <t xml:space="preserve">FRAME shares HU-A</t>
  </si>
  <si>
    <t xml:space="preserve">closure cells RT-B</t>
  </si>
  <si>
    <t xml:space="preserve">packets RT-B</t>
  </si>
  <si>
    <t xml:space="preserve">seams RT-B</t>
  </si>
  <si>
    <t xml:space="preserve">FRAME shares RT-B</t>
  </si>
  <si>
    <t xml:space="preserve">Internal authorities and model limits</t>
  </si>
  <si>
    <t xml:space="preserve">Only internal repository authorities are used. Durations and every physical coefficient remain controlled planning hypotheses until evidence closes them.</t>
  </si>
  <si>
    <t xml:space="preserve">Source</t>
  </si>
  <si>
    <t xml:space="preserve">Repository artifact</t>
  </si>
  <si>
    <t xml:space="preserve">Use</t>
  </si>
  <si>
    <t xml:space="preserve">Status</t>
  </si>
  <si>
    <t xml:space="preserve">Limitation</t>
  </si>
  <si>
    <t xml:space="preserve">Six-Root Form-Giving Candidate Requirements</t>
  </si>
  <si>
    <t xml:space="preserve">six articles, loads, interfaces and gates</t>
  </si>
  <si>
    <t xml:space="preserve">authoritative</t>
  </si>
  <si>
    <t xml:space="preserve">no internal closure margin</t>
  </si>
  <si>
    <t xml:space="preserve">National First Sentinel Construction Compact</t>
  </si>
  <si>
    <t xml:space="preserve">option ceilings, payment states and nonconversions</t>
  </si>
  <si>
    <t xml:space="preserve">no implementation identities</t>
  </si>
  <si>
    <t xml:space="preserve">C3-SPW-3</t>
  </si>
  <si>
    <t xml:space="preserve">Twenty Non-Lifeline Physical Balances</t>
  </si>
  <si>
    <t xml:space="preserve">seven-account paper balance context</t>
  </si>
  <si>
    <t xml:space="preserve">controlled hypothesis</t>
  </si>
  <si>
    <t xml:space="preserve">coefficients unobserved</t>
  </si>
  <si>
    <t xml:space="preserve">C3-LFG3-1</t>
  </si>
  <si>
    <t xml:space="preserve">Lifeline Four-Root Configuration</t>
  </si>
  <si>
    <t xml:space="preserve">LF-B source-position balance</t>
  </si>
  <si>
    <t xml:space="preserve">geology and rates unobserved</t>
  </si>
  <si>
    <t xml:space="preserve">A2C-2</t>
  </si>
  <si>
    <t xml:space="preserve">Sovereign Truth Trains</t>
  </si>
  <si>
    <t xml:space="preserve">root-native proof and public substrate boundary</t>
  </si>
  <si>
    <t xml:space="preserve">rig is not article form</t>
  </si>
  <si>
    <t xml:space="preserve">SAT-170R</t>
  </si>
  <si>
    <t xml:space="preserve">Internal Architecture and Coupled Closure</t>
  </si>
  <si>
    <t xml:space="preserve">precedent for coupled mass, energy, geometry and removal</t>
  </si>
  <si>
    <t xml:space="preserve">historical method</t>
  </si>
  <si>
    <t xml:space="preserve">not a common template</t>
  </si>
  <si>
    <t xml:space="preserve">Model boundary</t>
  </si>
  <si>
    <t xml:space="preserve">this workbook</t>
  </si>
  <si>
    <t xml:space="preserve">sequence, grammar, finance and release checks</t>
  </si>
  <si>
    <t xml:space="preserve">planning only</t>
  </si>
  <si>
    <t xml:space="preserve">no modeled physical margin</t>
  </si>
  <si>
    <t xml:space="preserve">Evidence boundary</t>
  </si>
  <si>
    <t xml:space="preserve">all observation fields</t>
  </si>
  <si>
    <t xml:space="preserve">deliberate source-empty state</t>
  </si>
  <si>
    <t xml:space="preserve">not available</t>
  </si>
  <si>
    <t xml:space="preserve">no physical event has run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</si>
</sst>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.0%"/>
    <numFmt numFmtId="167" formatCode="\$0.000"/>
    <numFmt numFmtId="168" formatCode="0"/>
    <numFmt numFmtId="169" formatCode="#,##0.0000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9375B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3F46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F465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9375B"/>
        <bgColor rgb="FF3F4650"/>
      </patternFill>
    </fill>
    <fill>
      <patternFill patternType="solid">
        <fgColor rgb="FFFFF2CC"/>
        <bgColor rgb="FFFCE4D6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EAF2F8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9375B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9375B"/>
      <rgbColor rgb="FF339966"/>
      <rgbColor rgb="FF003300"/>
      <rgbColor rgb="FF333300"/>
      <rgbColor rgb="FF993300"/>
      <rgbColor rgb="FF993366"/>
      <rgbColor rgb="FF333399"/>
      <rgbColor rgb="FF3F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Maximum FRAME ceiling by root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"Maximum FRAME USD B"</c:f>
              <c:strCache>
                <c:ptCount val="1"/>
                <c:pt idx="0">
                  <c:v>Maximum FRAME USD B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Finance!$B$7:$B$12</c:f>
              <c:strCache>
                <c:ptCount val="6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LF-B</c:v>
                </c:pt>
                <c:pt idx="4">
                  <c:v>HU-A</c:v>
                </c:pt>
                <c:pt idx="5">
                  <c:v>RT-B</c:v>
                </c:pt>
              </c:strCache>
            </c:strRef>
          </c:cat>
          <c:val>
            <c:numRef>
              <c:f>Finance!$F$7:$F$12</c:f>
              <c:numCache>
                <c:formatCode>\$0.000</c:formatCode>
                <c:ptCount val="6"/>
                <c:pt idx="0">
                  <c:v>0.0750711927122775</c:v>
                </c:pt>
                <c:pt idx="1">
                  <c:v>0.077474022266094</c:v>
                </c:pt>
                <c:pt idx="2">
                  <c:v>0.0460832481100699</c:v>
                </c:pt>
                <c:pt idx="3">
                  <c:v>0.134911922898085</c:v>
                </c:pt>
                <c:pt idx="4">
                  <c:v>0.129106867941164</c:v>
                </c:pt>
                <c:pt idx="5">
                  <c:v>0.0753896689703944</c:v>
                </c:pt>
              </c:numCache>
            </c:numRef>
          </c:val>
        </c:ser>
        <c:gapWidth val="150"/>
        <c:overlap val="0"/>
        <c:axId val="46923657"/>
        <c:axId val="75231542"/>
      </c:barChart>
      <c:catAx>
        <c:axId val="4692365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5231542"/>
        <c:crosses val="autoZero"/>
        <c:auto val="1"/>
        <c:lblAlgn val="ctr"/>
        <c:lblOffset val="100"/>
        <c:noMultiLvlLbl val="0"/>
      </c:catAx>
      <c:valAx>
        <c:axId val="7523154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692365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5</xdr:row>
      <xdr:rowOff>0</xdr:rowOff>
    </xdr:from>
    <xdr:to>
      <xdr:col>18</xdr:col>
      <xdr:colOff>610920</xdr:colOff>
      <xdr:row>18</xdr:row>
      <xdr:rowOff>190080</xdr:rowOff>
    </xdr:to>
    <xdr:graphicFrame>
      <xdr:nvGraphicFramePr>
        <xdr:cNvPr id="1" name="Chart"/>
        <xdr:cNvGraphicFramePr/>
      </xdr:nvGraphicFramePr>
      <xdr:xfrm>
        <a:off x="16047720" y="1066680"/>
        <a:ext cx="4280040" cy="28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38"/>
    <col collapsed="false" customWidth="true" hidden="false" outlineLevel="0" max="8" min="8" style="0" width="33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</row>
    <row r="8" customFormat="false" ht="15" hidden="false" customHeight="false" outlineLevel="0" collapsed="false">
      <c r="A8" s="9" t="s">
        <v>18</v>
      </c>
      <c r="B8" s="10" t="n">
        <v>6</v>
      </c>
      <c r="C8" s="9" t="s">
        <v>19</v>
      </c>
      <c r="D8" s="9" t="s">
        <v>20</v>
      </c>
      <c r="E8" s="9" t="s">
        <v>21</v>
      </c>
      <c r="F8" s="9" t="s">
        <v>15</v>
      </c>
      <c r="G8" s="9" t="s">
        <v>22</v>
      </c>
      <c r="H8" s="9" t="s">
        <v>23</v>
      </c>
    </row>
    <row r="9" customFormat="false" ht="15" hidden="false" customHeight="false" outlineLevel="0" collapsed="false">
      <c r="A9" s="9" t="s">
        <v>24</v>
      </c>
      <c r="B9" s="10" t="n">
        <v>48</v>
      </c>
      <c r="C9" s="9" t="s">
        <v>19</v>
      </c>
      <c r="D9" s="9" t="s">
        <v>20</v>
      </c>
      <c r="E9" s="9" t="s">
        <v>25</v>
      </c>
      <c r="F9" s="9" t="s">
        <v>15</v>
      </c>
      <c r="G9" s="9" t="s">
        <v>26</v>
      </c>
      <c r="H9" s="9" t="s">
        <v>27</v>
      </c>
    </row>
    <row r="10" customFormat="false" ht="15" hidden="false" customHeight="false" outlineLevel="0" collapsed="false">
      <c r="A10" s="9" t="s">
        <v>28</v>
      </c>
      <c r="B10" s="10" t="n">
        <v>144</v>
      </c>
      <c r="C10" s="9" t="s">
        <v>19</v>
      </c>
      <c r="D10" s="9" t="s">
        <v>29</v>
      </c>
      <c r="E10" s="9" t="s">
        <v>30</v>
      </c>
      <c r="F10" s="9" t="s">
        <v>15</v>
      </c>
      <c r="G10" s="9" t="s">
        <v>31</v>
      </c>
      <c r="H10" s="9" t="s">
        <v>32</v>
      </c>
    </row>
    <row r="11" customFormat="false" ht="15" hidden="false" customHeight="false" outlineLevel="0" collapsed="false">
      <c r="A11" s="9" t="s">
        <v>33</v>
      </c>
      <c r="B11" s="10" t="n">
        <v>72</v>
      </c>
      <c r="C11" s="9" t="s">
        <v>19</v>
      </c>
      <c r="D11" s="9" t="s">
        <v>34</v>
      </c>
      <c r="E11" s="9" t="s">
        <v>35</v>
      </c>
      <c r="F11" s="9" t="s">
        <v>36</v>
      </c>
      <c r="G11" s="9" t="s">
        <v>37</v>
      </c>
      <c r="H11" s="9" t="s">
        <v>38</v>
      </c>
    </row>
    <row r="12" customFormat="false" ht="15" hidden="false" customHeight="false" outlineLevel="0" collapsed="false">
      <c r="A12" s="9" t="s">
        <v>39</v>
      </c>
      <c r="B12" s="10" t="n">
        <v>12</v>
      </c>
      <c r="C12" s="9" t="s">
        <v>19</v>
      </c>
      <c r="D12" s="9" t="s">
        <v>20</v>
      </c>
      <c r="E12" s="9" t="s">
        <v>40</v>
      </c>
      <c r="F12" s="9" t="s">
        <v>15</v>
      </c>
      <c r="G12" s="9" t="s">
        <v>41</v>
      </c>
      <c r="H12" s="9" t="s">
        <v>42</v>
      </c>
    </row>
    <row r="13" customFormat="false" ht="15" hidden="false" customHeight="false" outlineLevel="0" collapsed="false">
      <c r="A13" s="9" t="s">
        <v>43</v>
      </c>
      <c r="B13" s="10" t="n">
        <v>182</v>
      </c>
      <c r="C13" s="9" t="s">
        <v>44</v>
      </c>
      <c r="D13" s="9" t="s">
        <v>45</v>
      </c>
      <c r="E13" s="9" t="s">
        <v>46</v>
      </c>
      <c r="F13" s="9" t="s">
        <v>15</v>
      </c>
      <c r="G13" s="9" t="s">
        <v>47</v>
      </c>
      <c r="H13" s="9" t="s">
        <v>48</v>
      </c>
    </row>
    <row r="14" customFormat="false" ht="15" hidden="false" customHeight="false" outlineLevel="0" collapsed="false">
      <c r="A14" s="9" t="s">
        <v>49</v>
      </c>
      <c r="B14" s="10" t="n">
        <v>36</v>
      </c>
      <c r="C14" s="9" t="s">
        <v>44</v>
      </c>
      <c r="D14" s="9" t="s">
        <v>45</v>
      </c>
      <c r="E14" s="9" t="s">
        <v>50</v>
      </c>
      <c r="F14" s="9" t="s">
        <v>15</v>
      </c>
      <c r="G14" s="9" t="s">
        <v>51</v>
      </c>
      <c r="H14" s="9" t="s">
        <v>52</v>
      </c>
    </row>
    <row r="15" customFormat="false" ht="15" hidden="false" customHeight="false" outlineLevel="0" collapsed="false">
      <c r="A15" s="9" t="s">
        <v>53</v>
      </c>
      <c r="B15" s="11" t="n">
        <v>0.802197802197802</v>
      </c>
      <c r="C15" s="9" t="s">
        <v>54</v>
      </c>
      <c r="D15" s="9" t="s">
        <v>45</v>
      </c>
      <c r="E15" s="9" t="s">
        <v>55</v>
      </c>
      <c r="F15" s="9" t="s">
        <v>15</v>
      </c>
      <c r="G15" s="9" t="s">
        <v>56</v>
      </c>
      <c r="H15" s="9" t="s">
        <v>57</v>
      </c>
    </row>
    <row r="16" customFormat="false" ht="15" hidden="false" customHeight="false" outlineLevel="0" collapsed="false">
      <c r="A16" s="9" t="s">
        <v>58</v>
      </c>
      <c r="B16" s="12" t="n">
        <v>0.538036922898085</v>
      </c>
      <c r="C16" s="9" t="s">
        <v>59</v>
      </c>
      <c r="D16" s="13" t="s">
        <v>60</v>
      </c>
      <c r="E16" s="9" t="s">
        <v>61</v>
      </c>
      <c r="F16" s="9" t="s">
        <v>62</v>
      </c>
      <c r="G16" s="9" t="s">
        <v>63</v>
      </c>
      <c r="H16" s="9" t="s">
        <v>64</v>
      </c>
    </row>
    <row r="17" customFormat="false" ht="15" hidden="false" customHeight="false" outlineLevel="0" collapsed="false">
      <c r="A17" s="9" t="s">
        <v>65</v>
      </c>
      <c r="B17" s="10" t="n">
        <v>0</v>
      </c>
      <c r="C17" s="9" t="s">
        <v>59</v>
      </c>
      <c r="D17" s="13" t="s">
        <v>60</v>
      </c>
      <c r="E17" s="9" t="s">
        <v>66</v>
      </c>
      <c r="F17" s="9" t="s">
        <v>67</v>
      </c>
      <c r="G17" s="9" t="s">
        <v>68</v>
      </c>
      <c r="H17" s="9" t="s">
        <v>69</v>
      </c>
    </row>
    <row r="18" customFormat="false" ht="15" hidden="false" customHeight="false" outlineLevel="0" collapsed="false">
      <c r="A18" s="9" t="s">
        <v>70</v>
      </c>
      <c r="B18" s="10" t="n">
        <v>0</v>
      </c>
      <c r="C18" s="9" t="s">
        <v>19</v>
      </c>
      <c r="D18" s="13" t="s">
        <v>60</v>
      </c>
      <c r="E18" s="9" t="s">
        <v>71</v>
      </c>
      <c r="F18" s="9" t="s">
        <v>72</v>
      </c>
      <c r="G18" s="9" t="s">
        <v>73</v>
      </c>
      <c r="H18" s="9" t="s">
        <v>74</v>
      </c>
    </row>
    <row r="19" customFormat="false" ht="15" hidden="false" customHeight="false" outlineLevel="0" collapsed="false">
      <c r="A19" s="9" t="s">
        <v>75</v>
      </c>
      <c r="B19" s="10" t="n">
        <v>0</v>
      </c>
      <c r="C19" s="9" t="s">
        <v>19</v>
      </c>
      <c r="D19" s="13" t="s">
        <v>60</v>
      </c>
      <c r="E19" s="9" t="s">
        <v>76</v>
      </c>
      <c r="F19" s="9" t="s">
        <v>72</v>
      </c>
      <c r="G19" s="9" t="s">
        <v>77</v>
      </c>
      <c r="H19" s="9" t="s">
        <v>78</v>
      </c>
    </row>
    <row r="20" customFormat="false" ht="15" hidden="false" customHeight="false" outlineLevel="0" collapsed="false">
      <c r="A20" s="14" t="s">
        <v>79</v>
      </c>
      <c r="B20" s="15" t="n">
        <v>0</v>
      </c>
      <c r="C20" s="14" t="s">
        <v>19</v>
      </c>
      <c r="D20" s="16" t="s">
        <v>60</v>
      </c>
      <c r="E20" s="14" t="s">
        <v>80</v>
      </c>
      <c r="F20" s="14" t="s">
        <v>72</v>
      </c>
      <c r="G20" s="14" t="s">
        <v>81</v>
      </c>
      <c r="H20" s="14" t="s">
        <v>82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3" hidden="false" customHeight="true" outlineLevel="0" collapsed="false">
      <c r="A23" s="17" t="s">
        <v>83</v>
      </c>
      <c r="B23" s="18" t="s">
        <v>84</v>
      </c>
      <c r="C23" s="19" t="s">
        <v>5</v>
      </c>
      <c r="D23" s="4"/>
      <c r="E23" s="4"/>
      <c r="F23" s="4"/>
      <c r="G23" s="4"/>
      <c r="H23" s="4"/>
    </row>
    <row r="24" customFormat="false" ht="15" hidden="false" customHeight="false" outlineLevel="0" collapsed="false">
      <c r="A24" s="8" t="s">
        <v>10</v>
      </c>
      <c r="B24" s="20" t="n">
        <f aca="false">COUNTIFS(Alternatives!P7:P12,"SELECT")</f>
        <v>1</v>
      </c>
      <c r="C24" s="20" t="str">
        <f aca="false">IF(ABS(B24-1)&lt;0.000001,"PASS","FAIL")</f>
        <v>PASS</v>
      </c>
      <c r="D24" s="4"/>
      <c r="E24" s="4"/>
      <c r="F24" s="4"/>
      <c r="G24" s="4"/>
      <c r="H24" s="4"/>
    </row>
    <row r="25" customFormat="false" ht="15" hidden="false" customHeight="false" outlineLevel="0" collapsed="false">
      <c r="A25" s="9" t="s">
        <v>85</v>
      </c>
      <c r="B25" s="21" t="n">
        <f aca="false">COUNTA('Root Lanes'!A7:A12)</f>
        <v>6</v>
      </c>
      <c r="C25" s="21" t="str">
        <f aca="false">IF(ABS(B25-6)&lt;0.000001,"PASS","FAIL")</f>
        <v>PASS</v>
      </c>
      <c r="D25" s="4"/>
      <c r="E25" s="4"/>
      <c r="F25" s="4"/>
      <c r="G25" s="4"/>
      <c r="H25" s="4"/>
    </row>
    <row r="26" customFormat="false" ht="15" hidden="false" customHeight="false" outlineLevel="0" collapsed="false">
      <c r="A26" s="9" t="s">
        <v>28</v>
      </c>
      <c r="B26" s="21" t="n">
        <f aca="false">COUNTA('Closure Matrix'!A7:A150)</f>
        <v>144</v>
      </c>
      <c r="C26" s="21" t="str">
        <f aca="false">IF(ABS(B26-144)&lt;0.000001,"PASS","FAIL")</f>
        <v>PASS</v>
      </c>
      <c r="D26" s="4"/>
      <c r="E26" s="4"/>
      <c r="F26" s="4"/>
      <c r="G26" s="4"/>
      <c r="H26" s="4"/>
    </row>
    <row r="27" customFormat="false" ht="15" hidden="false" customHeight="false" outlineLevel="0" collapsed="false">
      <c r="A27" s="9" t="s">
        <v>24</v>
      </c>
      <c r="B27" s="21" t="n">
        <f aca="false">COUNTA('Section Packets'!A7:A54)</f>
        <v>48</v>
      </c>
      <c r="C27" s="21" t="str">
        <f aca="false">IF(ABS(B27-48)&lt;0.000001,"PASS","FAIL")</f>
        <v>PASS</v>
      </c>
      <c r="D27" s="4"/>
      <c r="E27" s="4"/>
      <c r="F27" s="4"/>
      <c r="G27" s="4"/>
      <c r="H27" s="4"/>
    </row>
    <row r="28" customFormat="false" ht="15" hidden="false" customHeight="false" outlineLevel="0" collapsed="false">
      <c r="A28" s="9" t="s">
        <v>33</v>
      </c>
      <c r="B28" s="21" t="n">
        <f aca="false">COUNTA('Public Seams'!A7:A78)</f>
        <v>72</v>
      </c>
      <c r="C28" s="21" t="str">
        <f aca="false">IF(ABS(B28-72)&lt;0.000001,"PASS","FAIL")</f>
        <v>PASS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A29" s="9" t="s">
        <v>86</v>
      </c>
      <c r="B29" s="21" t="n">
        <f aca="false">'Concurrency Schedule'!M7</f>
        <v>182</v>
      </c>
      <c r="C29" s="21" t="str">
        <f aca="false">IF(ABS(B29-182)&lt;0.000001,"PASS","FAIL")</f>
        <v>PASS</v>
      </c>
      <c r="D29" s="4"/>
      <c r="E29" s="4"/>
      <c r="F29" s="4"/>
      <c r="G29" s="4"/>
      <c r="H29" s="4"/>
    </row>
    <row r="30" customFormat="false" ht="15" hidden="false" customHeight="false" outlineLevel="0" collapsed="false">
      <c r="A30" s="9" t="s">
        <v>87</v>
      </c>
      <c r="B30" s="21" t="n">
        <f aca="false">'Concurrency Schedule'!M8</f>
        <v>36</v>
      </c>
      <c r="C30" s="21" t="str">
        <f aca="false">IF(ABS(B30-36)&lt;0.000001,"PASS","FAIL")</f>
        <v>PASS</v>
      </c>
      <c r="D30" s="4"/>
      <c r="E30" s="4"/>
      <c r="F30" s="4"/>
      <c r="G30" s="4"/>
      <c r="H30" s="4"/>
    </row>
    <row r="31" customFormat="false" ht="15" hidden="false" customHeight="false" outlineLevel="0" collapsed="false">
      <c r="A31" s="9" t="s">
        <v>88</v>
      </c>
      <c r="B31" s="21" t="n">
        <f aca="false">COUNTIFS(Audit!E7:E105,"FAIL")</f>
        <v>0</v>
      </c>
      <c r="C31" s="21" t="str">
        <f aca="false">IF(ABS(B31-0)&lt;0.000001,"PASS","FAIL")</f>
        <v>PASS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9" t="s">
        <v>89</v>
      </c>
      <c r="B32" s="21" t="n">
        <f aca="false">Controls!B34</f>
        <v>0</v>
      </c>
      <c r="C32" s="21" t="str">
        <f aca="false">IF(ABS(B32-0)&lt;0.000001,"PASS","FAIL")</f>
        <v>PASS</v>
      </c>
      <c r="D32" s="4"/>
      <c r="E32" s="4"/>
      <c r="F32" s="4"/>
      <c r="G32" s="4"/>
      <c r="H32" s="4"/>
    </row>
    <row r="33" customFormat="false" ht="15" hidden="false" customHeight="false" outlineLevel="0" collapsed="false">
      <c r="A33" s="9" t="s">
        <v>90</v>
      </c>
      <c r="B33" s="21" t="n">
        <f aca="false">Controls!B35</f>
        <v>0</v>
      </c>
      <c r="C33" s="21" t="str">
        <f aca="false">IF(ABS(B33-0)&lt;0.000001,"PASS","FAIL")</f>
        <v>PASS</v>
      </c>
      <c r="D33" s="4"/>
      <c r="E33" s="4"/>
      <c r="F33" s="4"/>
      <c r="G33" s="4"/>
      <c r="H33" s="4"/>
    </row>
    <row r="34" customFormat="false" ht="15" hidden="false" customHeight="false" outlineLevel="0" collapsed="false">
      <c r="A34" s="9" t="s">
        <v>91</v>
      </c>
      <c r="B34" s="21" t="n">
        <f aca="false">Controls!B36</f>
        <v>0</v>
      </c>
      <c r="C34" s="21" t="str">
        <f aca="false">IF(ABS(B34-0)&lt;0.000001,"PASS","FAIL")</f>
        <v>PASS</v>
      </c>
      <c r="D34" s="4"/>
      <c r="E34" s="4"/>
      <c r="F34" s="4"/>
      <c r="G34" s="4"/>
      <c r="H34" s="4"/>
    </row>
    <row r="35" customFormat="false" ht="15" hidden="false" customHeight="false" outlineLevel="0" collapsed="false">
      <c r="A35" s="14" t="s">
        <v>92</v>
      </c>
      <c r="B35" s="22" t="n">
        <f aca="false">Controls!B37</f>
        <v>0</v>
      </c>
      <c r="C35" s="22" t="str">
        <f aca="false">IF(ABS(B35-0)&lt;0.000001,"PASS","FAIL")</f>
        <v>PASS</v>
      </c>
      <c r="D35" s="4"/>
      <c r="E35" s="4"/>
      <c r="F35" s="4"/>
      <c r="G35" s="4"/>
      <c r="H35" s="4"/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</cols>
  <sheetData>
    <row r="2" customFormat="false" ht="24" hidden="false" customHeight="true" outlineLevel="0" collapsed="false">
      <c r="A2" s="1" t="s">
        <v>93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94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95</v>
      </c>
      <c r="B6" s="6" t="s">
        <v>3</v>
      </c>
      <c r="C6" s="6" t="s">
        <v>4</v>
      </c>
      <c r="D6" s="6" t="s">
        <v>7</v>
      </c>
      <c r="E6" s="7" t="s">
        <v>6</v>
      </c>
    </row>
    <row r="7" customFormat="false" ht="15" hidden="false" customHeight="false" outlineLevel="0" collapsed="false">
      <c r="A7" s="8" t="s">
        <v>96</v>
      </c>
      <c r="B7" s="23" t="n">
        <v>6</v>
      </c>
      <c r="C7" s="8" t="s">
        <v>19</v>
      </c>
      <c r="D7" s="8" t="s">
        <v>15</v>
      </c>
      <c r="E7" s="8" t="s">
        <v>97</v>
      </c>
    </row>
    <row r="8" customFormat="false" ht="15" hidden="false" customHeight="false" outlineLevel="0" collapsed="false">
      <c r="A8" s="9" t="s">
        <v>98</v>
      </c>
      <c r="B8" s="24" t="n">
        <v>6</v>
      </c>
      <c r="C8" s="9" t="s">
        <v>19</v>
      </c>
      <c r="D8" s="9" t="s">
        <v>15</v>
      </c>
      <c r="E8" s="9" t="s">
        <v>97</v>
      </c>
    </row>
    <row r="9" customFormat="false" ht="15" hidden="false" customHeight="false" outlineLevel="0" collapsed="false">
      <c r="A9" s="9" t="s">
        <v>99</v>
      </c>
      <c r="B9" s="24" t="n">
        <v>4</v>
      </c>
      <c r="C9" s="9" t="s">
        <v>19</v>
      </c>
      <c r="D9" s="9" t="s">
        <v>15</v>
      </c>
      <c r="E9" s="9" t="s">
        <v>97</v>
      </c>
    </row>
    <row r="10" customFormat="false" ht="15" hidden="false" customHeight="false" outlineLevel="0" collapsed="false">
      <c r="A10" s="9" t="s">
        <v>28</v>
      </c>
      <c r="B10" s="24" t="n">
        <v>144</v>
      </c>
      <c r="C10" s="9" t="s">
        <v>19</v>
      </c>
      <c r="D10" s="9" t="s">
        <v>15</v>
      </c>
      <c r="E10" s="9" t="s">
        <v>97</v>
      </c>
    </row>
    <row r="11" customFormat="false" ht="15" hidden="false" customHeight="false" outlineLevel="0" collapsed="false">
      <c r="A11" s="9" t="s">
        <v>100</v>
      </c>
      <c r="B11" s="24" t="n">
        <v>8</v>
      </c>
      <c r="C11" s="9" t="s">
        <v>19</v>
      </c>
      <c r="D11" s="9" t="s">
        <v>15</v>
      </c>
      <c r="E11" s="9" t="s">
        <v>97</v>
      </c>
    </row>
    <row r="12" customFormat="false" ht="15" hidden="false" customHeight="false" outlineLevel="0" collapsed="false">
      <c r="A12" s="9" t="s">
        <v>101</v>
      </c>
      <c r="B12" s="24" t="n">
        <v>48</v>
      </c>
      <c r="C12" s="9" t="s">
        <v>19</v>
      </c>
      <c r="D12" s="9" t="s">
        <v>15</v>
      </c>
      <c r="E12" s="9" t="s">
        <v>97</v>
      </c>
    </row>
    <row r="13" customFormat="false" ht="15" hidden="false" customHeight="false" outlineLevel="0" collapsed="false">
      <c r="A13" s="9" t="s">
        <v>102</v>
      </c>
      <c r="B13" s="24" t="n">
        <v>12</v>
      </c>
      <c r="C13" s="9" t="s">
        <v>19</v>
      </c>
      <c r="D13" s="9" t="s">
        <v>36</v>
      </c>
      <c r="E13" s="9" t="s">
        <v>97</v>
      </c>
    </row>
    <row r="14" customFormat="false" ht="15" hidden="false" customHeight="false" outlineLevel="0" collapsed="false">
      <c r="A14" s="9" t="s">
        <v>103</v>
      </c>
      <c r="B14" s="24" t="n">
        <v>72</v>
      </c>
      <c r="C14" s="9" t="s">
        <v>19</v>
      </c>
      <c r="D14" s="9" t="s">
        <v>15</v>
      </c>
      <c r="E14" s="9" t="s">
        <v>97</v>
      </c>
    </row>
    <row r="15" customFormat="false" ht="15" hidden="false" customHeight="false" outlineLevel="0" collapsed="false">
      <c r="A15" s="9" t="s">
        <v>104</v>
      </c>
      <c r="B15" s="24" t="n">
        <v>6</v>
      </c>
      <c r="C15" s="9" t="s">
        <v>19</v>
      </c>
      <c r="D15" s="9" t="s">
        <v>15</v>
      </c>
      <c r="E15" s="9" t="s">
        <v>97</v>
      </c>
    </row>
    <row r="16" customFormat="false" ht="15" hidden="false" customHeight="false" outlineLevel="0" collapsed="false">
      <c r="A16" s="9" t="s">
        <v>105</v>
      </c>
      <c r="B16" s="24" t="n">
        <v>6</v>
      </c>
      <c r="C16" s="9" t="s">
        <v>19</v>
      </c>
      <c r="D16" s="9" t="s">
        <v>15</v>
      </c>
      <c r="E16" s="9" t="s">
        <v>97</v>
      </c>
    </row>
    <row r="17" customFormat="false" ht="15" hidden="false" customHeight="false" outlineLevel="0" collapsed="false">
      <c r="A17" s="9" t="s">
        <v>39</v>
      </c>
      <c r="B17" s="24" t="n">
        <v>12</v>
      </c>
      <c r="C17" s="9" t="s">
        <v>19</v>
      </c>
      <c r="D17" s="9" t="s">
        <v>15</v>
      </c>
      <c r="E17" s="9" t="s">
        <v>97</v>
      </c>
    </row>
    <row r="18" customFormat="false" ht="15" hidden="false" customHeight="false" outlineLevel="0" collapsed="false">
      <c r="A18" s="9" t="s">
        <v>106</v>
      </c>
      <c r="B18" s="24" t="n">
        <v>3.58691281932057</v>
      </c>
      <c r="C18" s="9" t="s">
        <v>59</v>
      </c>
      <c r="D18" s="9" t="s">
        <v>62</v>
      </c>
      <c r="E18" s="9" t="s">
        <v>97</v>
      </c>
    </row>
    <row r="19" customFormat="false" ht="15" hidden="false" customHeight="false" outlineLevel="0" collapsed="false">
      <c r="A19" s="9" t="s">
        <v>107</v>
      </c>
      <c r="B19" s="24" t="n">
        <v>0.15</v>
      </c>
      <c r="C19" s="9" t="s">
        <v>54</v>
      </c>
      <c r="D19" s="9" t="s">
        <v>62</v>
      </c>
      <c r="E19" s="9" t="s">
        <v>97</v>
      </c>
    </row>
    <row r="20" customFormat="false" ht="15" hidden="false" customHeight="false" outlineLevel="0" collapsed="false">
      <c r="A20" s="9" t="s">
        <v>108</v>
      </c>
      <c r="B20" s="24" t="n">
        <v>0.538036922898085</v>
      </c>
      <c r="C20" s="9" t="s">
        <v>59</v>
      </c>
      <c r="D20" s="9" t="s">
        <v>15</v>
      </c>
      <c r="E20" s="9" t="s">
        <v>97</v>
      </c>
    </row>
    <row r="21" customFormat="false" ht="15" hidden="false" customHeight="false" outlineLevel="0" collapsed="false">
      <c r="A21" s="9" t="s">
        <v>109</v>
      </c>
      <c r="B21" s="24" t="n">
        <v>0.85</v>
      </c>
      <c r="C21" s="9" t="s">
        <v>54</v>
      </c>
      <c r="D21" s="9" t="s">
        <v>62</v>
      </c>
      <c r="E21" s="9" t="s">
        <v>97</v>
      </c>
    </row>
    <row r="22" customFormat="false" ht="15" hidden="false" customHeight="false" outlineLevel="0" collapsed="false">
      <c r="A22" s="9" t="s">
        <v>110</v>
      </c>
      <c r="B22" s="24" t="n">
        <v>5</v>
      </c>
      <c r="C22" s="9" t="s">
        <v>19</v>
      </c>
      <c r="D22" s="9" t="s">
        <v>15</v>
      </c>
      <c r="E22" s="9" t="s">
        <v>97</v>
      </c>
    </row>
    <row r="23" customFormat="false" ht="15" hidden="false" customHeight="false" outlineLevel="0" collapsed="false">
      <c r="A23" s="9" t="s">
        <v>111</v>
      </c>
      <c r="B23" s="24" t="n">
        <v>30</v>
      </c>
      <c r="C23" s="9" t="s">
        <v>19</v>
      </c>
      <c r="D23" s="9" t="s">
        <v>15</v>
      </c>
      <c r="E23" s="9" t="s">
        <v>97</v>
      </c>
    </row>
    <row r="24" customFormat="false" ht="15" hidden="false" customHeight="false" outlineLevel="0" collapsed="false">
      <c r="A24" s="9" t="s">
        <v>112</v>
      </c>
      <c r="B24" s="24" t="n">
        <v>24</v>
      </c>
      <c r="C24" s="9" t="s">
        <v>19</v>
      </c>
      <c r="D24" s="9" t="s">
        <v>15</v>
      </c>
      <c r="E24" s="9" t="s">
        <v>97</v>
      </c>
    </row>
    <row r="25" customFormat="false" ht="15" hidden="false" customHeight="false" outlineLevel="0" collapsed="false">
      <c r="A25" s="9" t="s">
        <v>113</v>
      </c>
      <c r="B25" s="24" t="n">
        <v>182</v>
      </c>
      <c r="C25" s="9" t="s">
        <v>44</v>
      </c>
      <c r="D25" s="9" t="s">
        <v>15</v>
      </c>
      <c r="E25" s="9" t="s">
        <v>97</v>
      </c>
    </row>
    <row r="26" customFormat="false" ht="15" hidden="false" customHeight="false" outlineLevel="0" collapsed="false">
      <c r="A26" s="9" t="s">
        <v>49</v>
      </c>
      <c r="B26" s="24" t="n">
        <v>36</v>
      </c>
      <c r="C26" s="9" t="s">
        <v>44</v>
      </c>
      <c r="D26" s="9" t="s">
        <v>15</v>
      </c>
      <c r="E26" s="9" t="s">
        <v>97</v>
      </c>
    </row>
    <row r="27" customFormat="false" ht="15" hidden="false" customHeight="false" outlineLevel="0" collapsed="false">
      <c r="A27" s="9" t="s">
        <v>114</v>
      </c>
      <c r="B27" s="24" t="n">
        <v>72</v>
      </c>
      <c r="C27" s="9" t="s">
        <v>19</v>
      </c>
      <c r="D27" s="9" t="s">
        <v>115</v>
      </c>
      <c r="E27" s="9" t="s">
        <v>97</v>
      </c>
    </row>
    <row r="28" customFormat="false" ht="15" hidden="false" customHeight="false" outlineLevel="0" collapsed="false">
      <c r="A28" s="9" t="s">
        <v>116</v>
      </c>
      <c r="B28" s="24" t="n">
        <v>6</v>
      </c>
      <c r="C28" s="9" t="s">
        <v>19</v>
      </c>
      <c r="D28" s="9" t="s">
        <v>15</v>
      </c>
      <c r="E28" s="9" t="s">
        <v>97</v>
      </c>
    </row>
    <row r="29" customFormat="false" ht="15" hidden="false" customHeight="false" outlineLevel="0" collapsed="false">
      <c r="A29" s="9" t="s">
        <v>117</v>
      </c>
      <c r="B29" s="24" t="n">
        <v>0</v>
      </c>
      <c r="C29" s="9" t="s">
        <v>19</v>
      </c>
      <c r="D29" s="9" t="s">
        <v>67</v>
      </c>
      <c r="E29" s="9" t="s">
        <v>118</v>
      </c>
    </row>
    <row r="30" customFormat="false" ht="15" hidden="false" customHeight="false" outlineLevel="0" collapsed="false">
      <c r="A30" s="9" t="s">
        <v>119</v>
      </c>
      <c r="B30" s="24" t="n">
        <v>0</v>
      </c>
      <c r="C30" s="9" t="s">
        <v>19</v>
      </c>
      <c r="D30" s="9" t="s">
        <v>67</v>
      </c>
      <c r="E30" s="9" t="s">
        <v>118</v>
      </c>
    </row>
    <row r="31" customFormat="false" ht="15" hidden="false" customHeight="false" outlineLevel="0" collapsed="false">
      <c r="A31" s="9" t="s">
        <v>120</v>
      </c>
      <c r="B31" s="24" t="n">
        <v>0</v>
      </c>
      <c r="C31" s="9" t="s">
        <v>19</v>
      </c>
      <c r="D31" s="9" t="s">
        <v>67</v>
      </c>
      <c r="E31" s="9" t="s">
        <v>118</v>
      </c>
    </row>
    <row r="32" customFormat="false" ht="15" hidden="false" customHeight="false" outlineLevel="0" collapsed="false">
      <c r="A32" s="9" t="s">
        <v>121</v>
      </c>
      <c r="B32" s="24" t="n">
        <v>0</v>
      </c>
      <c r="C32" s="9" t="s">
        <v>59</v>
      </c>
      <c r="D32" s="9" t="s">
        <v>67</v>
      </c>
      <c r="E32" s="9" t="s">
        <v>118</v>
      </c>
    </row>
    <row r="33" customFormat="false" ht="15" hidden="false" customHeight="false" outlineLevel="0" collapsed="false">
      <c r="A33" s="9" t="s">
        <v>122</v>
      </c>
      <c r="B33" s="24" t="n">
        <v>0</v>
      </c>
      <c r="C33" s="9" t="s">
        <v>59</v>
      </c>
      <c r="D33" s="9" t="s">
        <v>67</v>
      </c>
      <c r="E33" s="9" t="s">
        <v>118</v>
      </c>
    </row>
    <row r="34" customFormat="false" ht="15" hidden="false" customHeight="false" outlineLevel="0" collapsed="false">
      <c r="A34" s="9" t="s">
        <v>89</v>
      </c>
      <c r="B34" s="24" t="n">
        <v>0</v>
      </c>
      <c r="C34" s="9" t="s">
        <v>19</v>
      </c>
      <c r="D34" s="9" t="s">
        <v>67</v>
      </c>
      <c r="E34" s="9" t="s">
        <v>118</v>
      </c>
    </row>
    <row r="35" customFormat="false" ht="15" hidden="false" customHeight="false" outlineLevel="0" collapsed="false">
      <c r="A35" s="9" t="s">
        <v>90</v>
      </c>
      <c r="B35" s="24" t="n">
        <v>0</v>
      </c>
      <c r="C35" s="9" t="s">
        <v>19</v>
      </c>
      <c r="D35" s="9" t="s">
        <v>60</v>
      </c>
      <c r="E35" s="9" t="s">
        <v>118</v>
      </c>
    </row>
    <row r="36" customFormat="false" ht="15" hidden="false" customHeight="false" outlineLevel="0" collapsed="false">
      <c r="A36" s="9" t="s">
        <v>91</v>
      </c>
      <c r="B36" s="24" t="n">
        <v>0</v>
      </c>
      <c r="C36" s="9" t="s">
        <v>19</v>
      </c>
      <c r="D36" s="9" t="s">
        <v>60</v>
      </c>
      <c r="E36" s="9" t="s">
        <v>118</v>
      </c>
    </row>
    <row r="37" customFormat="false" ht="15" hidden="false" customHeight="false" outlineLevel="0" collapsed="false">
      <c r="A37" s="14" t="s">
        <v>92</v>
      </c>
      <c r="B37" s="25" t="n">
        <v>0</v>
      </c>
      <c r="C37" s="14" t="s">
        <v>19</v>
      </c>
      <c r="D37" s="14" t="s">
        <v>60</v>
      </c>
      <c r="E37" s="14" t="s">
        <v>118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8" min="7" style="0" width="16"/>
    <col collapsed="false" customWidth="true" hidden="false" outlineLevel="0" max="10" min="9" style="0" width="17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4"/>
  </cols>
  <sheetData>
    <row r="2" customFormat="false" ht="24" hidden="false" customHeight="true" outlineLevel="0" collapsed="false">
      <c r="A2" s="1" t="s">
        <v>123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124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23" hidden="false" customHeight="true" outlineLevel="0" collapsed="false">
      <c r="A6" s="5" t="s">
        <v>125</v>
      </c>
      <c r="B6" s="6" t="s">
        <v>126</v>
      </c>
      <c r="C6" s="6" t="s">
        <v>127</v>
      </c>
      <c r="D6" s="6" t="s">
        <v>128</v>
      </c>
      <c r="E6" s="6" t="s">
        <v>129</v>
      </c>
      <c r="F6" s="6" t="s">
        <v>130</v>
      </c>
      <c r="G6" s="6" t="s">
        <v>131</v>
      </c>
      <c r="H6" s="6" t="s">
        <v>132</v>
      </c>
      <c r="I6" s="6" t="s">
        <v>133</v>
      </c>
      <c r="J6" s="6" t="s">
        <v>134</v>
      </c>
      <c r="K6" s="6" t="s">
        <v>135</v>
      </c>
      <c r="L6" s="6" t="s">
        <v>136</v>
      </c>
      <c r="M6" s="6" t="s">
        <v>137</v>
      </c>
      <c r="N6" s="6" t="s">
        <v>138</v>
      </c>
      <c r="O6" s="6" t="s">
        <v>139</v>
      </c>
      <c r="P6" s="7" t="s">
        <v>140</v>
      </c>
    </row>
    <row r="7" customFormat="false" ht="15" hidden="false" customHeight="false" outlineLevel="0" collapsed="false">
      <c r="A7" s="8" t="s">
        <v>11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20" t="n">
        <f aca="false">SUM(B7:M7)</f>
        <v>12</v>
      </c>
      <c r="O7" s="26" t="str">
        <f aca="false">IF(N7=12,"YES","NO")</f>
        <v>YES</v>
      </c>
      <c r="P7" s="26" t="str">
        <f aca="false">IF(O7="YES","SELECT","REJECT")</f>
        <v>SELECT</v>
      </c>
    </row>
    <row r="8" customFormat="false" ht="15" hidden="false" customHeight="false" outlineLevel="0" collapsed="false">
      <c r="A8" s="9" t="s">
        <v>141</v>
      </c>
      <c r="B8" s="9" t="n">
        <v>0</v>
      </c>
      <c r="C8" s="9" t="n">
        <v>1</v>
      </c>
      <c r="D8" s="9" t="n">
        <v>1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</v>
      </c>
      <c r="L8" s="9" t="n">
        <v>1</v>
      </c>
      <c r="M8" s="9" t="n">
        <v>1</v>
      </c>
      <c r="N8" s="21" t="n">
        <f aca="false">SUM(B8:M8)</f>
        <v>7</v>
      </c>
      <c r="O8" s="27" t="str">
        <f aca="false">IF(N8=12,"YES","NO")</f>
        <v>NO</v>
      </c>
      <c r="P8" s="27" t="str">
        <f aca="false">IF(O8="YES","SELECT","REJECT")</f>
        <v>REJECT</v>
      </c>
    </row>
    <row r="9" customFormat="false" ht="15" hidden="false" customHeight="false" outlineLevel="0" collapsed="false">
      <c r="A9" s="9" t="s">
        <v>142</v>
      </c>
      <c r="B9" s="9" t="n">
        <v>0</v>
      </c>
      <c r="C9" s="9" t="n">
        <v>1</v>
      </c>
      <c r="D9" s="9" t="n">
        <v>1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</v>
      </c>
      <c r="L9" s="9" t="n">
        <v>1</v>
      </c>
      <c r="M9" s="9" t="n">
        <v>1</v>
      </c>
      <c r="N9" s="21" t="n">
        <f aca="false">SUM(B9:M9)</f>
        <v>7</v>
      </c>
      <c r="O9" s="27" t="str">
        <f aca="false">IF(N9=12,"YES","NO")</f>
        <v>NO</v>
      </c>
      <c r="P9" s="27" t="str">
        <f aca="false">IF(O9="YES","SELECT","REJECT")</f>
        <v>REJECT</v>
      </c>
    </row>
    <row r="10" customFormat="false" ht="15" hidden="false" customHeight="false" outlineLevel="0" collapsed="false">
      <c r="A10" s="9" t="s">
        <v>143</v>
      </c>
      <c r="B10" s="9" t="n">
        <v>0</v>
      </c>
      <c r="C10" s="9" t="n">
        <v>1</v>
      </c>
      <c r="D10" s="9" t="n">
        <v>1</v>
      </c>
      <c r="E10" s="9" t="n">
        <v>0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1</v>
      </c>
      <c r="L10" s="9" t="n">
        <v>1</v>
      </c>
      <c r="M10" s="9" t="n">
        <v>1</v>
      </c>
      <c r="N10" s="21" t="n">
        <f aca="false">SUM(B10:M10)</f>
        <v>8</v>
      </c>
      <c r="O10" s="27" t="str">
        <f aca="false">IF(N10=12,"YES","NO")</f>
        <v>NO</v>
      </c>
      <c r="P10" s="27" t="str">
        <f aca="false">IF(O10="YES","SELECT","REJECT")</f>
        <v>REJECT</v>
      </c>
    </row>
    <row r="11" customFormat="false" ht="15" hidden="false" customHeight="false" outlineLevel="0" collapsed="false">
      <c r="A11" s="9" t="s">
        <v>144</v>
      </c>
      <c r="B11" s="9" t="n">
        <v>1</v>
      </c>
      <c r="C11" s="9" t="n">
        <v>1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0</v>
      </c>
      <c r="I11" s="9" t="n">
        <v>1</v>
      </c>
      <c r="J11" s="9" t="n">
        <v>1</v>
      </c>
      <c r="K11" s="9" t="n">
        <v>0</v>
      </c>
      <c r="L11" s="9" t="n">
        <v>1</v>
      </c>
      <c r="M11" s="9" t="n">
        <v>1</v>
      </c>
      <c r="N11" s="21" t="n">
        <f aca="false">SUM(B11:M11)</f>
        <v>10</v>
      </c>
      <c r="O11" s="27" t="str">
        <f aca="false">IF(N11=12,"YES","NO")</f>
        <v>NO</v>
      </c>
      <c r="P11" s="27" t="str">
        <f aca="false">IF(O11="YES","SELECT","REJECT")</f>
        <v>REJECT</v>
      </c>
    </row>
    <row r="12" customFormat="false" ht="15" hidden="false" customHeight="false" outlineLevel="0" collapsed="false">
      <c r="A12" s="14" t="s">
        <v>145</v>
      </c>
      <c r="B12" s="14" t="n">
        <v>1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1</v>
      </c>
      <c r="I12" s="14" t="n">
        <v>1</v>
      </c>
      <c r="J12" s="14" t="n">
        <v>1</v>
      </c>
      <c r="K12" s="14" t="n">
        <v>0</v>
      </c>
      <c r="L12" s="14" t="n">
        <v>1</v>
      </c>
      <c r="M12" s="14" t="n">
        <v>1</v>
      </c>
      <c r="N12" s="22" t="n">
        <f aca="false">SUM(B12:M12)</f>
        <v>6</v>
      </c>
      <c r="O12" s="28" t="str">
        <f aca="false">IF(N12=12,"YES","NO")</f>
        <v>NO</v>
      </c>
      <c r="P12" s="28" t="str">
        <f aca="false">IF(O12="YES","SELECT","REJECT")</f>
        <v>REJECT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1" min="11" style="0" width="22"/>
  </cols>
  <sheetData>
    <row r="2" customFormat="false" ht="24" hidden="false" customHeight="true" outlineLevel="0" collapsed="false">
      <c r="A2" s="1" t="s">
        <v>146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147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148</v>
      </c>
      <c r="B6" s="6" t="s">
        <v>149</v>
      </c>
      <c r="C6" s="6" t="s">
        <v>150</v>
      </c>
      <c r="D6" s="6" t="s">
        <v>151</v>
      </c>
      <c r="E6" s="6" t="s">
        <v>152</v>
      </c>
      <c r="F6" s="6" t="s">
        <v>153</v>
      </c>
      <c r="G6" s="6" t="s">
        <v>154</v>
      </c>
      <c r="H6" s="6" t="s">
        <v>155</v>
      </c>
      <c r="I6" s="6" t="s">
        <v>156</v>
      </c>
      <c r="J6" s="6" t="s">
        <v>157</v>
      </c>
      <c r="K6" s="7" t="s">
        <v>5</v>
      </c>
    </row>
    <row r="7" customFormat="false" ht="15" hidden="false" customHeight="false" outlineLevel="0" collapsed="false">
      <c r="A7" s="8" t="s">
        <v>158</v>
      </c>
      <c r="B7" s="8" t="s">
        <v>159</v>
      </c>
      <c r="C7" s="8" t="s">
        <v>160</v>
      </c>
      <c r="D7" s="8" t="s">
        <v>161</v>
      </c>
      <c r="E7" s="8" t="s">
        <v>162</v>
      </c>
      <c r="F7" s="29" t="n">
        <v>26</v>
      </c>
      <c r="G7" s="29" t="n">
        <v>0</v>
      </c>
      <c r="H7" s="30" t="n">
        <f aca="false">F7+G7</f>
        <v>26</v>
      </c>
      <c r="I7" s="31" t="n">
        <v>0.50047461808185</v>
      </c>
      <c r="J7" s="32" t="n">
        <f aca="false">I7*Controls!$B$19</f>
        <v>0.0750711927122775</v>
      </c>
      <c r="K7" s="33" t="s">
        <v>163</v>
      </c>
    </row>
    <row r="8" customFormat="false" ht="15" hidden="false" customHeight="false" outlineLevel="0" collapsed="false">
      <c r="A8" s="9" t="s">
        <v>164</v>
      </c>
      <c r="B8" s="9" t="s">
        <v>165</v>
      </c>
      <c r="C8" s="9" t="s">
        <v>166</v>
      </c>
      <c r="D8" s="9" t="s">
        <v>167</v>
      </c>
      <c r="E8" s="9" t="s">
        <v>168</v>
      </c>
      <c r="F8" s="34" t="n">
        <v>28</v>
      </c>
      <c r="G8" s="34" t="n">
        <v>0</v>
      </c>
      <c r="H8" s="35" t="n">
        <f aca="false">F8+G8</f>
        <v>28</v>
      </c>
      <c r="I8" s="12" t="n">
        <v>0.51649348177396</v>
      </c>
      <c r="J8" s="36" t="n">
        <f aca="false">I8*Controls!$B$19</f>
        <v>0.077474022266094</v>
      </c>
      <c r="K8" s="13" t="s">
        <v>163</v>
      </c>
    </row>
    <row r="9" customFormat="false" ht="15" hidden="false" customHeight="false" outlineLevel="0" collapsed="false">
      <c r="A9" s="9" t="s">
        <v>169</v>
      </c>
      <c r="B9" s="9" t="s">
        <v>170</v>
      </c>
      <c r="C9" s="9" t="s">
        <v>171</v>
      </c>
      <c r="D9" s="9" t="s">
        <v>161</v>
      </c>
      <c r="E9" s="9" t="s">
        <v>172</v>
      </c>
      <c r="F9" s="34" t="n">
        <v>30</v>
      </c>
      <c r="G9" s="34" t="n">
        <v>0</v>
      </c>
      <c r="H9" s="35" t="n">
        <f aca="false">F9+G9</f>
        <v>30</v>
      </c>
      <c r="I9" s="12" t="n">
        <v>0.307221654067133</v>
      </c>
      <c r="J9" s="36" t="n">
        <f aca="false">I9*Controls!$B$19</f>
        <v>0.0460832481100699</v>
      </c>
      <c r="K9" s="13" t="s">
        <v>163</v>
      </c>
    </row>
    <row r="10" customFormat="false" ht="15" hidden="false" customHeight="false" outlineLevel="0" collapsed="false">
      <c r="A10" s="9" t="s">
        <v>173</v>
      </c>
      <c r="B10" s="9" t="s">
        <v>174</v>
      </c>
      <c r="C10" s="9" t="s">
        <v>175</v>
      </c>
      <c r="D10" s="9" t="s">
        <v>167</v>
      </c>
      <c r="E10" s="9" t="s">
        <v>176</v>
      </c>
      <c r="F10" s="34" t="n">
        <v>36</v>
      </c>
      <c r="G10" s="34" t="n">
        <v>0</v>
      </c>
      <c r="H10" s="35" t="n">
        <f aca="false">F10+G10</f>
        <v>36</v>
      </c>
      <c r="I10" s="12" t="n">
        <v>0.899412819320565</v>
      </c>
      <c r="J10" s="36" t="n">
        <f aca="false">I10*Controls!$B$19</f>
        <v>0.134911922898085</v>
      </c>
      <c r="K10" s="13" t="s">
        <v>163</v>
      </c>
    </row>
    <row r="11" customFormat="false" ht="15" hidden="false" customHeight="false" outlineLevel="0" collapsed="false">
      <c r="A11" s="9" t="s">
        <v>177</v>
      </c>
      <c r="B11" s="9" t="s">
        <v>178</v>
      </c>
      <c r="C11" s="9" t="s">
        <v>179</v>
      </c>
      <c r="D11" s="9" t="s">
        <v>180</v>
      </c>
      <c r="E11" s="9" t="s">
        <v>181</v>
      </c>
      <c r="F11" s="34" t="n">
        <v>32</v>
      </c>
      <c r="G11" s="34" t="n">
        <v>0</v>
      </c>
      <c r="H11" s="35" t="n">
        <f aca="false">F11+G11</f>
        <v>32</v>
      </c>
      <c r="I11" s="12" t="n">
        <v>0.860712452941095</v>
      </c>
      <c r="J11" s="36" t="n">
        <f aca="false">I11*Controls!$B$19</f>
        <v>0.129106867941164</v>
      </c>
      <c r="K11" s="13" t="s">
        <v>163</v>
      </c>
    </row>
    <row r="12" customFormat="false" ht="15" hidden="false" customHeight="false" outlineLevel="0" collapsed="false">
      <c r="A12" s="14" t="s">
        <v>182</v>
      </c>
      <c r="B12" s="14" t="s">
        <v>183</v>
      </c>
      <c r="C12" s="14" t="s">
        <v>184</v>
      </c>
      <c r="D12" s="14" t="s">
        <v>167</v>
      </c>
      <c r="E12" s="14" t="s">
        <v>185</v>
      </c>
      <c r="F12" s="37" t="n">
        <v>30</v>
      </c>
      <c r="G12" s="37" t="n">
        <v>0</v>
      </c>
      <c r="H12" s="38" t="n">
        <f aca="false">F12+G12</f>
        <v>30</v>
      </c>
      <c r="I12" s="39" t="n">
        <v>0.502597793135963</v>
      </c>
      <c r="J12" s="40" t="n">
        <f aca="false">I12*Controls!$B$19</f>
        <v>0.0753896689703944</v>
      </c>
      <c r="K12" s="16" t="s">
        <v>163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76"/>
    <col collapsed="false" customWidth="true" hidden="false" outlineLevel="0" max="4" min="4" style="0" width="23"/>
  </cols>
  <sheetData>
    <row r="2" customFormat="false" ht="24" hidden="false" customHeight="true" outlineLevel="0" collapsed="false">
      <c r="A2" s="1" t="s">
        <v>186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187</v>
      </c>
      <c r="B4" s="3"/>
      <c r="C4" s="3"/>
      <c r="D4" s="3"/>
    </row>
    <row r="5" customFormat="false" ht="15" hidden="false" customHeight="false" outlineLevel="0" collapsed="false">
      <c r="A5" s="4"/>
      <c r="B5" s="4"/>
      <c r="C5" s="4"/>
      <c r="D5" s="4"/>
    </row>
    <row r="6" customFormat="false" ht="23" hidden="false" customHeight="true" outlineLevel="0" collapsed="false">
      <c r="A6" s="5" t="s">
        <v>188</v>
      </c>
      <c r="B6" s="6" t="s">
        <v>189</v>
      </c>
      <c r="C6" s="6" t="s">
        <v>190</v>
      </c>
      <c r="D6" s="7" t="s">
        <v>191</v>
      </c>
    </row>
    <row r="7" customFormat="false" ht="15" hidden="false" customHeight="false" outlineLevel="0" collapsed="false">
      <c r="A7" s="8" t="s">
        <v>192</v>
      </c>
      <c r="B7" s="8" t="s">
        <v>193</v>
      </c>
      <c r="C7" s="8" t="s">
        <v>194</v>
      </c>
      <c r="D7" s="8" t="s">
        <v>195</v>
      </c>
    </row>
    <row r="8" customFormat="false" ht="15" hidden="false" customHeight="false" outlineLevel="0" collapsed="false">
      <c r="A8" s="9" t="s">
        <v>196</v>
      </c>
      <c r="B8" s="9" t="s">
        <v>197</v>
      </c>
      <c r="C8" s="9" t="s">
        <v>198</v>
      </c>
      <c r="D8" s="9" t="s">
        <v>195</v>
      </c>
    </row>
    <row r="9" customFormat="false" ht="15" hidden="false" customHeight="false" outlineLevel="0" collapsed="false">
      <c r="A9" s="9" t="s">
        <v>199</v>
      </c>
      <c r="B9" s="9" t="s">
        <v>200</v>
      </c>
      <c r="C9" s="9" t="s">
        <v>201</v>
      </c>
      <c r="D9" s="9" t="s">
        <v>195</v>
      </c>
    </row>
    <row r="10" customFormat="false" ht="15" hidden="false" customHeight="false" outlineLevel="0" collapsed="false">
      <c r="A10" s="9" t="s">
        <v>202</v>
      </c>
      <c r="B10" s="9" t="s">
        <v>203</v>
      </c>
      <c r="C10" s="9" t="s">
        <v>204</v>
      </c>
      <c r="D10" s="9" t="s">
        <v>205</v>
      </c>
    </row>
    <row r="11" customFormat="false" ht="15" hidden="false" customHeight="false" outlineLevel="0" collapsed="false">
      <c r="A11" s="9" t="s">
        <v>206</v>
      </c>
      <c r="B11" s="9" t="s">
        <v>207</v>
      </c>
      <c r="C11" s="9" t="s">
        <v>208</v>
      </c>
      <c r="D11" s="9" t="s">
        <v>195</v>
      </c>
    </row>
    <row r="12" customFormat="false" ht="15" hidden="false" customHeight="false" outlineLevel="0" collapsed="false">
      <c r="A12" s="14" t="s">
        <v>209</v>
      </c>
      <c r="B12" s="14" t="s">
        <v>210</v>
      </c>
      <c r="C12" s="14" t="s">
        <v>211</v>
      </c>
      <c r="D12" s="14" t="s">
        <v>205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82"/>
  </cols>
  <sheetData>
    <row r="2" customFormat="false" ht="24" hidden="false" customHeight="true" outlineLevel="0" collapsed="false">
      <c r="A2" s="1" t="s">
        <v>212</v>
      </c>
      <c r="B2" s="1"/>
      <c r="C2" s="1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213</v>
      </c>
      <c r="B4" s="3"/>
      <c r="C4" s="3"/>
    </row>
    <row r="5" customFormat="false" ht="15" hidden="false" customHeight="false" outlineLevel="0" collapsed="false">
      <c r="A5" s="4"/>
      <c r="B5" s="4"/>
      <c r="C5" s="4"/>
    </row>
    <row r="6" customFormat="false" ht="23" hidden="false" customHeight="true" outlineLevel="0" collapsed="false">
      <c r="A6" s="5" t="s">
        <v>214</v>
      </c>
      <c r="B6" s="6" t="s">
        <v>5</v>
      </c>
      <c r="C6" s="7" t="s">
        <v>215</v>
      </c>
    </row>
    <row r="7" customFormat="false" ht="15" hidden="false" customHeight="false" outlineLevel="0" collapsed="false">
      <c r="A7" s="8" t="s">
        <v>216</v>
      </c>
      <c r="B7" s="8" t="s">
        <v>217</v>
      </c>
      <c r="C7" s="8" t="s">
        <v>218</v>
      </c>
    </row>
    <row r="8" customFormat="false" ht="15" hidden="false" customHeight="false" outlineLevel="0" collapsed="false">
      <c r="A8" s="9" t="s">
        <v>219</v>
      </c>
      <c r="B8" s="9" t="s">
        <v>220</v>
      </c>
      <c r="C8" s="9" t="s">
        <v>221</v>
      </c>
    </row>
    <row r="9" customFormat="false" ht="15" hidden="false" customHeight="false" outlineLevel="0" collapsed="false">
      <c r="A9" s="9" t="s">
        <v>222</v>
      </c>
      <c r="B9" s="9" t="s">
        <v>223</v>
      </c>
      <c r="C9" s="9" t="s">
        <v>224</v>
      </c>
    </row>
    <row r="10" customFormat="false" ht="15" hidden="false" customHeight="false" outlineLevel="0" collapsed="false">
      <c r="A10" s="14" t="s">
        <v>225</v>
      </c>
      <c r="B10" s="14" t="s">
        <v>226</v>
      </c>
      <c r="C10" s="14" t="s">
        <v>227</v>
      </c>
    </row>
  </sheetData>
  <mergeCells count="2">
    <mergeCell ref="A2:C2"/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9" min="8" style="0" width="20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9"/>
    <col collapsed="false" customWidth="true" hidden="false" outlineLevel="0" max="15" min="15" style="0" width="14"/>
  </cols>
  <sheetData>
    <row r="2" customFormat="false" ht="24" hidden="false" customHeight="true" outlineLevel="0" collapsed="false">
      <c r="A2" s="1" t="s">
        <v>228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229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23" hidden="false" customHeight="true" outlineLevel="0" collapsed="false">
      <c r="A6" s="5" t="s">
        <v>230</v>
      </c>
      <c r="B6" s="6" t="s">
        <v>148</v>
      </c>
      <c r="C6" s="6" t="s">
        <v>149</v>
      </c>
      <c r="D6" s="6" t="s">
        <v>188</v>
      </c>
      <c r="E6" s="6" t="s">
        <v>189</v>
      </c>
      <c r="F6" s="6" t="s">
        <v>214</v>
      </c>
      <c r="G6" s="6" t="s">
        <v>231</v>
      </c>
      <c r="H6" s="6" t="s">
        <v>191</v>
      </c>
      <c r="I6" s="6" t="s">
        <v>232</v>
      </c>
      <c r="J6" s="6" t="s">
        <v>233</v>
      </c>
      <c r="K6" s="6" t="s">
        <v>234</v>
      </c>
      <c r="L6" s="6" t="s">
        <v>235</v>
      </c>
      <c r="M6" s="6" t="s">
        <v>236</v>
      </c>
      <c r="N6" s="6" t="s">
        <v>237</v>
      </c>
      <c r="O6" s="7" t="s">
        <v>238</v>
      </c>
    </row>
    <row r="7" customFormat="false" ht="15" hidden="false" customHeight="false" outlineLevel="0" collapsed="false">
      <c r="A7" s="8" t="s">
        <v>239</v>
      </c>
      <c r="B7" s="8" t="s">
        <v>158</v>
      </c>
      <c r="C7" s="8" t="s">
        <v>159</v>
      </c>
      <c r="D7" s="8" t="s">
        <v>192</v>
      </c>
      <c r="E7" s="8" t="s">
        <v>193</v>
      </c>
      <c r="F7" s="8" t="s">
        <v>216</v>
      </c>
      <c r="G7" s="8" t="s">
        <v>217</v>
      </c>
      <c r="H7" s="8" t="s">
        <v>195</v>
      </c>
      <c r="I7" s="33" t="s">
        <v>67</v>
      </c>
      <c r="J7" s="33" t="s">
        <v>67</v>
      </c>
      <c r="K7" s="41" t="n">
        <v>0</v>
      </c>
      <c r="L7" s="33" t="s">
        <v>240</v>
      </c>
      <c r="M7" s="33" t="s">
        <v>29</v>
      </c>
      <c r="N7" s="33" t="s">
        <v>67</v>
      </c>
      <c r="O7" s="41" t="n">
        <v>0</v>
      </c>
    </row>
    <row r="8" customFormat="false" ht="15" hidden="false" customHeight="false" outlineLevel="0" collapsed="false">
      <c r="A8" s="9" t="s">
        <v>241</v>
      </c>
      <c r="B8" s="9" t="s">
        <v>158</v>
      </c>
      <c r="C8" s="9" t="s">
        <v>159</v>
      </c>
      <c r="D8" s="9" t="s">
        <v>192</v>
      </c>
      <c r="E8" s="9" t="s">
        <v>193</v>
      </c>
      <c r="F8" s="9" t="s">
        <v>219</v>
      </c>
      <c r="G8" s="9" t="s">
        <v>220</v>
      </c>
      <c r="H8" s="9" t="s">
        <v>195</v>
      </c>
      <c r="I8" s="13" t="s">
        <v>67</v>
      </c>
      <c r="J8" s="13" t="s">
        <v>67</v>
      </c>
      <c r="K8" s="42" t="n">
        <v>0</v>
      </c>
      <c r="L8" s="13" t="s">
        <v>240</v>
      </c>
      <c r="M8" s="13" t="s">
        <v>29</v>
      </c>
      <c r="N8" s="13" t="s">
        <v>67</v>
      </c>
      <c r="O8" s="42" t="n">
        <v>0</v>
      </c>
    </row>
    <row r="9" customFormat="false" ht="15" hidden="false" customHeight="false" outlineLevel="0" collapsed="false">
      <c r="A9" s="9" t="s">
        <v>242</v>
      </c>
      <c r="B9" s="9" t="s">
        <v>158</v>
      </c>
      <c r="C9" s="9" t="s">
        <v>159</v>
      </c>
      <c r="D9" s="9" t="s">
        <v>192</v>
      </c>
      <c r="E9" s="9" t="s">
        <v>193</v>
      </c>
      <c r="F9" s="9" t="s">
        <v>222</v>
      </c>
      <c r="G9" s="9" t="s">
        <v>223</v>
      </c>
      <c r="H9" s="9" t="s">
        <v>195</v>
      </c>
      <c r="I9" s="13" t="s">
        <v>67</v>
      </c>
      <c r="J9" s="13" t="s">
        <v>67</v>
      </c>
      <c r="K9" s="42" t="n">
        <v>0</v>
      </c>
      <c r="L9" s="13" t="s">
        <v>240</v>
      </c>
      <c r="M9" s="13" t="s">
        <v>29</v>
      </c>
      <c r="N9" s="13" t="s">
        <v>67</v>
      </c>
      <c r="O9" s="42" t="n">
        <v>0</v>
      </c>
    </row>
    <row r="10" customFormat="false" ht="15" hidden="false" customHeight="false" outlineLevel="0" collapsed="false">
      <c r="A10" s="9" t="s">
        <v>243</v>
      </c>
      <c r="B10" s="9" t="s">
        <v>158</v>
      </c>
      <c r="C10" s="9" t="s">
        <v>159</v>
      </c>
      <c r="D10" s="9" t="s">
        <v>192</v>
      </c>
      <c r="E10" s="9" t="s">
        <v>193</v>
      </c>
      <c r="F10" s="9" t="s">
        <v>225</v>
      </c>
      <c r="G10" s="9" t="s">
        <v>226</v>
      </c>
      <c r="H10" s="9" t="s">
        <v>195</v>
      </c>
      <c r="I10" s="13" t="s">
        <v>67</v>
      </c>
      <c r="J10" s="13" t="s">
        <v>67</v>
      </c>
      <c r="K10" s="42" t="n">
        <v>0</v>
      </c>
      <c r="L10" s="13" t="s">
        <v>240</v>
      </c>
      <c r="M10" s="13" t="s">
        <v>29</v>
      </c>
      <c r="N10" s="13" t="s">
        <v>67</v>
      </c>
      <c r="O10" s="42" t="n">
        <v>0</v>
      </c>
    </row>
    <row r="11" customFormat="false" ht="15" hidden="false" customHeight="false" outlineLevel="0" collapsed="false">
      <c r="A11" s="9" t="s">
        <v>244</v>
      </c>
      <c r="B11" s="9" t="s">
        <v>158</v>
      </c>
      <c r="C11" s="9" t="s">
        <v>159</v>
      </c>
      <c r="D11" s="9" t="s">
        <v>196</v>
      </c>
      <c r="E11" s="9" t="s">
        <v>197</v>
      </c>
      <c r="F11" s="9" t="s">
        <v>216</v>
      </c>
      <c r="G11" s="9" t="s">
        <v>217</v>
      </c>
      <c r="H11" s="9" t="s">
        <v>195</v>
      </c>
      <c r="I11" s="13" t="s">
        <v>67</v>
      </c>
      <c r="J11" s="13" t="s">
        <v>67</v>
      </c>
      <c r="K11" s="42" t="n">
        <v>0</v>
      </c>
      <c r="L11" s="13" t="s">
        <v>240</v>
      </c>
      <c r="M11" s="13" t="s">
        <v>29</v>
      </c>
      <c r="N11" s="13" t="s">
        <v>67</v>
      </c>
      <c r="O11" s="42" t="n">
        <v>0</v>
      </c>
    </row>
    <row r="12" customFormat="false" ht="15" hidden="false" customHeight="false" outlineLevel="0" collapsed="false">
      <c r="A12" s="9" t="s">
        <v>245</v>
      </c>
      <c r="B12" s="9" t="s">
        <v>158</v>
      </c>
      <c r="C12" s="9" t="s">
        <v>159</v>
      </c>
      <c r="D12" s="9" t="s">
        <v>196</v>
      </c>
      <c r="E12" s="9" t="s">
        <v>197</v>
      </c>
      <c r="F12" s="9" t="s">
        <v>219</v>
      </c>
      <c r="G12" s="9" t="s">
        <v>220</v>
      </c>
      <c r="H12" s="9" t="s">
        <v>195</v>
      </c>
      <c r="I12" s="13" t="s">
        <v>67</v>
      </c>
      <c r="J12" s="13" t="s">
        <v>67</v>
      </c>
      <c r="K12" s="42" t="n">
        <v>0</v>
      </c>
      <c r="L12" s="13" t="s">
        <v>240</v>
      </c>
      <c r="M12" s="13" t="s">
        <v>29</v>
      </c>
      <c r="N12" s="13" t="s">
        <v>67</v>
      </c>
      <c r="O12" s="42" t="n">
        <v>0</v>
      </c>
    </row>
    <row r="13" customFormat="false" ht="15" hidden="false" customHeight="false" outlineLevel="0" collapsed="false">
      <c r="A13" s="9" t="s">
        <v>246</v>
      </c>
      <c r="B13" s="9" t="s">
        <v>158</v>
      </c>
      <c r="C13" s="9" t="s">
        <v>159</v>
      </c>
      <c r="D13" s="9" t="s">
        <v>196</v>
      </c>
      <c r="E13" s="9" t="s">
        <v>197</v>
      </c>
      <c r="F13" s="9" t="s">
        <v>222</v>
      </c>
      <c r="G13" s="9" t="s">
        <v>223</v>
      </c>
      <c r="H13" s="9" t="s">
        <v>195</v>
      </c>
      <c r="I13" s="13" t="s">
        <v>67</v>
      </c>
      <c r="J13" s="13" t="s">
        <v>67</v>
      </c>
      <c r="K13" s="42" t="n">
        <v>0</v>
      </c>
      <c r="L13" s="13" t="s">
        <v>240</v>
      </c>
      <c r="M13" s="13" t="s">
        <v>29</v>
      </c>
      <c r="N13" s="13" t="s">
        <v>67</v>
      </c>
      <c r="O13" s="42" t="n">
        <v>0</v>
      </c>
    </row>
    <row r="14" customFormat="false" ht="15" hidden="false" customHeight="false" outlineLevel="0" collapsed="false">
      <c r="A14" s="9" t="s">
        <v>247</v>
      </c>
      <c r="B14" s="9" t="s">
        <v>158</v>
      </c>
      <c r="C14" s="9" t="s">
        <v>159</v>
      </c>
      <c r="D14" s="9" t="s">
        <v>196</v>
      </c>
      <c r="E14" s="9" t="s">
        <v>197</v>
      </c>
      <c r="F14" s="9" t="s">
        <v>225</v>
      </c>
      <c r="G14" s="9" t="s">
        <v>226</v>
      </c>
      <c r="H14" s="9" t="s">
        <v>195</v>
      </c>
      <c r="I14" s="13" t="s">
        <v>67</v>
      </c>
      <c r="J14" s="13" t="s">
        <v>67</v>
      </c>
      <c r="K14" s="42" t="n">
        <v>0</v>
      </c>
      <c r="L14" s="13" t="s">
        <v>240</v>
      </c>
      <c r="M14" s="13" t="s">
        <v>29</v>
      </c>
      <c r="N14" s="13" t="s">
        <v>67</v>
      </c>
      <c r="O14" s="42" t="n">
        <v>0</v>
      </c>
    </row>
    <row r="15" customFormat="false" ht="15" hidden="false" customHeight="false" outlineLevel="0" collapsed="false">
      <c r="A15" s="9" t="s">
        <v>248</v>
      </c>
      <c r="B15" s="9" t="s">
        <v>158</v>
      </c>
      <c r="C15" s="9" t="s">
        <v>159</v>
      </c>
      <c r="D15" s="9" t="s">
        <v>199</v>
      </c>
      <c r="E15" s="9" t="s">
        <v>200</v>
      </c>
      <c r="F15" s="9" t="s">
        <v>216</v>
      </c>
      <c r="G15" s="9" t="s">
        <v>217</v>
      </c>
      <c r="H15" s="9" t="s">
        <v>195</v>
      </c>
      <c r="I15" s="13" t="s">
        <v>67</v>
      </c>
      <c r="J15" s="13" t="s">
        <v>67</v>
      </c>
      <c r="K15" s="42" t="n">
        <v>0</v>
      </c>
      <c r="L15" s="13" t="s">
        <v>240</v>
      </c>
      <c r="M15" s="13" t="s">
        <v>29</v>
      </c>
      <c r="N15" s="13" t="s">
        <v>67</v>
      </c>
      <c r="O15" s="42" t="n">
        <v>0</v>
      </c>
    </row>
    <row r="16" customFormat="false" ht="15" hidden="false" customHeight="false" outlineLevel="0" collapsed="false">
      <c r="A16" s="9" t="s">
        <v>249</v>
      </c>
      <c r="B16" s="9" t="s">
        <v>158</v>
      </c>
      <c r="C16" s="9" t="s">
        <v>159</v>
      </c>
      <c r="D16" s="9" t="s">
        <v>199</v>
      </c>
      <c r="E16" s="9" t="s">
        <v>200</v>
      </c>
      <c r="F16" s="9" t="s">
        <v>219</v>
      </c>
      <c r="G16" s="9" t="s">
        <v>220</v>
      </c>
      <c r="H16" s="9" t="s">
        <v>195</v>
      </c>
      <c r="I16" s="13" t="s">
        <v>67</v>
      </c>
      <c r="J16" s="13" t="s">
        <v>67</v>
      </c>
      <c r="K16" s="42" t="n">
        <v>0</v>
      </c>
      <c r="L16" s="13" t="s">
        <v>240</v>
      </c>
      <c r="M16" s="13" t="s">
        <v>29</v>
      </c>
      <c r="N16" s="13" t="s">
        <v>67</v>
      </c>
      <c r="O16" s="42" t="n">
        <v>0</v>
      </c>
    </row>
    <row r="17" customFormat="false" ht="15" hidden="false" customHeight="false" outlineLevel="0" collapsed="false">
      <c r="A17" s="9" t="s">
        <v>250</v>
      </c>
      <c r="B17" s="9" t="s">
        <v>158</v>
      </c>
      <c r="C17" s="9" t="s">
        <v>159</v>
      </c>
      <c r="D17" s="9" t="s">
        <v>199</v>
      </c>
      <c r="E17" s="9" t="s">
        <v>200</v>
      </c>
      <c r="F17" s="9" t="s">
        <v>222</v>
      </c>
      <c r="G17" s="9" t="s">
        <v>223</v>
      </c>
      <c r="H17" s="9" t="s">
        <v>195</v>
      </c>
      <c r="I17" s="13" t="s">
        <v>67</v>
      </c>
      <c r="J17" s="13" t="s">
        <v>67</v>
      </c>
      <c r="K17" s="42" t="n">
        <v>0</v>
      </c>
      <c r="L17" s="13" t="s">
        <v>240</v>
      </c>
      <c r="M17" s="13" t="s">
        <v>29</v>
      </c>
      <c r="N17" s="13" t="s">
        <v>67</v>
      </c>
      <c r="O17" s="42" t="n">
        <v>0</v>
      </c>
    </row>
    <row r="18" customFormat="false" ht="15" hidden="false" customHeight="false" outlineLevel="0" collapsed="false">
      <c r="A18" s="9" t="s">
        <v>251</v>
      </c>
      <c r="B18" s="9" t="s">
        <v>158</v>
      </c>
      <c r="C18" s="9" t="s">
        <v>159</v>
      </c>
      <c r="D18" s="9" t="s">
        <v>199</v>
      </c>
      <c r="E18" s="9" t="s">
        <v>200</v>
      </c>
      <c r="F18" s="9" t="s">
        <v>225</v>
      </c>
      <c r="G18" s="9" t="s">
        <v>226</v>
      </c>
      <c r="H18" s="9" t="s">
        <v>195</v>
      </c>
      <c r="I18" s="13" t="s">
        <v>67</v>
      </c>
      <c r="J18" s="13" t="s">
        <v>67</v>
      </c>
      <c r="K18" s="42" t="n">
        <v>0</v>
      </c>
      <c r="L18" s="13" t="s">
        <v>240</v>
      </c>
      <c r="M18" s="13" t="s">
        <v>29</v>
      </c>
      <c r="N18" s="13" t="s">
        <v>67</v>
      </c>
      <c r="O18" s="42" t="n">
        <v>0</v>
      </c>
    </row>
    <row r="19" customFormat="false" ht="15" hidden="false" customHeight="false" outlineLevel="0" collapsed="false">
      <c r="A19" s="9" t="s">
        <v>252</v>
      </c>
      <c r="B19" s="9" t="s">
        <v>158</v>
      </c>
      <c r="C19" s="9" t="s">
        <v>159</v>
      </c>
      <c r="D19" s="9" t="s">
        <v>202</v>
      </c>
      <c r="E19" s="9" t="s">
        <v>203</v>
      </c>
      <c r="F19" s="9" t="s">
        <v>216</v>
      </c>
      <c r="G19" s="9" t="s">
        <v>217</v>
      </c>
      <c r="H19" s="9" t="s">
        <v>205</v>
      </c>
      <c r="I19" s="13" t="s">
        <v>67</v>
      </c>
      <c r="J19" s="13" t="s">
        <v>67</v>
      </c>
      <c r="K19" s="42" t="n">
        <v>0</v>
      </c>
      <c r="L19" s="13" t="s">
        <v>240</v>
      </c>
      <c r="M19" s="13" t="s">
        <v>29</v>
      </c>
      <c r="N19" s="13" t="s">
        <v>67</v>
      </c>
      <c r="O19" s="42" t="n">
        <v>0</v>
      </c>
    </row>
    <row r="20" customFormat="false" ht="15" hidden="false" customHeight="false" outlineLevel="0" collapsed="false">
      <c r="A20" s="9" t="s">
        <v>253</v>
      </c>
      <c r="B20" s="9" t="s">
        <v>158</v>
      </c>
      <c r="C20" s="9" t="s">
        <v>159</v>
      </c>
      <c r="D20" s="9" t="s">
        <v>202</v>
      </c>
      <c r="E20" s="9" t="s">
        <v>203</v>
      </c>
      <c r="F20" s="9" t="s">
        <v>219</v>
      </c>
      <c r="G20" s="9" t="s">
        <v>220</v>
      </c>
      <c r="H20" s="9" t="s">
        <v>205</v>
      </c>
      <c r="I20" s="13" t="s">
        <v>67</v>
      </c>
      <c r="J20" s="13" t="s">
        <v>67</v>
      </c>
      <c r="K20" s="42" t="n">
        <v>0</v>
      </c>
      <c r="L20" s="13" t="s">
        <v>240</v>
      </c>
      <c r="M20" s="13" t="s">
        <v>29</v>
      </c>
      <c r="N20" s="13" t="s">
        <v>67</v>
      </c>
      <c r="O20" s="42" t="n">
        <v>0</v>
      </c>
    </row>
    <row r="21" customFormat="false" ht="15" hidden="false" customHeight="false" outlineLevel="0" collapsed="false">
      <c r="A21" s="9" t="s">
        <v>254</v>
      </c>
      <c r="B21" s="9" t="s">
        <v>158</v>
      </c>
      <c r="C21" s="9" t="s">
        <v>159</v>
      </c>
      <c r="D21" s="9" t="s">
        <v>202</v>
      </c>
      <c r="E21" s="9" t="s">
        <v>203</v>
      </c>
      <c r="F21" s="9" t="s">
        <v>222</v>
      </c>
      <c r="G21" s="9" t="s">
        <v>223</v>
      </c>
      <c r="H21" s="9" t="s">
        <v>205</v>
      </c>
      <c r="I21" s="13" t="s">
        <v>67</v>
      </c>
      <c r="J21" s="13" t="s">
        <v>67</v>
      </c>
      <c r="K21" s="42" t="n">
        <v>0</v>
      </c>
      <c r="L21" s="13" t="s">
        <v>240</v>
      </c>
      <c r="M21" s="13" t="s">
        <v>29</v>
      </c>
      <c r="N21" s="13" t="s">
        <v>67</v>
      </c>
      <c r="O21" s="42" t="n">
        <v>0</v>
      </c>
    </row>
    <row r="22" customFormat="false" ht="15" hidden="false" customHeight="false" outlineLevel="0" collapsed="false">
      <c r="A22" s="9" t="s">
        <v>255</v>
      </c>
      <c r="B22" s="9" t="s">
        <v>158</v>
      </c>
      <c r="C22" s="9" t="s">
        <v>159</v>
      </c>
      <c r="D22" s="9" t="s">
        <v>202</v>
      </c>
      <c r="E22" s="9" t="s">
        <v>203</v>
      </c>
      <c r="F22" s="9" t="s">
        <v>225</v>
      </c>
      <c r="G22" s="9" t="s">
        <v>226</v>
      </c>
      <c r="H22" s="9" t="s">
        <v>205</v>
      </c>
      <c r="I22" s="13" t="s">
        <v>67</v>
      </c>
      <c r="J22" s="13" t="s">
        <v>67</v>
      </c>
      <c r="K22" s="42" t="n">
        <v>0</v>
      </c>
      <c r="L22" s="13" t="s">
        <v>240</v>
      </c>
      <c r="M22" s="13" t="s">
        <v>29</v>
      </c>
      <c r="N22" s="13" t="s">
        <v>67</v>
      </c>
      <c r="O22" s="42" t="n">
        <v>0</v>
      </c>
    </row>
    <row r="23" customFormat="false" ht="15" hidden="false" customHeight="false" outlineLevel="0" collapsed="false">
      <c r="A23" s="9" t="s">
        <v>256</v>
      </c>
      <c r="B23" s="9" t="s">
        <v>158</v>
      </c>
      <c r="C23" s="9" t="s">
        <v>159</v>
      </c>
      <c r="D23" s="9" t="s">
        <v>206</v>
      </c>
      <c r="E23" s="9" t="s">
        <v>207</v>
      </c>
      <c r="F23" s="9" t="s">
        <v>216</v>
      </c>
      <c r="G23" s="9" t="s">
        <v>217</v>
      </c>
      <c r="H23" s="9" t="s">
        <v>195</v>
      </c>
      <c r="I23" s="13" t="s">
        <v>67</v>
      </c>
      <c r="J23" s="13" t="s">
        <v>67</v>
      </c>
      <c r="K23" s="42" t="n">
        <v>0</v>
      </c>
      <c r="L23" s="13" t="s">
        <v>240</v>
      </c>
      <c r="M23" s="13" t="s">
        <v>29</v>
      </c>
      <c r="N23" s="13" t="s">
        <v>67</v>
      </c>
      <c r="O23" s="42" t="n">
        <v>0</v>
      </c>
    </row>
    <row r="24" customFormat="false" ht="15" hidden="false" customHeight="false" outlineLevel="0" collapsed="false">
      <c r="A24" s="9" t="s">
        <v>257</v>
      </c>
      <c r="B24" s="9" t="s">
        <v>158</v>
      </c>
      <c r="C24" s="9" t="s">
        <v>159</v>
      </c>
      <c r="D24" s="9" t="s">
        <v>206</v>
      </c>
      <c r="E24" s="9" t="s">
        <v>207</v>
      </c>
      <c r="F24" s="9" t="s">
        <v>219</v>
      </c>
      <c r="G24" s="9" t="s">
        <v>220</v>
      </c>
      <c r="H24" s="9" t="s">
        <v>195</v>
      </c>
      <c r="I24" s="13" t="s">
        <v>67</v>
      </c>
      <c r="J24" s="13" t="s">
        <v>67</v>
      </c>
      <c r="K24" s="42" t="n">
        <v>0</v>
      </c>
      <c r="L24" s="13" t="s">
        <v>240</v>
      </c>
      <c r="M24" s="13" t="s">
        <v>29</v>
      </c>
      <c r="N24" s="13" t="s">
        <v>67</v>
      </c>
      <c r="O24" s="42" t="n">
        <v>0</v>
      </c>
    </row>
    <row r="25" customFormat="false" ht="15" hidden="false" customHeight="false" outlineLevel="0" collapsed="false">
      <c r="A25" s="9" t="s">
        <v>258</v>
      </c>
      <c r="B25" s="9" t="s">
        <v>158</v>
      </c>
      <c r="C25" s="9" t="s">
        <v>159</v>
      </c>
      <c r="D25" s="9" t="s">
        <v>206</v>
      </c>
      <c r="E25" s="9" t="s">
        <v>207</v>
      </c>
      <c r="F25" s="9" t="s">
        <v>222</v>
      </c>
      <c r="G25" s="9" t="s">
        <v>223</v>
      </c>
      <c r="H25" s="9" t="s">
        <v>195</v>
      </c>
      <c r="I25" s="13" t="s">
        <v>67</v>
      </c>
      <c r="J25" s="13" t="s">
        <v>67</v>
      </c>
      <c r="K25" s="42" t="n">
        <v>0</v>
      </c>
      <c r="L25" s="13" t="s">
        <v>240</v>
      </c>
      <c r="M25" s="13" t="s">
        <v>29</v>
      </c>
      <c r="N25" s="13" t="s">
        <v>67</v>
      </c>
      <c r="O25" s="42" t="n">
        <v>0</v>
      </c>
    </row>
    <row r="26" customFormat="false" ht="15" hidden="false" customHeight="false" outlineLevel="0" collapsed="false">
      <c r="A26" s="9" t="s">
        <v>259</v>
      </c>
      <c r="B26" s="9" t="s">
        <v>158</v>
      </c>
      <c r="C26" s="9" t="s">
        <v>159</v>
      </c>
      <c r="D26" s="9" t="s">
        <v>206</v>
      </c>
      <c r="E26" s="9" t="s">
        <v>207</v>
      </c>
      <c r="F26" s="9" t="s">
        <v>225</v>
      </c>
      <c r="G26" s="9" t="s">
        <v>226</v>
      </c>
      <c r="H26" s="9" t="s">
        <v>195</v>
      </c>
      <c r="I26" s="13" t="s">
        <v>67</v>
      </c>
      <c r="J26" s="13" t="s">
        <v>67</v>
      </c>
      <c r="K26" s="42" t="n">
        <v>0</v>
      </c>
      <c r="L26" s="13" t="s">
        <v>240</v>
      </c>
      <c r="M26" s="13" t="s">
        <v>29</v>
      </c>
      <c r="N26" s="13" t="s">
        <v>67</v>
      </c>
      <c r="O26" s="42" t="n">
        <v>0</v>
      </c>
    </row>
    <row r="27" customFormat="false" ht="15" hidden="false" customHeight="false" outlineLevel="0" collapsed="false">
      <c r="A27" s="9" t="s">
        <v>260</v>
      </c>
      <c r="B27" s="9" t="s">
        <v>158</v>
      </c>
      <c r="C27" s="9" t="s">
        <v>159</v>
      </c>
      <c r="D27" s="9" t="s">
        <v>209</v>
      </c>
      <c r="E27" s="9" t="s">
        <v>210</v>
      </c>
      <c r="F27" s="9" t="s">
        <v>216</v>
      </c>
      <c r="G27" s="9" t="s">
        <v>217</v>
      </c>
      <c r="H27" s="9" t="s">
        <v>205</v>
      </c>
      <c r="I27" s="13" t="s">
        <v>67</v>
      </c>
      <c r="J27" s="13" t="s">
        <v>67</v>
      </c>
      <c r="K27" s="42" t="n">
        <v>0</v>
      </c>
      <c r="L27" s="13" t="s">
        <v>240</v>
      </c>
      <c r="M27" s="13" t="s">
        <v>29</v>
      </c>
      <c r="N27" s="13" t="s">
        <v>67</v>
      </c>
      <c r="O27" s="42" t="n">
        <v>0</v>
      </c>
    </row>
    <row r="28" customFormat="false" ht="15" hidden="false" customHeight="false" outlineLevel="0" collapsed="false">
      <c r="A28" s="9" t="s">
        <v>261</v>
      </c>
      <c r="B28" s="9" t="s">
        <v>158</v>
      </c>
      <c r="C28" s="9" t="s">
        <v>159</v>
      </c>
      <c r="D28" s="9" t="s">
        <v>209</v>
      </c>
      <c r="E28" s="9" t="s">
        <v>210</v>
      </c>
      <c r="F28" s="9" t="s">
        <v>219</v>
      </c>
      <c r="G28" s="9" t="s">
        <v>220</v>
      </c>
      <c r="H28" s="9" t="s">
        <v>205</v>
      </c>
      <c r="I28" s="13" t="s">
        <v>67</v>
      </c>
      <c r="J28" s="13" t="s">
        <v>67</v>
      </c>
      <c r="K28" s="42" t="n">
        <v>0</v>
      </c>
      <c r="L28" s="13" t="s">
        <v>240</v>
      </c>
      <c r="M28" s="13" t="s">
        <v>29</v>
      </c>
      <c r="N28" s="13" t="s">
        <v>67</v>
      </c>
      <c r="O28" s="42" t="n">
        <v>0</v>
      </c>
    </row>
    <row r="29" customFormat="false" ht="15" hidden="false" customHeight="false" outlineLevel="0" collapsed="false">
      <c r="A29" s="9" t="s">
        <v>262</v>
      </c>
      <c r="B29" s="9" t="s">
        <v>158</v>
      </c>
      <c r="C29" s="9" t="s">
        <v>159</v>
      </c>
      <c r="D29" s="9" t="s">
        <v>209</v>
      </c>
      <c r="E29" s="9" t="s">
        <v>210</v>
      </c>
      <c r="F29" s="9" t="s">
        <v>222</v>
      </c>
      <c r="G29" s="9" t="s">
        <v>223</v>
      </c>
      <c r="H29" s="9" t="s">
        <v>205</v>
      </c>
      <c r="I29" s="13" t="s">
        <v>67</v>
      </c>
      <c r="J29" s="13" t="s">
        <v>67</v>
      </c>
      <c r="K29" s="42" t="n">
        <v>0</v>
      </c>
      <c r="L29" s="13" t="s">
        <v>240</v>
      </c>
      <c r="M29" s="13" t="s">
        <v>29</v>
      </c>
      <c r="N29" s="13" t="s">
        <v>67</v>
      </c>
      <c r="O29" s="42" t="n">
        <v>0</v>
      </c>
    </row>
    <row r="30" customFormat="false" ht="15" hidden="false" customHeight="false" outlineLevel="0" collapsed="false">
      <c r="A30" s="9" t="s">
        <v>263</v>
      </c>
      <c r="B30" s="9" t="s">
        <v>158</v>
      </c>
      <c r="C30" s="9" t="s">
        <v>159</v>
      </c>
      <c r="D30" s="9" t="s">
        <v>209</v>
      </c>
      <c r="E30" s="9" t="s">
        <v>210</v>
      </c>
      <c r="F30" s="9" t="s">
        <v>225</v>
      </c>
      <c r="G30" s="9" t="s">
        <v>226</v>
      </c>
      <c r="H30" s="9" t="s">
        <v>205</v>
      </c>
      <c r="I30" s="13" t="s">
        <v>67</v>
      </c>
      <c r="J30" s="13" t="s">
        <v>67</v>
      </c>
      <c r="K30" s="42" t="n">
        <v>0</v>
      </c>
      <c r="L30" s="13" t="s">
        <v>240</v>
      </c>
      <c r="M30" s="13" t="s">
        <v>29</v>
      </c>
      <c r="N30" s="13" t="s">
        <v>67</v>
      </c>
      <c r="O30" s="42" t="n">
        <v>0</v>
      </c>
    </row>
    <row r="31" customFormat="false" ht="15" hidden="false" customHeight="false" outlineLevel="0" collapsed="false">
      <c r="A31" s="9" t="s">
        <v>264</v>
      </c>
      <c r="B31" s="9" t="s">
        <v>164</v>
      </c>
      <c r="C31" s="9" t="s">
        <v>165</v>
      </c>
      <c r="D31" s="9" t="s">
        <v>192</v>
      </c>
      <c r="E31" s="9" t="s">
        <v>193</v>
      </c>
      <c r="F31" s="9" t="s">
        <v>216</v>
      </c>
      <c r="G31" s="9" t="s">
        <v>217</v>
      </c>
      <c r="H31" s="9" t="s">
        <v>195</v>
      </c>
      <c r="I31" s="13" t="s">
        <v>67</v>
      </c>
      <c r="J31" s="13" t="s">
        <v>67</v>
      </c>
      <c r="K31" s="42" t="n">
        <v>0</v>
      </c>
      <c r="L31" s="13" t="s">
        <v>240</v>
      </c>
      <c r="M31" s="13" t="s">
        <v>29</v>
      </c>
      <c r="N31" s="13" t="s">
        <v>67</v>
      </c>
      <c r="O31" s="42" t="n">
        <v>0</v>
      </c>
    </row>
    <row r="32" customFormat="false" ht="15" hidden="false" customHeight="false" outlineLevel="0" collapsed="false">
      <c r="A32" s="9" t="s">
        <v>265</v>
      </c>
      <c r="B32" s="9" t="s">
        <v>164</v>
      </c>
      <c r="C32" s="9" t="s">
        <v>165</v>
      </c>
      <c r="D32" s="9" t="s">
        <v>192</v>
      </c>
      <c r="E32" s="9" t="s">
        <v>193</v>
      </c>
      <c r="F32" s="9" t="s">
        <v>219</v>
      </c>
      <c r="G32" s="9" t="s">
        <v>220</v>
      </c>
      <c r="H32" s="9" t="s">
        <v>195</v>
      </c>
      <c r="I32" s="13" t="s">
        <v>67</v>
      </c>
      <c r="J32" s="13" t="s">
        <v>67</v>
      </c>
      <c r="K32" s="42" t="n">
        <v>0</v>
      </c>
      <c r="L32" s="13" t="s">
        <v>240</v>
      </c>
      <c r="M32" s="13" t="s">
        <v>29</v>
      </c>
      <c r="N32" s="13" t="s">
        <v>67</v>
      </c>
      <c r="O32" s="42" t="n">
        <v>0</v>
      </c>
    </row>
    <row r="33" customFormat="false" ht="15" hidden="false" customHeight="false" outlineLevel="0" collapsed="false">
      <c r="A33" s="9" t="s">
        <v>266</v>
      </c>
      <c r="B33" s="9" t="s">
        <v>164</v>
      </c>
      <c r="C33" s="9" t="s">
        <v>165</v>
      </c>
      <c r="D33" s="9" t="s">
        <v>192</v>
      </c>
      <c r="E33" s="9" t="s">
        <v>193</v>
      </c>
      <c r="F33" s="9" t="s">
        <v>222</v>
      </c>
      <c r="G33" s="9" t="s">
        <v>223</v>
      </c>
      <c r="H33" s="9" t="s">
        <v>195</v>
      </c>
      <c r="I33" s="13" t="s">
        <v>67</v>
      </c>
      <c r="J33" s="13" t="s">
        <v>67</v>
      </c>
      <c r="K33" s="42" t="n">
        <v>0</v>
      </c>
      <c r="L33" s="13" t="s">
        <v>240</v>
      </c>
      <c r="M33" s="13" t="s">
        <v>29</v>
      </c>
      <c r="N33" s="13" t="s">
        <v>67</v>
      </c>
      <c r="O33" s="42" t="n">
        <v>0</v>
      </c>
    </row>
    <row r="34" customFormat="false" ht="15" hidden="false" customHeight="false" outlineLevel="0" collapsed="false">
      <c r="A34" s="9" t="s">
        <v>267</v>
      </c>
      <c r="B34" s="9" t="s">
        <v>164</v>
      </c>
      <c r="C34" s="9" t="s">
        <v>165</v>
      </c>
      <c r="D34" s="9" t="s">
        <v>192</v>
      </c>
      <c r="E34" s="9" t="s">
        <v>193</v>
      </c>
      <c r="F34" s="9" t="s">
        <v>225</v>
      </c>
      <c r="G34" s="9" t="s">
        <v>226</v>
      </c>
      <c r="H34" s="9" t="s">
        <v>195</v>
      </c>
      <c r="I34" s="13" t="s">
        <v>67</v>
      </c>
      <c r="J34" s="13" t="s">
        <v>67</v>
      </c>
      <c r="K34" s="42" t="n">
        <v>0</v>
      </c>
      <c r="L34" s="13" t="s">
        <v>240</v>
      </c>
      <c r="M34" s="13" t="s">
        <v>29</v>
      </c>
      <c r="N34" s="13" t="s">
        <v>67</v>
      </c>
      <c r="O34" s="42" t="n">
        <v>0</v>
      </c>
    </row>
    <row r="35" customFormat="false" ht="15" hidden="false" customHeight="false" outlineLevel="0" collapsed="false">
      <c r="A35" s="9" t="s">
        <v>268</v>
      </c>
      <c r="B35" s="9" t="s">
        <v>164</v>
      </c>
      <c r="C35" s="9" t="s">
        <v>165</v>
      </c>
      <c r="D35" s="9" t="s">
        <v>196</v>
      </c>
      <c r="E35" s="9" t="s">
        <v>197</v>
      </c>
      <c r="F35" s="9" t="s">
        <v>216</v>
      </c>
      <c r="G35" s="9" t="s">
        <v>217</v>
      </c>
      <c r="H35" s="9" t="s">
        <v>195</v>
      </c>
      <c r="I35" s="13" t="s">
        <v>67</v>
      </c>
      <c r="J35" s="13" t="s">
        <v>67</v>
      </c>
      <c r="K35" s="42" t="n">
        <v>0</v>
      </c>
      <c r="L35" s="13" t="s">
        <v>240</v>
      </c>
      <c r="M35" s="13" t="s">
        <v>29</v>
      </c>
      <c r="N35" s="13" t="s">
        <v>67</v>
      </c>
      <c r="O35" s="42" t="n">
        <v>0</v>
      </c>
    </row>
    <row r="36" customFormat="false" ht="15" hidden="false" customHeight="false" outlineLevel="0" collapsed="false">
      <c r="A36" s="9" t="s">
        <v>269</v>
      </c>
      <c r="B36" s="9" t="s">
        <v>164</v>
      </c>
      <c r="C36" s="9" t="s">
        <v>165</v>
      </c>
      <c r="D36" s="9" t="s">
        <v>196</v>
      </c>
      <c r="E36" s="9" t="s">
        <v>197</v>
      </c>
      <c r="F36" s="9" t="s">
        <v>219</v>
      </c>
      <c r="G36" s="9" t="s">
        <v>220</v>
      </c>
      <c r="H36" s="9" t="s">
        <v>195</v>
      </c>
      <c r="I36" s="13" t="s">
        <v>67</v>
      </c>
      <c r="J36" s="13" t="s">
        <v>67</v>
      </c>
      <c r="K36" s="42" t="n">
        <v>0</v>
      </c>
      <c r="L36" s="13" t="s">
        <v>240</v>
      </c>
      <c r="M36" s="13" t="s">
        <v>29</v>
      </c>
      <c r="N36" s="13" t="s">
        <v>67</v>
      </c>
      <c r="O36" s="42" t="n">
        <v>0</v>
      </c>
    </row>
    <row r="37" customFormat="false" ht="15" hidden="false" customHeight="false" outlineLevel="0" collapsed="false">
      <c r="A37" s="9" t="s">
        <v>270</v>
      </c>
      <c r="B37" s="9" t="s">
        <v>164</v>
      </c>
      <c r="C37" s="9" t="s">
        <v>165</v>
      </c>
      <c r="D37" s="9" t="s">
        <v>196</v>
      </c>
      <c r="E37" s="9" t="s">
        <v>197</v>
      </c>
      <c r="F37" s="9" t="s">
        <v>222</v>
      </c>
      <c r="G37" s="9" t="s">
        <v>223</v>
      </c>
      <c r="H37" s="9" t="s">
        <v>195</v>
      </c>
      <c r="I37" s="13" t="s">
        <v>67</v>
      </c>
      <c r="J37" s="13" t="s">
        <v>67</v>
      </c>
      <c r="K37" s="42" t="n">
        <v>0</v>
      </c>
      <c r="L37" s="13" t="s">
        <v>240</v>
      </c>
      <c r="M37" s="13" t="s">
        <v>29</v>
      </c>
      <c r="N37" s="13" t="s">
        <v>67</v>
      </c>
      <c r="O37" s="42" t="n">
        <v>0</v>
      </c>
    </row>
    <row r="38" customFormat="false" ht="15" hidden="false" customHeight="false" outlineLevel="0" collapsed="false">
      <c r="A38" s="9" t="s">
        <v>271</v>
      </c>
      <c r="B38" s="9" t="s">
        <v>164</v>
      </c>
      <c r="C38" s="9" t="s">
        <v>165</v>
      </c>
      <c r="D38" s="9" t="s">
        <v>196</v>
      </c>
      <c r="E38" s="9" t="s">
        <v>197</v>
      </c>
      <c r="F38" s="9" t="s">
        <v>225</v>
      </c>
      <c r="G38" s="9" t="s">
        <v>226</v>
      </c>
      <c r="H38" s="9" t="s">
        <v>195</v>
      </c>
      <c r="I38" s="13" t="s">
        <v>67</v>
      </c>
      <c r="J38" s="13" t="s">
        <v>67</v>
      </c>
      <c r="K38" s="42" t="n">
        <v>0</v>
      </c>
      <c r="L38" s="13" t="s">
        <v>240</v>
      </c>
      <c r="M38" s="13" t="s">
        <v>29</v>
      </c>
      <c r="N38" s="13" t="s">
        <v>67</v>
      </c>
      <c r="O38" s="42" t="n">
        <v>0</v>
      </c>
    </row>
    <row r="39" customFormat="false" ht="15" hidden="false" customHeight="false" outlineLevel="0" collapsed="false">
      <c r="A39" s="9" t="s">
        <v>272</v>
      </c>
      <c r="B39" s="9" t="s">
        <v>164</v>
      </c>
      <c r="C39" s="9" t="s">
        <v>165</v>
      </c>
      <c r="D39" s="9" t="s">
        <v>199</v>
      </c>
      <c r="E39" s="9" t="s">
        <v>200</v>
      </c>
      <c r="F39" s="9" t="s">
        <v>216</v>
      </c>
      <c r="G39" s="9" t="s">
        <v>217</v>
      </c>
      <c r="H39" s="9" t="s">
        <v>195</v>
      </c>
      <c r="I39" s="13" t="s">
        <v>67</v>
      </c>
      <c r="J39" s="13" t="s">
        <v>67</v>
      </c>
      <c r="K39" s="42" t="n">
        <v>0</v>
      </c>
      <c r="L39" s="13" t="s">
        <v>240</v>
      </c>
      <c r="M39" s="13" t="s">
        <v>29</v>
      </c>
      <c r="N39" s="13" t="s">
        <v>67</v>
      </c>
      <c r="O39" s="42" t="n">
        <v>0</v>
      </c>
    </row>
    <row r="40" customFormat="false" ht="15" hidden="false" customHeight="false" outlineLevel="0" collapsed="false">
      <c r="A40" s="9" t="s">
        <v>273</v>
      </c>
      <c r="B40" s="9" t="s">
        <v>164</v>
      </c>
      <c r="C40" s="9" t="s">
        <v>165</v>
      </c>
      <c r="D40" s="9" t="s">
        <v>199</v>
      </c>
      <c r="E40" s="9" t="s">
        <v>200</v>
      </c>
      <c r="F40" s="9" t="s">
        <v>219</v>
      </c>
      <c r="G40" s="9" t="s">
        <v>220</v>
      </c>
      <c r="H40" s="9" t="s">
        <v>195</v>
      </c>
      <c r="I40" s="13" t="s">
        <v>67</v>
      </c>
      <c r="J40" s="13" t="s">
        <v>67</v>
      </c>
      <c r="K40" s="42" t="n">
        <v>0</v>
      </c>
      <c r="L40" s="13" t="s">
        <v>240</v>
      </c>
      <c r="M40" s="13" t="s">
        <v>29</v>
      </c>
      <c r="N40" s="13" t="s">
        <v>67</v>
      </c>
      <c r="O40" s="42" t="n">
        <v>0</v>
      </c>
    </row>
    <row r="41" customFormat="false" ht="15" hidden="false" customHeight="false" outlineLevel="0" collapsed="false">
      <c r="A41" s="9" t="s">
        <v>274</v>
      </c>
      <c r="B41" s="9" t="s">
        <v>164</v>
      </c>
      <c r="C41" s="9" t="s">
        <v>165</v>
      </c>
      <c r="D41" s="9" t="s">
        <v>199</v>
      </c>
      <c r="E41" s="9" t="s">
        <v>200</v>
      </c>
      <c r="F41" s="9" t="s">
        <v>222</v>
      </c>
      <c r="G41" s="9" t="s">
        <v>223</v>
      </c>
      <c r="H41" s="9" t="s">
        <v>195</v>
      </c>
      <c r="I41" s="13" t="s">
        <v>67</v>
      </c>
      <c r="J41" s="13" t="s">
        <v>67</v>
      </c>
      <c r="K41" s="42" t="n">
        <v>0</v>
      </c>
      <c r="L41" s="13" t="s">
        <v>240</v>
      </c>
      <c r="M41" s="13" t="s">
        <v>29</v>
      </c>
      <c r="N41" s="13" t="s">
        <v>67</v>
      </c>
      <c r="O41" s="42" t="n">
        <v>0</v>
      </c>
    </row>
    <row r="42" customFormat="false" ht="15" hidden="false" customHeight="false" outlineLevel="0" collapsed="false">
      <c r="A42" s="9" t="s">
        <v>275</v>
      </c>
      <c r="B42" s="9" t="s">
        <v>164</v>
      </c>
      <c r="C42" s="9" t="s">
        <v>165</v>
      </c>
      <c r="D42" s="9" t="s">
        <v>199</v>
      </c>
      <c r="E42" s="9" t="s">
        <v>200</v>
      </c>
      <c r="F42" s="9" t="s">
        <v>225</v>
      </c>
      <c r="G42" s="9" t="s">
        <v>226</v>
      </c>
      <c r="H42" s="9" t="s">
        <v>195</v>
      </c>
      <c r="I42" s="13" t="s">
        <v>67</v>
      </c>
      <c r="J42" s="13" t="s">
        <v>67</v>
      </c>
      <c r="K42" s="42" t="n">
        <v>0</v>
      </c>
      <c r="L42" s="13" t="s">
        <v>240</v>
      </c>
      <c r="M42" s="13" t="s">
        <v>29</v>
      </c>
      <c r="N42" s="13" t="s">
        <v>67</v>
      </c>
      <c r="O42" s="42" t="n">
        <v>0</v>
      </c>
    </row>
    <row r="43" customFormat="false" ht="15" hidden="false" customHeight="false" outlineLevel="0" collapsed="false">
      <c r="A43" s="9" t="s">
        <v>276</v>
      </c>
      <c r="B43" s="9" t="s">
        <v>164</v>
      </c>
      <c r="C43" s="9" t="s">
        <v>165</v>
      </c>
      <c r="D43" s="9" t="s">
        <v>202</v>
      </c>
      <c r="E43" s="9" t="s">
        <v>203</v>
      </c>
      <c r="F43" s="9" t="s">
        <v>216</v>
      </c>
      <c r="G43" s="9" t="s">
        <v>217</v>
      </c>
      <c r="H43" s="9" t="s">
        <v>205</v>
      </c>
      <c r="I43" s="13" t="s">
        <v>67</v>
      </c>
      <c r="J43" s="13" t="s">
        <v>67</v>
      </c>
      <c r="K43" s="42" t="n">
        <v>0</v>
      </c>
      <c r="L43" s="13" t="s">
        <v>240</v>
      </c>
      <c r="M43" s="13" t="s">
        <v>29</v>
      </c>
      <c r="N43" s="13" t="s">
        <v>67</v>
      </c>
      <c r="O43" s="42" t="n">
        <v>0</v>
      </c>
    </row>
    <row r="44" customFormat="false" ht="15" hidden="false" customHeight="false" outlineLevel="0" collapsed="false">
      <c r="A44" s="9" t="s">
        <v>277</v>
      </c>
      <c r="B44" s="9" t="s">
        <v>164</v>
      </c>
      <c r="C44" s="9" t="s">
        <v>165</v>
      </c>
      <c r="D44" s="9" t="s">
        <v>202</v>
      </c>
      <c r="E44" s="9" t="s">
        <v>203</v>
      </c>
      <c r="F44" s="9" t="s">
        <v>219</v>
      </c>
      <c r="G44" s="9" t="s">
        <v>220</v>
      </c>
      <c r="H44" s="9" t="s">
        <v>205</v>
      </c>
      <c r="I44" s="13" t="s">
        <v>67</v>
      </c>
      <c r="J44" s="13" t="s">
        <v>67</v>
      </c>
      <c r="K44" s="42" t="n">
        <v>0</v>
      </c>
      <c r="L44" s="13" t="s">
        <v>240</v>
      </c>
      <c r="M44" s="13" t="s">
        <v>29</v>
      </c>
      <c r="N44" s="13" t="s">
        <v>67</v>
      </c>
      <c r="O44" s="42" t="n">
        <v>0</v>
      </c>
    </row>
    <row r="45" customFormat="false" ht="15" hidden="false" customHeight="false" outlineLevel="0" collapsed="false">
      <c r="A45" s="9" t="s">
        <v>278</v>
      </c>
      <c r="B45" s="9" t="s">
        <v>164</v>
      </c>
      <c r="C45" s="9" t="s">
        <v>165</v>
      </c>
      <c r="D45" s="9" t="s">
        <v>202</v>
      </c>
      <c r="E45" s="9" t="s">
        <v>203</v>
      </c>
      <c r="F45" s="9" t="s">
        <v>222</v>
      </c>
      <c r="G45" s="9" t="s">
        <v>223</v>
      </c>
      <c r="H45" s="9" t="s">
        <v>205</v>
      </c>
      <c r="I45" s="13" t="s">
        <v>67</v>
      </c>
      <c r="J45" s="13" t="s">
        <v>67</v>
      </c>
      <c r="K45" s="42" t="n">
        <v>0</v>
      </c>
      <c r="L45" s="13" t="s">
        <v>240</v>
      </c>
      <c r="M45" s="13" t="s">
        <v>29</v>
      </c>
      <c r="N45" s="13" t="s">
        <v>67</v>
      </c>
      <c r="O45" s="42" t="n">
        <v>0</v>
      </c>
    </row>
    <row r="46" customFormat="false" ht="15" hidden="false" customHeight="false" outlineLevel="0" collapsed="false">
      <c r="A46" s="9" t="s">
        <v>279</v>
      </c>
      <c r="B46" s="9" t="s">
        <v>164</v>
      </c>
      <c r="C46" s="9" t="s">
        <v>165</v>
      </c>
      <c r="D46" s="9" t="s">
        <v>202</v>
      </c>
      <c r="E46" s="9" t="s">
        <v>203</v>
      </c>
      <c r="F46" s="9" t="s">
        <v>225</v>
      </c>
      <c r="G46" s="9" t="s">
        <v>226</v>
      </c>
      <c r="H46" s="9" t="s">
        <v>205</v>
      </c>
      <c r="I46" s="13" t="s">
        <v>67</v>
      </c>
      <c r="J46" s="13" t="s">
        <v>67</v>
      </c>
      <c r="K46" s="42" t="n">
        <v>0</v>
      </c>
      <c r="L46" s="13" t="s">
        <v>240</v>
      </c>
      <c r="M46" s="13" t="s">
        <v>29</v>
      </c>
      <c r="N46" s="13" t="s">
        <v>67</v>
      </c>
      <c r="O46" s="42" t="n">
        <v>0</v>
      </c>
    </row>
    <row r="47" customFormat="false" ht="15" hidden="false" customHeight="false" outlineLevel="0" collapsed="false">
      <c r="A47" s="9" t="s">
        <v>280</v>
      </c>
      <c r="B47" s="9" t="s">
        <v>164</v>
      </c>
      <c r="C47" s="9" t="s">
        <v>165</v>
      </c>
      <c r="D47" s="9" t="s">
        <v>206</v>
      </c>
      <c r="E47" s="9" t="s">
        <v>207</v>
      </c>
      <c r="F47" s="9" t="s">
        <v>216</v>
      </c>
      <c r="G47" s="9" t="s">
        <v>217</v>
      </c>
      <c r="H47" s="9" t="s">
        <v>195</v>
      </c>
      <c r="I47" s="13" t="s">
        <v>67</v>
      </c>
      <c r="J47" s="13" t="s">
        <v>67</v>
      </c>
      <c r="K47" s="42" t="n">
        <v>0</v>
      </c>
      <c r="L47" s="13" t="s">
        <v>240</v>
      </c>
      <c r="M47" s="13" t="s">
        <v>29</v>
      </c>
      <c r="N47" s="13" t="s">
        <v>67</v>
      </c>
      <c r="O47" s="42" t="n">
        <v>0</v>
      </c>
    </row>
    <row r="48" customFormat="false" ht="15" hidden="false" customHeight="false" outlineLevel="0" collapsed="false">
      <c r="A48" s="9" t="s">
        <v>281</v>
      </c>
      <c r="B48" s="9" t="s">
        <v>164</v>
      </c>
      <c r="C48" s="9" t="s">
        <v>165</v>
      </c>
      <c r="D48" s="9" t="s">
        <v>206</v>
      </c>
      <c r="E48" s="9" t="s">
        <v>207</v>
      </c>
      <c r="F48" s="9" t="s">
        <v>219</v>
      </c>
      <c r="G48" s="9" t="s">
        <v>220</v>
      </c>
      <c r="H48" s="9" t="s">
        <v>195</v>
      </c>
      <c r="I48" s="13" t="s">
        <v>67</v>
      </c>
      <c r="J48" s="13" t="s">
        <v>67</v>
      </c>
      <c r="K48" s="42" t="n">
        <v>0</v>
      </c>
      <c r="L48" s="13" t="s">
        <v>240</v>
      </c>
      <c r="M48" s="13" t="s">
        <v>29</v>
      </c>
      <c r="N48" s="13" t="s">
        <v>67</v>
      </c>
      <c r="O48" s="42" t="n">
        <v>0</v>
      </c>
    </row>
    <row r="49" customFormat="false" ht="15" hidden="false" customHeight="false" outlineLevel="0" collapsed="false">
      <c r="A49" s="9" t="s">
        <v>282</v>
      </c>
      <c r="B49" s="9" t="s">
        <v>164</v>
      </c>
      <c r="C49" s="9" t="s">
        <v>165</v>
      </c>
      <c r="D49" s="9" t="s">
        <v>206</v>
      </c>
      <c r="E49" s="9" t="s">
        <v>207</v>
      </c>
      <c r="F49" s="9" t="s">
        <v>222</v>
      </c>
      <c r="G49" s="9" t="s">
        <v>223</v>
      </c>
      <c r="H49" s="9" t="s">
        <v>195</v>
      </c>
      <c r="I49" s="13" t="s">
        <v>67</v>
      </c>
      <c r="J49" s="13" t="s">
        <v>67</v>
      </c>
      <c r="K49" s="42" t="n">
        <v>0</v>
      </c>
      <c r="L49" s="13" t="s">
        <v>240</v>
      </c>
      <c r="M49" s="13" t="s">
        <v>29</v>
      </c>
      <c r="N49" s="13" t="s">
        <v>67</v>
      </c>
      <c r="O49" s="42" t="n">
        <v>0</v>
      </c>
    </row>
    <row r="50" customFormat="false" ht="15" hidden="false" customHeight="false" outlineLevel="0" collapsed="false">
      <c r="A50" s="9" t="s">
        <v>283</v>
      </c>
      <c r="B50" s="9" t="s">
        <v>164</v>
      </c>
      <c r="C50" s="9" t="s">
        <v>165</v>
      </c>
      <c r="D50" s="9" t="s">
        <v>206</v>
      </c>
      <c r="E50" s="9" t="s">
        <v>207</v>
      </c>
      <c r="F50" s="9" t="s">
        <v>225</v>
      </c>
      <c r="G50" s="9" t="s">
        <v>226</v>
      </c>
      <c r="H50" s="9" t="s">
        <v>195</v>
      </c>
      <c r="I50" s="13" t="s">
        <v>67</v>
      </c>
      <c r="J50" s="13" t="s">
        <v>67</v>
      </c>
      <c r="K50" s="42" t="n">
        <v>0</v>
      </c>
      <c r="L50" s="13" t="s">
        <v>240</v>
      </c>
      <c r="M50" s="13" t="s">
        <v>29</v>
      </c>
      <c r="N50" s="13" t="s">
        <v>67</v>
      </c>
      <c r="O50" s="42" t="n">
        <v>0</v>
      </c>
    </row>
    <row r="51" customFormat="false" ht="15" hidden="false" customHeight="false" outlineLevel="0" collapsed="false">
      <c r="A51" s="9" t="s">
        <v>284</v>
      </c>
      <c r="B51" s="9" t="s">
        <v>164</v>
      </c>
      <c r="C51" s="9" t="s">
        <v>165</v>
      </c>
      <c r="D51" s="9" t="s">
        <v>209</v>
      </c>
      <c r="E51" s="9" t="s">
        <v>210</v>
      </c>
      <c r="F51" s="9" t="s">
        <v>216</v>
      </c>
      <c r="G51" s="9" t="s">
        <v>217</v>
      </c>
      <c r="H51" s="9" t="s">
        <v>205</v>
      </c>
      <c r="I51" s="13" t="s">
        <v>67</v>
      </c>
      <c r="J51" s="13" t="s">
        <v>67</v>
      </c>
      <c r="K51" s="42" t="n">
        <v>0</v>
      </c>
      <c r="L51" s="13" t="s">
        <v>240</v>
      </c>
      <c r="M51" s="13" t="s">
        <v>29</v>
      </c>
      <c r="N51" s="13" t="s">
        <v>67</v>
      </c>
      <c r="O51" s="42" t="n">
        <v>0</v>
      </c>
    </row>
    <row r="52" customFormat="false" ht="15" hidden="false" customHeight="false" outlineLevel="0" collapsed="false">
      <c r="A52" s="9" t="s">
        <v>285</v>
      </c>
      <c r="B52" s="9" t="s">
        <v>164</v>
      </c>
      <c r="C52" s="9" t="s">
        <v>165</v>
      </c>
      <c r="D52" s="9" t="s">
        <v>209</v>
      </c>
      <c r="E52" s="9" t="s">
        <v>210</v>
      </c>
      <c r="F52" s="9" t="s">
        <v>219</v>
      </c>
      <c r="G52" s="9" t="s">
        <v>220</v>
      </c>
      <c r="H52" s="9" t="s">
        <v>205</v>
      </c>
      <c r="I52" s="13" t="s">
        <v>67</v>
      </c>
      <c r="J52" s="13" t="s">
        <v>67</v>
      </c>
      <c r="K52" s="42" t="n">
        <v>0</v>
      </c>
      <c r="L52" s="13" t="s">
        <v>240</v>
      </c>
      <c r="M52" s="13" t="s">
        <v>29</v>
      </c>
      <c r="N52" s="13" t="s">
        <v>67</v>
      </c>
      <c r="O52" s="42" t="n">
        <v>0</v>
      </c>
    </row>
    <row r="53" customFormat="false" ht="15" hidden="false" customHeight="false" outlineLevel="0" collapsed="false">
      <c r="A53" s="9" t="s">
        <v>286</v>
      </c>
      <c r="B53" s="9" t="s">
        <v>164</v>
      </c>
      <c r="C53" s="9" t="s">
        <v>165</v>
      </c>
      <c r="D53" s="9" t="s">
        <v>209</v>
      </c>
      <c r="E53" s="9" t="s">
        <v>210</v>
      </c>
      <c r="F53" s="9" t="s">
        <v>222</v>
      </c>
      <c r="G53" s="9" t="s">
        <v>223</v>
      </c>
      <c r="H53" s="9" t="s">
        <v>205</v>
      </c>
      <c r="I53" s="13" t="s">
        <v>67</v>
      </c>
      <c r="J53" s="13" t="s">
        <v>67</v>
      </c>
      <c r="K53" s="42" t="n">
        <v>0</v>
      </c>
      <c r="L53" s="13" t="s">
        <v>240</v>
      </c>
      <c r="M53" s="13" t="s">
        <v>29</v>
      </c>
      <c r="N53" s="13" t="s">
        <v>67</v>
      </c>
      <c r="O53" s="42" t="n">
        <v>0</v>
      </c>
    </row>
    <row r="54" customFormat="false" ht="15" hidden="false" customHeight="false" outlineLevel="0" collapsed="false">
      <c r="A54" s="9" t="s">
        <v>287</v>
      </c>
      <c r="B54" s="9" t="s">
        <v>164</v>
      </c>
      <c r="C54" s="9" t="s">
        <v>165</v>
      </c>
      <c r="D54" s="9" t="s">
        <v>209</v>
      </c>
      <c r="E54" s="9" t="s">
        <v>210</v>
      </c>
      <c r="F54" s="9" t="s">
        <v>225</v>
      </c>
      <c r="G54" s="9" t="s">
        <v>226</v>
      </c>
      <c r="H54" s="9" t="s">
        <v>205</v>
      </c>
      <c r="I54" s="13" t="s">
        <v>67</v>
      </c>
      <c r="J54" s="13" t="s">
        <v>67</v>
      </c>
      <c r="K54" s="42" t="n">
        <v>0</v>
      </c>
      <c r="L54" s="13" t="s">
        <v>240</v>
      </c>
      <c r="M54" s="13" t="s">
        <v>29</v>
      </c>
      <c r="N54" s="13" t="s">
        <v>67</v>
      </c>
      <c r="O54" s="42" t="n">
        <v>0</v>
      </c>
    </row>
    <row r="55" customFormat="false" ht="15" hidden="false" customHeight="false" outlineLevel="0" collapsed="false">
      <c r="A55" s="9" t="s">
        <v>288</v>
      </c>
      <c r="B55" s="9" t="s">
        <v>169</v>
      </c>
      <c r="C55" s="9" t="s">
        <v>170</v>
      </c>
      <c r="D55" s="9" t="s">
        <v>192</v>
      </c>
      <c r="E55" s="9" t="s">
        <v>193</v>
      </c>
      <c r="F55" s="9" t="s">
        <v>216</v>
      </c>
      <c r="G55" s="9" t="s">
        <v>217</v>
      </c>
      <c r="H55" s="9" t="s">
        <v>195</v>
      </c>
      <c r="I55" s="13" t="s">
        <v>67</v>
      </c>
      <c r="J55" s="13" t="s">
        <v>67</v>
      </c>
      <c r="K55" s="42" t="n">
        <v>0</v>
      </c>
      <c r="L55" s="13" t="s">
        <v>240</v>
      </c>
      <c r="M55" s="13" t="s">
        <v>29</v>
      </c>
      <c r="N55" s="13" t="s">
        <v>67</v>
      </c>
      <c r="O55" s="42" t="n">
        <v>0</v>
      </c>
    </row>
    <row r="56" customFormat="false" ht="15" hidden="false" customHeight="false" outlineLevel="0" collapsed="false">
      <c r="A56" s="9" t="s">
        <v>289</v>
      </c>
      <c r="B56" s="9" t="s">
        <v>169</v>
      </c>
      <c r="C56" s="9" t="s">
        <v>170</v>
      </c>
      <c r="D56" s="9" t="s">
        <v>192</v>
      </c>
      <c r="E56" s="9" t="s">
        <v>193</v>
      </c>
      <c r="F56" s="9" t="s">
        <v>219</v>
      </c>
      <c r="G56" s="9" t="s">
        <v>220</v>
      </c>
      <c r="H56" s="9" t="s">
        <v>195</v>
      </c>
      <c r="I56" s="13" t="s">
        <v>67</v>
      </c>
      <c r="J56" s="13" t="s">
        <v>67</v>
      </c>
      <c r="K56" s="42" t="n">
        <v>0</v>
      </c>
      <c r="L56" s="13" t="s">
        <v>240</v>
      </c>
      <c r="M56" s="13" t="s">
        <v>29</v>
      </c>
      <c r="N56" s="13" t="s">
        <v>67</v>
      </c>
      <c r="O56" s="42" t="n">
        <v>0</v>
      </c>
    </row>
    <row r="57" customFormat="false" ht="15" hidden="false" customHeight="false" outlineLevel="0" collapsed="false">
      <c r="A57" s="9" t="s">
        <v>290</v>
      </c>
      <c r="B57" s="9" t="s">
        <v>169</v>
      </c>
      <c r="C57" s="9" t="s">
        <v>170</v>
      </c>
      <c r="D57" s="9" t="s">
        <v>192</v>
      </c>
      <c r="E57" s="9" t="s">
        <v>193</v>
      </c>
      <c r="F57" s="9" t="s">
        <v>222</v>
      </c>
      <c r="G57" s="9" t="s">
        <v>223</v>
      </c>
      <c r="H57" s="9" t="s">
        <v>195</v>
      </c>
      <c r="I57" s="13" t="s">
        <v>67</v>
      </c>
      <c r="J57" s="13" t="s">
        <v>67</v>
      </c>
      <c r="K57" s="42" t="n">
        <v>0</v>
      </c>
      <c r="L57" s="13" t="s">
        <v>240</v>
      </c>
      <c r="M57" s="13" t="s">
        <v>29</v>
      </c>
      <c r="N57" s="13" t="s">
        <v>67</v>
      </c>
      <c r="O57" s="42" t="n">
        <v>0</v>
      </c>
    </row>
    <row r="58" customFormat="false" ht="15" hidden="false" customHeight="false" outlineLevel="0" collapsed="false">
      <c r="A58" s="9" t="s">
        <v>291</v>
      </c>
      <c r="B58" s="9" t="s">
        <v>169</v>
      </c>
      <c r="C58" s="9" t="s">
        <v>170</v>
      </c>
      <c r="D58" s="9" t="s">
        <v>192</v>
      </c>
      <c r="E58" s="9" t="s">
        <v>193</v>
      </c>
      <c r="F58" s="9" t="s">
        <v>225</v>
      </c>
      <c r="G58" s="9" t="s">
        <v>226</v>
      </c>
      <c r="H58" s="9" t="s">
        <v>195</v>
      </c>
      <c r="I58" s="13" t="s">
        <v>67</v>
      </c>
      <c r="J58" s="13" t="s">
        <v>67</v>
      </c>
      <c r="K58" s="42" t="n">
        <v>0</v>
      </c>
      <c r="L58" s="13" t="s">
        <v>240</v>
      </c>
      <c r="M58" s="13" t="s">
        <v>29</v>
      </c>
      <c r="N58" s="13" t="s">
        <v>67</v>
      </c>
      <c r="O58" s="42" t="n">
        <v>0</v>
      </c>
    </row>
    <row r="59" customFormat="false" ht="15" hidden="false" customHeight="false" outlineLevel="0" collapsed="false">
      <c r="A59" s="9" t="s">
        <v>292</v>
      </c>
      <c r="B59" s="9" t="s">
        <v>169</v>
      </c>
      <c r="C59" s="9" t="s">
        <v>170</v>
      </c>
      <c r="D59" s="9" t="s">
        <v>196</v>
      </c>
      <c r="E59" s="9" t="s">
        <v>197</v>
      </c>
      <c r="F59" s="9" t="s">
        <v>216</v>
      </c>
      <c r="G59" s="9" t="s">
        <v>217</v>
      </c>
      <c r="H59" s="9" t="s">
        <v>195</v>
      </c>
      <c r="I59" s="13" t="s">
        <v>67</v>
      </c>
      <c r="J59" s="13" t="s">
        <v>67</v>
      </c>
      <c r="K59" s="42" t="n">
        <v>0</v>
      </c>
      <c r="L59" s="13" t="s">
        <v>240</v>
      </c>
      <c r="M59" s="13" t="s">
        <v>29</v>
      </c>
      <c r="N59" s="13" t="s">
        <v>67</v>
      </c>
      <c r="O59" s="42" t="n">
        <v>0</v>
      </c>
    </row>
    <row r="60" customFormat="false" ht="15" hidden="false" customHeight="false" outlineLevel="0" collapsed="false">
      <c r="A60" s="9" t="s">
        <v>293</v>
      </c>
      <c r="B60" s="9" t="s">
        <v>169</v>
      </c>
      <c r="C60" s="9" t="s">
        <v>170</v>
      </c>
      <c r="D60" s="9" t="s">
        <v>196</v>
      </c>
      <c r="E60" s="9" t="s">
        <v>197</v>
      </c>
      <c r="F60" s="9" t="s">
        <v>219</v>
      </c>
      <c r="G60" s="9" t="s">
        <v>220</v>
      </c>
      <c r="H60" s="9" t="s">
        <v>195</v>
      </c>
      <c r="I60" s="13" t="s">
        <v>67</v>
      </c>
      <c r="J60" s="13" t="s">
        <v>67</v>
      </c>
      <c r="K60" s="42" t="n">
        <v>0</v>
      </c>
      <c r="L60" s="13" t="s">
        <v>240</v>
      </c>
      <c r="M60" s="13" t="s">
        <v>29</v>
      </c>
      <c r="N60" s="13" t="s">
        <v>67</v>
      </c>
      <c r="O60" s="42" t="n">
        <v>0</v>
      </c>
    </row>
    <row r="61" customFormat="false" ht="15" hidden="false" customHeight="false" outlineLevel="0" collapsed="false">
      <c r="A61" s="9" t="s">
        <v>294</v>
      </c>
      <c r="B61" s="9" t="s">
        <v>169</v>
      </c>
      <c r="C61" s="9" t="s">
        <v>170</v>
      </c>
      <c r="D61" s="9" t="s">
        <v>196</v>
      </c>
      <c r="E61" s="9" t="s">
        <v>197</v>
      </c>
      <c r="F61" s="9" t="s">
        <v>222</v>
      </c>
      <c r="G61" s="9" t="s">
        <v>223</v>
      </c>
      <c r="H61" s="9" t="s">
        <v>195</v>
      </c>
      <c r="I61" s="13" t="s">
        <v>67</v>
      </c>
      <c r="J61" s="13" t="s">
        <v>67</v>
      </c>
      <c r="K61" s="42" t="n">
        <v>0</v>
      </c>
      <c r="L61" s="13" t="s">
        <v>240</v>
      </c>
      <c r="M61" s="13" t="s">
        <v>29</v>
      </c>
      <c r="N61" s="13" t="s">
        <v>67</v>
      </c>
      <c r="O61" s="42" t="n">
        <v>0</v>
      </c>
    </row>
    <row r="62" customFormat="false" ht="15" hidden="false" customHeight="false" outlineLevel="0" collapsed="false">
      <c r="A62" s="9" t="s">
        <v>295</v>
      </c>
      <c r="B62" s="9" t="s">
        <v>169</v>
      </c>
      <c r="C62" s="9" t="s">
        <v>170</v>
      </c>
      <c r="D62" s="9" t="s">
        <v>196</v>
      </c>
      <c r="E62" s="9" t="s">
        <v>197</v>
      </c>
      <c r="F62" s="9" t="s">
        <v>225</v>
      </c>
      <c r="G62" s="9" t="s">
        <v>226</v>
      </c>
      <c r="H62" s="9" t="s">
        <v>195</v>
      </c>
      <c r="I62" s="13" t="s">
        <v>67</v>
      </c>
      <c r="J62" s="13" t="s">
        <v>67</v>
      </c>
      <c r="K62" s="42" t="n">
        <v>0</v>
      </c>
      <c r="L62" s="13" t="s">
        <v>240</v>
      </c>
      <c r="M62" s="13" t="s">
        <v>29</v>
      </c>
      <c r="N62" s="13" t="s">
        <v>67</v>
      </c>
      <c r="O62" s="42" t="n">
        <v>0</v>
      </c>
    </row>
    <row r="63" customFormat="false" ht="15" hidden="false" customHeight="false" outlineLevel="0" collapsed="false">
      <c r="A63" s="9" t="s">
        <v>296</v>
      </c>
      <c r="B63" s="9" t="s">
        <v>169</v>
      </c>
      <c r="C63" s="9" t="s">
        <v>170</v>
      </c>
      <c r="D63" s="9" t="s">
        <v>199</v>
      </c>
      <c r="E63" s="9" t="s">
        <v>200</v>
      </c>
      <c r="F63" s="9" t="s">
        <v>216</v>
      </c>
      <c r="G63" s="9" t="s">
        <v>217</v>
      </c>
      <c r="H63" s="9" t="s">
        <v>195</v>
      </c>
      <c r="I63" s="13" t="s">
        <v>67</v>
      </c>
      <c r="J63" s="13" t="s">
        <v>67</v>
      </c>
      <c r="K63" s="42" t="n">
        <v>0</v>
      </c>
      <c r="L63" s="13" t="s">
        <v>240</v>
      </c>
      <c r="M63" s="13" t="s">
        <v>29</v>
      </c>
      <c r="N63" s="13" t="s">
        <v>67</v>
      </c>
      <c r="O63" s="42" t="n">
        <v>0</v>
      </c>
    </row>
    <row r="64" customFormat="false" ht="15" hidden="false" customHeight="false" outlineLevel="0" collapsed="false">
      <c r="A64" s="9" t="s">
        <v>297</v>
      </c>
      <c r="B64" s="9" t="s">
        <v>169</v>
      </c>
      <c r="C64" s="9" t="s">
        <v>170</v>
      </c>
      <c r="D64" s="9" t="s">
        <v>199</v>
      </c>
      <c r="E64" s="9" t="s">
        <v>200</v>
      </c>
      <c r="F64" s="9" t="s">
        <v>219</v>
      </c>
      <c r="G64" s="9" t="s">
        <v>220</v>
      </c>
      <c r="H64" s="9" t="s">
        <v>195</v>
      </c>
      <c r="I64" s="13" t="s">
        <v>67</v>
      </c>
      <c r="J64" s="13" t="s">
        <v>67</v>
      </c>
      <c r="K64" s="42" t="n">
        <v>0</v>
      </c>
      <c r="L64" s="13" t="s">
        <v>240</v>
      </c>
      <c r="M64" s="13" t="s">
        <v>29</v>
      </c>
      <c r="N64" s="13" t="s">
        <v>67</v>
      </c>
      <c r="O64" s="42" t="n">
        <v>0</v>
      </c>
    </row>
    <row r="65" customFormat="false" ht="15" hidden="false" customHeight="false" outlineLevel="0" collapsed="false">
      <c r="A65" s="9" t="s">
        <v>298</v>
      </c>
      <c r="B65" s="9" t="s">
        <v>169</v>
      </c>
      <c r="C65" s="9" t="s">
        <v>170</v>
      </c>
      <c r="D65" s="9" t="s">
        <v>199</v>
      </c>
      <c r="E65" s="9" t="s">
        <v>200</v>
      </c>
      <c r="F65" s="9" t="s">
        <v>222</v>
      </c>
      <c r="G65" s="9" t="s">
        <v>223</v>
      </c>
      <c r="H65" s="9" t="s">
        <v>195</v>
      </c>
      <c r="I65" s="13" t="s">
        <v>67</v>
      </c>
      <c r="J65" s="13" t="s">
        <v>67</v>
      </c>
      <c r="K65" s="42" t="n">
        <v>0</v>
      </c>
      <c r="L65" s="13" t="s">
        <v>240</v>
      </c>
      <c r="M65" s="13" t="s">
        <v>29</v>
      </c>
      <c r="N65" s="13" t="s">
        <v>67</v>
      </c>
      <c r="O65" s="42" t="n">
        <v>0</v>
      </c>
    </row>
    <row r="66" customFormat="false" ht="15" hidden="false" customHeight="false" outlineLevel="0" collapsed="false">
      <c r="A66" s="9" t="s">
        <v>299</v>
      </c>
      <c r="B66" s="9" t="s">
        <v>169</v>
      </c>
      <c r="C66" s="9" t="s">
        <v>170</v>
      </c>
      <c r="D66" s="9" t="s">
        <v>199</v>
      </c>
      <c r="E66" s="9" t="s">
        <v>200</v>
      </c>
      <c r="F66" s="9" t="s">
        <v>225</v>
      </c>
      <c r="G66" s="9" t="s">
        <v>226</v>
      </c>
      <c r="H66" s="9" t="s">
        <v>195</v>
      </c>
      <c r="I66" s="13" t="s">
        <v>67</v>
      </c>
      <c r="J66" s="13" t="s">
        <v>67</v>
      </c>
      <c r="K66" s="42" t="n">
        <v>0</v>
      </c>
      <c r="L66" s="13" t="s">
        <v>240</v>
      </c>
      <c r="M66" s="13" t="s">
        <v>29</v>
      </c>
      <c r="N66" s="13" t="s">
        <v>67</v>
      </c>
      <c r="O66" s="42" t="n">
        <v>0</v>
      </c>
    </row>
    <row r="67" customFormat="false" ht="15" hidden="false" customHeight="false" outlineLevel="0" collapsed="false">
      <c r="A67" s="9" t="s">
        <v>300</v>
      </c>
      <c r="B67" s="9" t="s">
        <v>169</v>
      </c>
      <c r="C67" s="9" t="s">
        <v>170</v>
      </c>
      <c r="D67" s="9" t="s">
        <v>202</v>
      </c>
      <c r="E67" s="9" t="s">
        <v>203</v>
      </c>
      <c r="F67" s="9" t="s">
        <v>216</v>
      </c>
      <c r="G67" s="9" t="s">
        <v>217</v>
      </c>
      <c r="H67" s="9" t="s">
        <v>205</v>
      </c>
      <c r="I67" s="13" t="s">
        <v>67</v>
      </c>
      <c r="J67" s="13" t="s">
        <v>67</v>
      </c>
      <c r="K67" s="42" t="n">
        <v>0</v>
      </c>
      <c r="L67" s="13" t="s">
        <v>240</v>
      </c>
      <c r="M67" s="13" t="s">
        <v>29</v>
      </c>
      <c r="N67" s="13" t="s">
        <v>67</v>
      </c>
      <c r="O67" s="42" t="n">
        <v>0</v>
      </c>
    </row>
    <row r="68" customFormat="false" ht="15" hidden="false" customHeight="false" outlineLevel="0" collapsed="false">
      <c r="A68" s="9" t="s">
        <v>301</v>
      </c>
      <c r="B68" s="9" t="s">
        <v>169</v>
      </c>
      <c r="C68" s="9" t="s">
        <v>170</v>
      </c>
      <c r="D68" s="9" t="s">
        <v>202</v>
      </c>
      <c r="E68" s="9" t="s">
        <v>203</v>
      </c>
      <c r="F68" s="9" t="s">
        <v>219</v>
      </c>
      <c r="G68" s="9" t="s">
        <v>220</v>
      </c>
      <c r="H68" s="9" t="s">
        <v>205</v>
      </c>
      <c r="I68" s="13" t="s">
        <v>67</v>
      </c>
      <c r="J68" s="13" t="s">
        <v>67</v>
      </c>
      <c r="K68" s="42" t="n">
        <v>0</v>
      </c>
      <c r="L68" s="13" t="s">
        <v>240</v>
      </c>
      <c r="M68" s="13" t="s">
        <v>29</v>
      </c>
      <c r="N68" s="13" t="s">
        <v>67</v>
      </c>
      <c r="O68" s="42" t="n">
        <v>0</v>
      </c>
    </row>
    <row r="69" customFormat="false" ht="15" hidden="false" customHeight="false" outlineLevel="0" collapsed="false">
      <c r="A69" s="9" t="s">
        <v>302</v>
      </c>
      <c r="B69" s="9" t="s">
        <v>169</v>
      </c>
      <c r="C69" s="9" t="s">
        <v>170</v>
      </c>
      <c r="D69" s="9" t="s">
        <v>202</v>
      </c>
      <c r="E69" s="9" t="s">
        <v>203</v>
      </c>
      <c r="F69" s="9" t="s">
        <v>222</v>
      </c>
      <c r="G69" s="9" t="s">
        <v>223</v>
      </c>
      <c r="H69" s="9" t="s">
        <v>205</v>
      </c>
      <c r="I69" s="13" t="s">
        <v>67</v>
      </c>
      <c r="J69" s="13" t="s">
        <v>67</v>
      </c>
      <c r="K69" s="42" t="n">
        <v>0</v>
      </c>
      <c r="L69" s="13" t="s">
        <v>240</v>
      </c>
      <c r="M69" s="13" t="s">
        <v>29</v>
      </c>
      <c r="N69" s="13" t="s">
        <v>67</v>
      </c>
      <c r="O69" s="42" t="n">
        <v>0</v>
      </c>
    </row>
    <row r="70" customFormat="false" ht="15" hidden="false" customHeight="false" outlineLevel="0" collapsed="false">
      <c r="A70" s="9" t="s">
        <v>303</v>
      </c>
      <c r="B70" s="9" t="s">
        <v>169</v>
      </c>
      <c r="C70" s="9" t="s">
        <v>170</v>
      </c>
      <c r="D70" s="9" t="s">
        <v>202</v>
      </c>
      <c r="E70" s="9" t="s">
        <v>203</v>
      </c>
      <c r="F70" s="9" t="s">
        <v>225</v>
      </c>
      <c r="G70" s="9" t="s">
        <v>226</v>
      </c>
      <c r="H70" s="9" t="s">
        <v>205</v>
      </c>
      <c r="I70" s="13" t="s">
        <v>67</v>
      </c>
      <c r="J70" s="13" t="s">
        <v>67</v>
      </c>
      <c r="K70" s="42" t="n">
        <v>0</v>
      </c>
      <c r="L70" s="13" t="s">
        <v>240</v>
      </c>
      <c r="M70" s="13" t="s">
        <v>29</v>
      </c>
      <c r="N70" s="13" t="s">
        <v>67</v>
      </c>
      <c r="O70" s="42" t="n">
        <v>0</v>
      </c>
    </row>
    <row r="71" customFormat="false" ht="15" hidden="false" customHeight="false" outlineLevel="0" collapsed="false">
      <c r="A71" s="9" t="s">
        <v>304</v>
      </c>
      <c r="B71" s="9" t="s">
        <v>169</v>
      </c>
      <c r="C71" s="9" t="s">
        <v>170</v>
      </c>
      <c r="D71" s="9" t="s">
        <v>206</v>
      </c>
      <c r="E71" s="9" t="s">
        <v>207</v>
      </c>
      <c r="F71" s="9" t="s">
        <v>216</v>
      </c>
      <c r="G71" s="9" t="s">
        <v>217</v>
      </c>
      <c r="H71" s="9" t="s">
        <v>195</v>
      </c>
      <c r="I71" s="13" t="s">
        <v>67</v>
      </c>
      <c r="J71" s="13" t="s">
        <v>67</v>
      </c>
      <c r="K71" s="42" t="n">
        <v>0</v>
      </c>
      <c r="L71" s="13" t="s">
        <v>240</v>
      </c>
      <c r="M71" s="13" t="s">
        <v>29</v>
      </c>
      <c r="N71" s="13" t="s">
        <v>67</v>
      </c>
      <c r="O71" s="42" t="n">
        <v>0</v>
      </c>
    </row>
    <row r="72" customFormat="false" ht="15" hidden="false" customHeight="false" outlineLevel="0" collapsed="false">
      <c r="A72" s="9" t="s">
        <v>305</v>
      </c>
      <c r="B72" s="9" t="s">
        <v>169</v>
      </c>
      <c r="C72" s="9" t="s">
        <v>170</v>
      </c>
      <c r="D72" s="9" t="s">
        <v>206</v>
      </c>
      <c r="E72" s="9" t="s">
        <v>207</v>
      </c>
      <c r="F72" s="9" t="s">
        <v>219</v>
      </c>
      <c r="G72" s="9" t="s">
        <v>220</v>
      </c>
      <c r="H72" s="9" t="s">
        <v>195</v>
      </c>
      <c r="I72" s="13" t="s">
        <v>67</v>
      </c>
      <c r="J72" s="13" t="s">
        <v>67</v>
      </c>
      <c r="K72" s="42" t="n">
        <v>0</v>
      </c>
      <c r="L72" s="13" t="s">
        <v>240</v>
      </c>
      <c r="M72" s="13" t="s">
        <v>29</v>
      </c>
      <c r="N72" s="13" t="s">
        <v>67</v>
      </c>
      <c r="O72" s="42" t="n">
        <v>0</v>
      </c>
    </row>
    <row r="73" customFormat="false" ht="15" hidden="false" customHeight="false" outlineLevel="0" collapsed="false">
      <c r="A73" s="9" t="s">
        <v>306</v>
      </c>
      <c r="B73" s="9" t="s">
        <v>169</v>
      </c>
      <c r="C73" s="9" t="s">
        <v>170</v>
      </c>
      <c r="D73" s="9" t="s">
        <v>206</v>
      </c>
      <c r="E73" s="9" t="s">
        <v>207</v>
      </c>
      <c r="F73" s="9" t="s">
        <v>222</v>
      </c>
      <c r="G73" s="9" t="s">
        <v>223</v>
      </c>
      <c r="H73" s="9" t="s">
        <v>195</v>
      </c>
      <c r="I73" s="13" t="s">
        <v>67</v>
      </c>
      <c r="J73" s="13" t="s">
        <v>67</v>
      </c>
      <c r="K73" s="42" t="n">
        <v>0</v>
      </c>
      <c r="L73" s="13" t="s">
        <v>240</v>
      </c>
      <c r="M73" s="13" t="s">
        <v>29</v>
      </c>
      <c r="N73" s="13" t="s">
        <v>67</v>
      </c>
      <c r="O73" s="42" t="n">
        <v>0</v>
      </c>
    </row>
    <row r="74" customFormat="false" ht="15" hidden="false" customHeight="false" outlineLevel="0" collapsed="false">
      <c r="A74" s="9" t="s">
        <v>307</v>
      </c>
      <c r="B74" s="9" t="s">
        <v>169</v>
      </c>
      <c r="C74" s="9" t="s">
        <v>170</v>
      </c>
      <c r="D74" s="9" t="s">
        <v>206</v>
      </c>
      <c r="E74" s="9" t="s">
        <v>207</v>
      </c>
      <c r="F74" s="9" t="s">
        <v>225</v>
      </c>
      <c r="G74" s="9" t="s">
        <v>226</v>
      </c>
      <c r="H74" s="9" t="s">
        <v>195</v>
      </c>
      <c r="I74" s="13" t="s">
        <v>67</v>
      </c>
      <c r="J74" s="13" t="s">
        <v>67</v>
      </c>
      <c r="K74" s="42" t="n">
        <v>0</v>
      </c>
      <c r="L74" s="13" t="s">
        <v>240</v>
      </c>
      <c r="M74" s="13" t="s">
        <v>29</v>
      </c>
      <c r="N74" s="13" t="s">
        <v>67</v>
      </c>
      <c r="O74" s="42" t="n">
        <v>0</v>
      </c>
    </row>
    <row r="75" customFormat="false" ht="15" hidden="false" customHeight="false" outlineLevel="0" collapsed="false">
      <c r="A75" s="9" t="s">
        <v>308</v>
      </c>
      <c r="B75" s="9" t="s">
        <v>169</v>
      </c>
      <c r="C75" s="9" t="s">
        <v>170</v>
      </c>
      <c r="D75" s="9" t="s">
        <v>209</v>
      </c>
      <c r="E75" s="9" t="s">
        <v>210</v>
      </c>
      <c r="F75" s="9" t="s">
        <v>216</v>
      </c>
      <c r="G75" s="9" t="s">
        <v>217</v>
      </c>
      <c r="H75" s="9" t="s">
        <v>205</v>
      </c>
      <c r="I75" s="13" t="s">
        <v>67</v>
      </c>
      <c r="J75" s="13" t="s">
        <v>67</v>
      </c>
      <c r="K75" s="42" t="n">
        <v>0</v>
      </c>
      <c r="L75" s="13" t="s">
        <v>240</v>
      </c>
      <c r="M75" s="13" t="s">
        <v>29</v>
      </c>
      <c r="N75" s="13" t="s">
        <v>67</v>
      </c>
      <c r="O75" s="42" t="n">
        <v>0</v>
      </c>
    </row>
    <row r="76" customFormat="false" ht="15" hidden="false" customHeight="false" outlineLevel="0" collapsed="false">
      <c r="A76" s="9" t="s">
        <v>309</v>
      </c>
      <c r="B76" s="9" t="s">
        <v>169</v>
      </c>
      <c r="C76" s="9" t="s">
        <v>170</v>
      </c>
      <c r="D76" s="9" t="s">
        <v>209</v>
      </c>
      <c r="E76" s="9" t="s">
        <v>210</v>
      </c>
      <c r="F76" s="9" t="s">
        <v>219</v>
      </c>
      <c r="G76" s="9" t="s">
        <v>220</v>
      </c>
      <c r="H76" s="9" t="s">
        <v>205</v>
      </c>
      <c r="I76" s="13" t="s">
        <v>67</v>
      </c>
      <c r="J76" s="13" t="s">
        <v>67</v>
      </c>
      <c r="K76" s="42" t="n">
        <v>0</v>
      </c>
      <c r="L76" s="13" t="s">
        <v>240</v>
      </c>
      <c r="M76" s="13" t="s">
        <v>29</v>
      </c>
      <c r="N76" s="13" t="s">
        <v>67</v>
      </c>
      <c r="O76" s="42" t="n">
        <v>0</v>
      </c>
    </row>
    <row r="77" customFormat="false" ht="15" hidden="false" customHeight="false" outlineLevel="0" collapsed="false">
      <c r="A77" s="9" t="s">
        <v>310</v>
      </c>
      <c r="B77" s="9" t="s">
        <v>169</v>
      </c>
      <c r="C77" s="9" t="s">
        <v>170</v>
      </c>
      <c r="D77" s="9" t="s">
        <v>209</v>
      </c>
      <c r="E77" s="9" t="s">
        <v>210</v>
      </c>
      <c r="F77" s="9" t="s">
        <v>222</v>
      </c>
      <c r="G77" s="9" t="s">
        <v>223</v>
      </c>
      <c r="H77" s="9" t="s">
        <v>205</v>
      </c>
      <c r="I77" s="13" t="s">
        <v>67</v>
      </c>
      <c r="J77" s="13" t="s">
        <v>67</v>
      </c>
      <c r="K77" s="42" t="n">
        <v>0</v>
      </c>
      <c r="L77" s="13" t="s">
        <v>240</v>
      </c>
      <c r="M77" s="13" t="s">
        <v>29</v>
      </c>
      <c r="N77" s="13" t="s">
        <v>67</v>
      </c>
      <c r="O77" s="42" t="n">
        <v>0</v>
      </c>
    </row>
    <row r="78" customFormat="false" ht="15" hidden="false" customHeight="false" outlineLevel="0" collapsed="false">
      <c r="A78" s="9" t="s">
        <v>311</v>
      </c>
      <c r="B78" s="9" t="s">
        <v>169</v>
      </c>
      <c r="C78" s="9" t="s">
        <v>170</v>
      </c>
      <c r="D78" s="9" t="s">
        <v>209</v>
      </c>
      <c r="E78" s="9" t="s">
        <v>210</v>
      </c>
      <c r="F78" s="9" t="s">
        <v>225</v>
      </c>
      <c r="G78" s="9" t="s">
        <v>226</v>
      </c>
      <c r="H78" s="9" t="s">
        <v>205</v>
      </c>
      <c r="I78" s="13" t="s">
        <v>67</v>
      </c>
      <c r="J78" s="13" t="s">
        <v>67</v>
      </c>
      <c r="K78" s="42" t="n">
        <v>0</v>
      </c>
      <c r="L78" s="13" t="s">
        <v>240</v>
      </c>
      <c r="M78" s="13" t="s">
        <v>29</v>
      </c>
      <c r="N78" s="13" t="s">
        <v>67</v>
      </c>
      <c r="O78" s="42" t="n">
        <v>0</v>
      </c>
    </row>
    <row r="79" customFormat="false" ht="15" hidden="false" customHeight="false" outlineLevel="0" collapsed="false">
      <c r="A79" s="9" t="s">
        <v>312</v>
      </c>
      <c r="B79" s="9" t="s">
        <v>173</v>
      </c>
      <c r="C79" s="9" t="s">
        <v>174</v>
      </c>
      <c r="D79" s="9" t="s">
        <v>192</v>
      </c>
      <c r="E79" s="9" t="s">
        <v>193</v>
      </c>
      <c r="F79" s="9" t="s">
        <v>216</v>
      </c>
      <c r="G79" s="9" t="s">
        <v>217</v>
      </c>
      <c r="H79" s="9" t="s">
        <v>195</v>
      </c>
      <c r="I79" s="13" t="s">
        <v>67</v>
      </c>
      <c r="J79" s="13" t="s">
        <v>67</v>
      </c>
      <c r="K79" s="42" t="n">
        <v>0</v>
      </c>
      <c r="L79" s="13" t="s">
        <v>240</v>
      </c>
      <c r="M79" s="13" t="s">
        <v>29</v>
      </c>
      <c r="N79" s="13" t="s">
        <v>67</v>
      </c>
      <c r="O79" s="42" t="n">
        <v>0</v>
      </c>
    </row>
    <row r="80" customFormat="false" ht="15" hidden="false" customHeight="false" outlineLevel="0" collapsed="false">
      <c r="A80" s="9" t="s">
        <v>313</v>
      </c>
      <c r="B80" s="9" t="s">
        <v>173</v>
      </c>
      <c r="C80" s="9" t="s">
        <v>174</v>
      </c>
      <c r="D80" s="9" t="s">
        <v>192</v>
      </c>
      <c r="E80" s="9" t="s">
        <v>193</v>
      </c>
      <c r="F80" s="9" t="s">
        <v>219</v>
      </c>
      <c r="G80" s="9" t="s">
        <v>220</v>
      </c>
      <c r="H80" s="9" t="s">
        <v>195</v>
      </c>
      <c r="I80" s="13" t="s">
        <v>67</v>
      </c>
      <c r="J80" s="13" t="s">
        <v>67</v>
      </c>
      <c r="K80" s="42" t="n">
        <v>0</v>
      </c>
      <c r="L80" s="13" t="s">
        <v>240</v>
      </c>
      <c r="M80" s="13" t="s">
        <v>29</v>
      </c>
      <c r="N80" s="13" t="s">
        <v>67</v>
      </c>
      <c r="O80" s="42" t="n">
        <v>0</v>
      </c>
    </row>
    <row r="81" customFormat="false" ht="15" hidden="false" customHeight="false" outlineLevel="0" collapsed="false">
      <c r="A81" s="9" t="s">
        <v>314</v>
      </c>
      <c r="B81" s="9" t="s">
        <v>173</v>
      </c>
      <c r="C81" s="9" t="s">
        <v>174</v>
      </c>
      <c r="D81" s="9" t="s">
        <v>192</v>
      </c>
      <c r="E81" s="9" t="s">
        <v>193</v>
      </c>
      <c r="F81" s="9" t="s">
        <v>222</v>
      </c>
      <c r="G81" s="9" t="s">
        <v>223</v>
      </c>
      <c r="H81" s="9" t="s">
        <v>195</v>
      </c>
      <c r="I81" s="13" t="s">
        <v>67</v>
      </c>
      <c r="J81" s="13" t="s">
        <v>67</v>
      </c>
      <c r="K81" s="42" t="n">
        <v>0</v>
      </c>
      <c r="L81" s="13" t="s">
        <v>240</v>
      </c>
      <c r="M81" s="13" t="s">
        <v>29</v>
      </c>
      <c r="N81" s="13" t="s">
        <v>67</v>
      </c>
      <c r="O81" s="42" t="n">
        <v>0</v>
      </c>
    </row>
    <row r="82" customFormat="false" ht="15" hidden="false" customHeight="false" outlineLevel="0" collapsed="false">
      <c r="A82" s="9" t="s">
        <v>315</v>
      </c>
      <c r="B82" s="9" t="s">
        <v>173</v>
      </c>
      <c r="C82" s="9" t="s">
        <v>174</v>
      </c>
      <c r="D82" s="9" t="s">
        <v>192</v>
      </c>
      <c r="E82" s="9" t="s">
        <v>193</v>
      </c>
      <c r="F82" s="9" t="s">
        <v>225</v>
      </c>
      <c r="G82" s="9" t="s">
        <v>226</v>
      </c>
      <c r="H82" s="9" t="s">
        <v>195</v>
      </c>
      <c r="I82" s="13" t="s">
        <v>67</v>
      </c>
      <c r="J82" s="13" t="s">
        <v>67</v>
      </c>
      <c r="K82" s="42" t="n">
        <v>0</v>
      </c>
      <c r="L82" s="13" t="s">
        <v>240</v>
      </c>
      <c r="M82" s="13" t="s">
        <v>29</v>
      </c>
      <c r="N82" s="13" t="s">
        <v>67</v>
      </c>
      <c r="O82" s="42" t="n">
        <v>0</v>
      </c>
    </row>
    <row r="83" customFormat="false" ht="15" hidden="false" customHeight="false" outlineLevel="0" collapsed="false">
      <c r="A83" s="9" t="s">
        <v>316</v>
      </c>
      <c r="B83" s="9" t="s">
        <v>173</v>
      </c>
      <c r="C83" s="9" t="s">
        <v>174</v>
      </c>
      <c r="D83" s="9" t="s">
        <v>196</v>
      </c>
      <c r="E83" s="9" t="s">
        <v>197</v>
      </c>
      <c r="F83" s="9" t="s">
        <v>216</v>
      </c>
      <c r="G83" s="9" t="s">
        <v>217</v>
      </c>
      <c r="H83" s="9" t="s">
        <v>195</v>
      </c>
      <c r="I83" s="13" t="s">
        <v>67</v>
      </c>
      <c r="J83" s="13" t="s">
        <v>67</v>
      </c>
      <c r="K83" s="42" t="n">
        <v>0</v>
      </c>
      <c r="L83" s="13" t="s">
        <v>240</v>
      </c>
      <c r="M83" s="13" t="s">
        <v>29</v>
      </c>
      <c r="N83" s="13" t="s">
        <v>67</v>
      </c>
      <c r="O83" s="42" t="n">
        <v>0</v>
      </c>
    </row>
    <row r="84" customFormat="false" ht="15" hidden="false" customHeight="false" outlineLevel="0" collapsed="false">
      <c r="A84" s="9" t="s">
        <v>317</v>
      </c>
      <c r="B84" s="9" t="s">
        <v>173</v>
      </c>
      <c r="C84" s="9" t="s">
        <v>174</v>
      </c>
      <c r="D84" s="9" t="s">
        <v>196</v>
      </c>
      <c r="E84" s="9" t="s">
        <v>197</v>
      </c>
      <c r="F84" s="9" t="s">
        <v>219</v>
      </c>
      <c r="G84" s="9" t="s">
        <v>220</v>
      </c>
      <c r="H84" s="9" t="s">
        <v>195</v>
      </c>
      <c r="I84" s="13" t="s">
        <v>67</v>
      </c>
      <c r="J84" s="13" t="s">
        <v>67</v>
      </c>
      <c r="K84" s="42" t="n">
        <v>0</v>
      </c>
      <c r="L84" s="13" t="s">
        <v>240</v>
      </c>
      <c r="M84" s="13" t="s">
        <v>29</v>
      </c>
      <c r="N84" s="13" t="s">
        <v>67</v>
      </c>
      <c r="O84" s="42" t="n">
        <v>0</v>
      </c>
    </row>
    <row r="85" customFormat="false" ht="15" hidden="false" customHeight="false" outlineLevel="0" collapsed="false">
      <c r="A85" s="9" t="s">
        <v>318</v>
      </c>
      <c r="B85" s="9" t="s">
        <v>173</v>
      </c>
      <c r="C85" s="9" t="s">
        <v>174</v>
      </c>
      <c r="D85" s="9" t="s">
        <v>196</v>
      </c>
      <c r="E85" s="9" t="s">
        <v>197</v>
      </c>
      <c r="F85" s="9" t="s">
        <v>222</v>
      </c>
      <c r="G85" s="9" t="s">
        <v>223</v>
      </c>
      <c r="H85" s="9" t="s">
        <v>195</v>
      </c>
      <c r="I85" s="13" t="s">
        <v>67</v>
      </c>
      <c r="J85" s="13" t="s">
        <v>67</v>
      </c>
      <c r="K85" s="42" t="n">
        <v>0</v>
      </c>
      <c r="L85" s="13" t="s">
        <v>240</v>
      </c>
      <c r="M85" s="13" t="s">
        <v>29</v>
      </c>
      <c r="N85" s="13" t="s">
        <v>67</v>
      </c>
      <c r="O85" s="42" t="n">
        <v>0</v>
      </c>
    </row>
    <row r="86" customFormat="false" ht="15" hidden="false" customHeight="false" outlineLevel="0" collapsed="false">
      <c r="A86" s="9" t="s">
        <v>319</v>
      </c>
      <c r="B86" s="9" t="s">
        <v>173</v>
      </c>
      <c r="C86" s="9" t="s">
        <v>174</v>
      </c>
      <c r="D86" s="9" t="s">
        <v>196</v>
      </c>
      <c r="E86" s="9" t="s">
        <v>197</v>
      </c>
      <c r="F86" s="9" t="s">
        <v>225</v>
      </c>
      <c r="G86" s="9" t="s">
        <v>226</v>
      </c>
      <c r="H86" s="9" t="s">
        <v>195</v>
      </c>
      <c r="I86" s="13" t="s">
        <v>67</v>
      </c>
      <c r="J86" s="13" t="s">
        <v>67</v>
      </c>
      <c r="K86" s="42" t="n">
        <v>0</v>
      </c>
      <c r="L86" s="13" t="s">
        <v>240</v>
      </c>
      <c r="M86" s="13" t="s">
        <v>29</v>
      </c>
      <c r="N86" s="13" t="s">
        <v>67</v>
      </c>
      <c r="O86" s="42" t="n">
        <v>0</v>
      </c>
    </row>
    <row r="87" customFormat="false" ht="15" hidden="false" customHeight="false" outlineLevel="0" collapsed="false">
      <c r="A87" s="9" t="s">
        <v>320</v>
      </c>
      <c r="B87" s="9" t="s">
        <v>173</v>
      </c>
      <c r="C87" s="9" t="s">
        <v>174</v>
      </c>
      <c r="D87" s="9" t="s">
        <v>199</v>
      </c>
      <c r="E87" s="9" t="s">
        <v>200</v>
      </c>
      <c r="F87" s="9" t="s">
        <v>216</v>
      </c>
      <c r="G87" s="9" t="s">
        <v>217</v>
      </c>
      <c r="H87" s="9" t="s">
        <v>195</v>
      </c>
      <c r="I87" s="13" t="s">
        <v>67</v>
      </c>
      <c r="J87" s="13" t="s">
        <v>67</v>
      </c>
      <c r="K87" s="42" t="n">
        <v>0</v>
      </c>
      <c r="L87" s="13" t="s">
        <v>240</v>
      </c>
      <c r="M87" s="13" t="s">
        <v>29</v>
      </c>
      <c r="N87" s="13" t="s">
        <v>67</v>
      </c>
      <c r="O87" s="42" t="n">
        <v>0</v>
      </c>
    </row>
    <row r="88" customFormat="false" ht="15" hidden="false" customHeight="false" outlineLevel="0" collapsed="false">
      <c r="A88" s="9" t="s">
        <v>321</v>
      </c>
      <c r="B88" s="9" t="s">
        <v>173</v>
      </c>
      <c r="C88" s="9" t="s">
        <v>174</v>
      </c>
      <c r="D88" s="9" t="s">
        <v>199</v>
      </c>
      <c r="E88" s="9" t="s">
        <v>200</v>
      </c>
      <c r="F88" s="9" t="s">
        <v>219</v>
      </c>
      <c r="G88" s="9" t="s">
        <v>220</v>
      </c>
      <c r="H88" s="9" t="s">
        <v>195</v>
      </c>
      <c r="I88" s="13" t="s">
        <v>67</v>
      </c>
      <c r="J88" s="13" t="s">
        <v>67</v>
      </c>
      <c r="K88" s="42" t="n">
        <v>0</v>
      </c>
      <c r="L88" s="13" t="s">
        <v>240</v>
      </c>
      <c r="M88" s="13" t="s">
        <v>29</v>
      </c>
      <c r="N88" s="13" t="s">
        <v>67</v>
      </c>
      <c r="O88" s="42" t="n">
        <v>0</v>
      </c>
    </row>
    <row r="89" customFormat="false" ht="15" hidden="false" customHeight="false" outlineLevel="0" collapsed="false">
      <c r="A89" s="9" t="s">
        <v>322</v>
      </c>
      <c r="B89" s="9" t="s">
        <v>173</v>
      </c>
      <c r="C89" s="9" t="s">
        <v>174</v>
      </c>
      <c r="D89" s="9" t="s">
        <v>199</v>
      </c>
      <c r="E89" s="9" t="s">
        <v>200</v>
      </c>
      <c r="F89" s="9" t="s">
        <v>222</v>
      </c>
      <c r="G89" s="9" t="s">
        <v>223</v>
      </c>
      <c r="H89" s="9" t="s">
        <v>195</v>
      </c>
      <c r="I89" s="13" t="s">
        <v>67</v>
      </c>
      <c r="J89" s="13" t="s">
        <v>67</v>
      </c>
      <c r="K89" s="42" t="n">
        <v>0</v>
      </c>
      <c r="L89" s="13" t="s">
        <v>240</v>
      </c>
      <c r="M89" s="13" t="s">
        <v>29</v>
      </c>
      <c r="N89" s="13" t="s">
        <v>67</v>
      </c>
      <c r="O89" s="42" t="n">
        <v>0</v>
      </c>
    </row>
    <row r="90" customFormat="false" ht="15" hidden="false" customHeight="false" outlineLevel="0" collapsed="false">
      <c r="A90" s="9" t="s">
        <v>323</v>
      </c>
      <c r="B90" s="9" t="s">
        <v>173</v>
      </c>
      <c r="C90" s="9" t="s">
        <v>174</v>
      </c>
      <c r="D90" s="9" t="s">
        <v>199</v>
      </c>
      <c r="E90" s="9" t="s">
        <v>200</v>
      </c>
      <c r="F90" s="9" t="s">
        <v>225</v>
      </c>
      <c r="G90" s="9" t="s">
        <v>226</v>
      </c>
      <c r="H90" s="9" t="s">
        <v>195</v>
      </c>
      <c r="I90" s="13" t="s">
        <v>67</v>
      </c>
      <c r="J90" s="13" t="s">
        <v>67</v>
      </c>
      <c r="K90" s="42" t="n">
        <v>0</v>
      </c>
      <c r="L90" s="13" t="s">
        <v>240</v>
      </c>
      <c r="M90" s="13" t="s">
        <v>29</v>
      </c>
      <c r="N90" s="13" t="s">
        <v>67</v>
      </c>
      <c r="O90" s="42" t="n">
        <v>0</v>
      </c>
    </row>
    <row r="91" customFormat="false" ht="15" hidden="false" customHeight="false" outlineLevel="0" collapsed="false">
      <c r="A91" s="9" t="s">
        <v>324</v>
      </c>
      <c r="B91" s="9" t="s">
        <v>173</v>
      </c>
      <c r="C91" s="9" t="s">
        <v>174</v>
      </c>
      <c r="D91" s="9" t="s">
        <v>202</v>
      </c>
      <c r="E91" s="9" t="s">
        <v>203</v>
      </c>
      <c r="F91" s="9" t="s">
        <v>216</v>
      </c>
      <c r="G91" s="9" t="s">
        <v>217</v>
      </c>
      <c r="H91" s="9" t="s">
        <v>205</v>
      </c>
      <c r="I91" s="13" t="s">
        <v>67</v>
      </c>
      <c r="J91" s="13" t="s">
        <v>67</v>
      </c>
      <c r="K91" s="42" t="n">
        <v>0</v>
      </c>
      <c r="L91" s="13" t="s">
        <v>240</v>
      </c>
      <c r="M91" s="13" t="s">
        <v>29</v>
      </c>
      <c r="N91" s="13" t="s">
        <v>67</v>
      </c>
      <c r="O91" s="42" t="n">
        <v>0</v>
      </c>
    </row>
    <row r="92" customFormat="false" ht="15" hidden="false" customHeight="false" outlineLevel="0" collapsed="false">
      <c r="A92" s="9" t="s">
        <v>325</v>
      </c>
      <c r="B92" s="9" t="s">
        <v>173</v>
      </c>
      <c r="C92" s="9" t="s">
        <v>174</v>
      </c>
      <c r="D92" s="9" t="s">
        <v>202</v>
      </c>
      <c r="E92" s="9" t="s">
        <v>203</v>
      </c>
      <c r="F92" s="9" t="s">
        <v>219</v>
      </c>
      <c r="G92" s="9" t="s">
        <v>220</v>
      </c>
      <c r="H92" s="9" t="s">
        <v>205</v>
      </c>
      <c r="I92" s="13" t="s">
        <v>67</v>
      </c>
      <c r="J92" s="13" t="s">
        <v>67</v>
      </c>
      <c r="K92" s="42" t="n">
        <v>0</v>
      </c>
      <c r="L92" s="13" t="s">
        <v>240</v>
      </c>
      <c r="M92" s="13" t="s">
        <v>29</v>
      </c>
      <c r="N92" s="13" t="s">
        <v>67</v>
      </c>
      <c r="O92" s="42" t="n">
        <v>0</v>
      </c>
    </row>
    <row r="93" customFormat="false" ht="15" hidden="false" customHeight="false" outlineLevel="0" collapsed="false">
      <c r="A93" s="9" t="s">
        <v>326</v>
      </c>
      <c r="B93" s="9" t="s">
        <v>173</v>
      </c>
      <c r="C93" s="9" t="s">
        <v>174</v>
      </c>
      <c r="D93" s="9" t="s">
        <v>202</v>
      </c>
      <c r="E93" s="9" t="s">
        <v>203</v>
      </c>
      <c r="F93" s="9" t="s">
        <v>222</v>
      </c>
      <c r="G93" s="9" t="s">
        <v>223</v>
      </c>
      <c r="H93" s="9" t="s">
        <v>205</v>
      </c>
      <c r="I93" s="13" t="s">
        <v>67</v>
      </c>
      <c r="J93" s="13" t="s">
        <v>67</v>
      </c>
      <c r="K93" s="42" t="n">
        <v>0</v>
      </c>
      <c r="L93" s="13" t="s">
        <v>240</v>
      </c>
      <c r="M93" s="13" t="s">
        <v>29</v>
      </c>
      <c r="N93" s="13" t="s">
        <v>67</v>
      </c>
      <c r="O93" s="42" t="n">
        <v>0</v>
      </c>
    </row>
    <row r="94" customFormat="false" ht="15" hidden="false" customHeight="false" outlineLevel="0" collapsed="false">
      <c r="A94" s="9" t="s">
        <v>327</v>
      </c>
      <c r="B94" s="9" t="s">
        <v>173</v>
      </c>
      <c r="C94" s="9" t="s">
        <v>174</v>
      </c>
      <c r="D94" s="9" t="s">
        <v>202</v>
      </c>
      <c r="E94" s="9" t="s">
        <v>203</v>
      </c>
      <c r="F94" s="9" t="s">
        <v>225</v>
      </c>
      <c r="G94" s="9" t="s">
        <v>226</v>
      </c>
      <c r="H94" s="9" t="s">
        <v>205</v>
      </c>
      <c r="I94" s="13" t="s">
        <v>67</v>
      </c>
      <c r="J94" s="13" t="s">
        <v>67</v>
      </c>
      <c r="K94" s="42" t="n">
        <v>0</v>
      </c>
      <c r="L94" s="13" t="s">
        <v>240</v>
      </c>
      <c r="M94" s="13" t="s">
        <v>29</v>
      </c>
      <c r="N94" s="13" t="s">
        <v>67</v>
      </c>
      <c r="O94" s="42" t="n">
        <v>0</v>
      </c>
    </row>
    <row r="95" customFormat="false" ht="15" hidden="false" customHeight="false" outlineLevel="0" collapsed="false">
      <c r="A95" s="9" t="s">
        <v>328</v>
      </c>
      <c r="B95" s="9" t="s">
        <v>173</v>
      </c>
      <c r="C95" s="9" t="s">
        <v>174</v>
      </c>
      <c r="D95" s="9" t="s">
        <v>206</v>
      </c>
      <c r="E95" s="9" t="s">
        <v>207</v>
      </c>
      <c r="F95" s="9" t="s">
        <v>216</v>
      </c>
      <c r="G95" s="9" t="s">
        <v>217</v>
      </c>
      <c r="H95" s="9" t="s">
        <v>195</v>
      </c>
      <c r="I95" s="13" t="s">
        <v>67</v>
      </c>
      <c r="J95" s="13" t="s">
        <v>67</v>
      </c>
      <c r="K95" s="42" t="n">
        <v>0</v>
      </c>
      <c r="L95" s="13" t="s">
        <v>240</v>
      </c>
      <c r="M95" s="13" t="s">
        <v>29</v>
      </c>
      <c r="N95" s="13" t="s">
        <v>67</v>
      </c>
      <c r="O95" s="42" t="n">
        <v>0</v>
      </c>
    </row>
    <row r="96" customFormat="false" ht="15" hidden="false" customHeight="false" outlineLevel="0" collapsed="false">
      <c r="A96" s="9" t="s">
        <v>329</v>
      </c>
      <c r="B96" s="9" t="s">
        <v>173</v>
      </c>
      <c r="C96" s="9" t="s">
        <v>174</v>
      </c>
      <c r="D96" s="9" t="s">
        <v>206</v>
      </c>
      <c r="E96" s="9" t="s">
        <v>207</v>
      </c>
      <c r="F96" s="9" t="s">
        <v>219</v>
      </c>
      <c r="G96" s="9" t="s">
        <v>220</v>
      </c>
      <c r="H96" s="9" t="s">
        <v>195</v>
      </c>
      <c r="I96" s="13" t="s">
        <v>67</v>
      </c>
      <c r="J96" s="13" t="s">
        <v>67</v>
      </c>
      <c r="K96" s="42" t="n">
        <v>0</v>
      </c>
      <c r="L96" s="13" t="s">
        <v>240</v>
      </c>
      <c r="M96" s="13" t="s">
        <v>29</v>
      </c>
      <c r="N96" s="13" t="s">
        <v>67</v>
      </c>
      <c r="O96" s="42" t="n">
        <v>0</v>
      </c>
    </row>
    <row r="97" customFormat="false" ht="15" hidden="false" customHeight="false" outlineLevel="0" collapsed="false">
      <c r="A97" s="9" t="s">
        <v>330</v>
      </c>
      <c r="B97" s="9" t="s">
        <v>173</v>
      </c>
      <c r="C97" s="9" t="s">
        <v>174</v>
      </c>
      <c r="D97" s="9" t="s">
        <v>206</v>
      </c>
      <c r="E97" s="9" t="s">
        <v>207</v>
      </c>
      <c r="F97" s="9" t="s">
        <v>222</v>
      </c>
      <c r="G97" s="9" t="s">
        <v>223</v>
      </c>
      <c r="H97" s="9" t="s">
        <v>195</v>
      </c>
      <c r="I97" s="13" t="s">
        <v>67</v>
      </c>
      <c r="J97" s="13" t="s">
        <v>67</v>
      </c>
      <c r="K97" s="42" t="n">
        <v>0</v>
      </c>
      <c r="L97" s="13" t="s">
        <v>240</v>
      </c>
      <c r="M97" s="13" t="s">
        <v>29</v>
      </c>
      <c r="N97" s="13" t="s">
        <v>67</v>
      </c>
      <c r="O97" s="42" t="n">
        <v>0</v>
      </c>
    </row>
    <row r="98" customFormat="false" ht="15" hidden="false" customHeight="false" outlineLevel="0" collapsed="false">
      <c r="A98" s="9" t="s">
        <v>331</v>
      </c>
      <c r="B98" s="9" t="s">
        <v>173</v>
      </c>
      <c r="C98" s="9" t="s">
        <v>174</v>
      </c>
      <c r="D98" s="9" t="s">
        <v>206</v>
      </c>
      <c r="E98" s="9" t="s">
        <v>207</v>
      </c>
      <c r="F98" s="9" t="s">
        <v>225</v>
      </c>
      <c r="G98" s="9" t="s">
        <v>226</v>
      </c>
      <c r="H98" s="9" t="s">
        <v>195</v>
      </c>
      <c r="I98" s="13" t="s">
        <v>67</v>
      </c>
      <c r="J98" s="13" t="s">
        <v>67</v>
      </c>
      <c r="K98" s="42" t="n">
        <v>0</v>
      </c>
      <c r="L98" s="13" t="s">
        <v>240</v>
      </c>
      <c r="M98" s="13" t="s">
        <v>29</v>
      </c>
      <c r="N98" s="13" t="s">
        <v>67</v>
      </c>
      <c r="O98" s="42" t="n">
        <v>0</v>
      </c>
    </row>
    <row r="99" customFormat="false" ht="15" hidden="false" customHeight="false" outlineLevel="0" collapsed="false">
      <c r="A99" s="9" t="s">
        <v>332</v>
      </c>
      <c r="B99" s="9" t="s">
        <v>173</v>
      </c>
      <c r="C99" s="9" t="s">
        <v>174</v>
      </c>
      <c r="D99" s="9" t="s">
        <v>209</v>
      </c>
      <c r="E99" s="9" t="s">
        <v>210</v>
      </c>
      <c r="F99" s="9" t="s">
        <v>216</v>
      </c>
      <c r="G99" s="9" t="s">
        <v>217</v>
      </c>
      <c r="H99" s="9" t="s">
        <v>205</v>
      </c>
      <c r="I99" s="13" t="s">
        <v>67</v>
      </c>
      <c r="J99" s="13" t="s">
        <v>67</v>
      </c>
      <c r="K99" s="42" t="n">
        <v>0</v>
      </c>
      <c r="L99" s="13" t="s">
        <v>240</v>
      </c>
      <c r="M99" s="13" t="s">
        <v>29</v>
      </c>
      <c r="N99" s="13" t="s">
        <v>67</v>
      </c>
      <c r="O99" s="42" t="n">
        <v>0</v>
      </c>
    </row>
    <row r="100" customFormat="false" ht="15" hidden="false" customHeight="false" outlineLevel="0" collapsed="false">
      <c r="A100" s="9" t="s">
        <v>333</v>
      </c>
      <c r="B100" s="9" t="s">
        <v>173</v>
      </c>
      <c r="C100" s="9" t="s">
        <v>174</v>
      </c>
      <c r="D100" s="9" t="s">
        <v>209</v>
      </c>
      <c r="E100" s="9" t="s">
        <v>210</v>
      </c>
      <c r="F100" s="9" t="s">
        <v>219</v>
      </c>
      <c r="G100" s="9" t="s">
        <v>220</v>
      </c>
      <c r="H100" s="9" t="s">
        <v>205</v>
      </c>
      <c r="I100" s="13" t="s">
        <v>67</v>
      </c>
      <c r="J100" s="13" t="s">
        <v>67</v>
      </c>
      <c r="K100" s="42" t="n">
        <v>0</v>
      </c>
      <c r="L100" s="13" t="s">
        <v>240</v>
      </c>
      <c r="M100" s="13" t="s">
        <v>29</v>
      </c>
      <c r="N100" s="13" t="s">
        <v>67</v>
      </c>
      <c r="O100" s="42" t="n">
        <v>0</v>
      </c>
    </row>
    <row r="101" customFormat="false" ht="15" hidden="false" customHeight="false" outlineLevel="0" collapsed="false">
      <c r="A101" s="9" t="s">
        <v>334</v>
      </c>
      <c r="B101" s="9" t="s">
        <v>173</v>
      </c>
      <c r="C101" s="9" t="s">
        <v>174</v>
      </c>
      <c r="D101" s="9" t="s">
        <v>209</v>
      </c>
      <c r="E101" s="9" t="s">
        <v>210</v>
      </c>
      <c r="F101" s="9" t="s">
        <v>222</v>
      </c>
      <c r="G101" s="9" t="s">
        <v>223</v>
      </c>
      <c r="H101" s="9" t="s">
        <v>205</v>
      </c>
      <c r="I101" s="13" t="s">
        <v>67</v>
      </c>
      <c r="J101" s="13" t="s">
        <v>67</v>
      </c>
      <c r="K101" s="42" t="n">
        <v>0</v>
      </c>
      <c r="L101" s="13" t="s">
        <v>240</v>
      </c>
      <c r="M101" s="13" t="s">
        <v>29</v>
      </c>
      <c r="N101" s="13" t="s">
        <v>67</v>
      </c>
      <c r="O101" s="42" t="n">
        <v>0</v>
      </c>
    </row>
    <row r="102" customFormat="false" ht="15" hidden="false" customHeight="false" outlineLevel="0" collapsed="false">
      <c r="A102" s="9" t="s">
        <v>335</v>
      </c>
      <c r="B102" s="9" t="s">
        <v>173</v>
      </c>
      <c r="C102" s="9" t="s">
        <v>174</v>
      </c>
      <c r="D102" s="9" t="s">
        <v>209</v>
      </c>
      <c r="E102" s="9" t="s">
        <v>210</v>
      </c>
      <c r="F102" s="9" t="s">
        <v>225</v>
      </c>
      <c r="G102" s="9" t="s">
        <v>226</v>
      </c>
      <c r="H102" s="9" t="s">
        <v>205</v>
      </c>
      <c r="I102" s="13" t="s">
        <v>67</v>
      </c>
      <c r="J102" s="13" t="s">
        <v>67</v>
      </c>
      <c r="K102" s="42" t="n">
        <v>0</v>
      </c>
      <c r="L102" s="13" t="s">
        <v>240</v>
      </c>
      <c r="M102" s="13" t="s">
        <v>29</v>
      </c>
      <c r="N102" s="13" t="s">
        <v>67</v>
      </c>
      <c r="O102" s="42" t="n">
        <v>0</v>
      </c>
    </row>
    <row r="103" customFormat="false" ht="15" hidden="false" customHeight="false" outlineLevel="0" collapsed="false">
      <c r="A103" s="9" t="s">
        <v>336</v>
      </c>
      <c r="B103" s="9" t="s">
        <v>177</v>
      </c>
      <c r="C103" s="9" t="s">
        <v>178</v>
      </c>
      <c r="D103" s="9" t="s">
        <v>192</v>
      </c>
      <c r="E103" s="9" t="s">
        <v>193</v>
      </c>
      <c r="F103" s="9" t="s">
        <v>216</v>
      </c>
      <c r="G103" s="9" t="s">
        <v>217</v>
      </c>
      <c r="H103" s="9" t="s">
        <v>195</v>
      </c>
      <c r="I103" s="13" t="s">
        <v>67</v>
      </c>
      <c r="J103" s="13" t="s">
        <v>67</v>
      </c>
      <c r="K103" s="42" t="n">
        <v>0</v>
      </c>
      <c r="L103" s="13" t="s">
        <v>240</v>
      </c>
      <c r="M103" s="13" t="s">
        <v>29</v>
      </c>
      <c r="N103" s="13" t="s">
        <v>67</v>
      </c>
      <c r="O103" s="42" t="n">
        <v>0</v>
      </c>
    </row>
    <row r="104" customFormat="false" ht="15" hidden="false" customHeight="false" outlineLevel="0" collapsed="false">
      <c r="A104" s="9" t="s">
        <v>337</v>
      </c>
      <c r="B104" s="9" t="s">
        <v>177</v>
      </c>
      <c r="C104" s="9" t="s">
        <v>178</v>
      </c>
      <c r="D104" s="9" t="s">
        <v>192</v>
      </c>
      <c r="E104" s="9" t="s">
        <v>193</v>
      </c>
      <c r="F104" s="9" t="s">
        <v>219</v>
      </c>
      <c r="G104" s="9" t="s">
        <v>220</v>
      </c>
      <c r="H104" s="9" t="s">
        <v>195</v>
      </c>
      <c r="I104" s="13" t="s">
        <v>67</v>
      </c>
      <c r="J104" s="13" t="s">
        <v>67</v>
      </c>
      <c r="K104" s="42" t="n">
        <v>0</v>
      </c>
      <c r="L104" s="13" t="s">
        <v>240</v>
      </c>
      <c r="M104" s="13" t="s">
        <v>29</v>
      </c>
      <c r="N104" s="13" t="s">
        <v>67</v>
      </c>
      <c r="O104" s="42" t="n">
        <v>0</v>
      </c>
    </row>
    <row r="105" customFormat="false" ht="15" hidden="false" customHeight="false" outlineLevel="0" collapsed="false">
      <c r="A105" s="9" t="s">
        <v>338</v>
      </c>
      <c r="B105" s="9" t="s">
        <v>177</v>
      </c>
      <c r="C105" s="9" t="s">
        <v>178</v>
      </c>
      <c r="D105" s="9" t="s">
        <v>192</v>
      </c>
      <c r="E105" s="9" t="s">
        <v>193</v>
      </c>
      <c r="F105" s="9" t="s">
        <v>222</v>
      </c>
      <c r="G105" s="9" t="s">
        <v>223</v>
      </c>
      <c r="H105" s="9" t="s">
        <v>195</v>
      </c>
      <c r="I105" s="13" t="s">
        <v>67</v>
      </c>
      <c r="J105" s="13" t="s">
        <v>67</v>
      </c>
      <c r="K105" s="42" t="n">
        <v>0</v>
      </c>
      <c r="L105" s="13" t="s">
        <v>240</v>
      </c>
      <c r="M105" s="13" t="s">
        <v>29</v>
      </c>
      <c r="N105" s="13" t="s">
        <v>67</v>
      </c>
      <c r="O105" s="42" t="n">
        <v>0</v>
      </c>
    </row>
    <row r="106" customFormat="false" ht="15" hidden="false" customHeight="false" outlineLevel="0" collapsed="false">
      <c r="A106" s="9" t="s">
        <v>339</v>
      </c>
      <c r="B106" s="9" t="s">
        <v>177</v>
      </c>
      <c r="C106" s="9" t="s">
        <v>178</v>
      </c>
      <c r="D106" s="9" t="s">
        <v>192</v>
      </c>
      <c r="E106" s="9" t="s">
        <v>193</v>
      </c>
      <c r="F106" s="9" t="s">
        <v>225</v>
      </c>
      <c r="G106" s="9" t="s">
        <v>226</v>
      </c>
      <c r="H106" s="9" t="s">
        <v>195</v>
      </c>
      <c r="I106" s="13" t="s">
        <v>67</v>
      </c>
      <c r="J106" s="13" t="s">
        <v>67</v>
      </c>
      <c r="K106" s="42" t="n">
        <v>0</v>
      </c>
      <c r="L106" s="13" t="s">
        <v>240</v>
      </c>
      <c r="M106" s="13" t="s">
        <v>29</v>
      </c>
      <c r="N106" s="13" t="s">
        <v>67</v>
      </c>
      <c r="O106" s="42" t="n">
        <v>0</v>
      </c>
    </row>
    <row r="107" customFormat="false" ht="15" hidden="false" customHeight="false" outlineLevel="0" collapsed="false">
      <c r="A107" s="9" t="s">
        <v>340</v>
      </c>
      <c r="B107" s="9" t="s">
        <v>177</v>
      </c>
      <c r="C107" s="9" t="s">
        <v>178</v>
      </c>
      <c r="D107" s="9" t="s">
        <v>196</v>
      </c>
      <c r="E107" s="9" t="s">
        <v>197</v>
      </c>
      <c r="F107" s="9" t="s">
        <v>216</v>
      </c>
      <c r="G107" s="9" t="s">
        <v>217</v>
      </c>
      <c r="H107" s="9" t="s">
        <v>195</v>
      </c>
      <c r="I107" s="13" t="s">
        <v>67</v>
      </c>
      <c r="J107" s="13" t="s">
        <v>67</v>
      </c>
      <c r="K107" s="42" t="n">
        <v>0</v>
      </c>
      <c r="L107" s="13" t="s">
        <v>240</v>
      </c>
      <c r="M107" s="13" t="s">
        <v>29</v>
      </c>
      <c r="N107" s="13" t="s">
        <v>67</v>
      </c>
      <c r="O107" s="42" t="n">
        <v>0</v>
      </c>
    </row>
    <row r="108" customFormat="false" ht="15" hidden="false" customHeight="false" outlineLevel="0" collapsed="false">
      <c r="A108" s="9" t="s">
        <v>341</v>
      </c>
      <c r="B108" s="9" t="s">
        <v>177</v>
      </c>
      <c r="C108" s="9" t="s">
        <v>178</v>
      </c>
      <c r="D108" s="9" t="s">
        <v>196</v>
      </c>
      <c r="E108" s="9" t="s">
        <v>197</v>
      </c>
      <c r="F108" s="9" t="s">
        <v>219</v>
      </c>
      <c r="G108" s="9" t="s">
        <v>220</v>
      </c>
      <c r="H108" s="9" t="s">
        <v>195</v>
      </c>
      <c r="I108" s="13" t="s">
        <v>67</v>
      </c>
      <c r="J108" s="13" t="s">
        <v>67</v>
      </c>
      <c r="K108" s="42" t="n">
        <v>0</v>
      </c>
      <c r="L108" s="13" t="s">
        <v>240</v>
      </c>
      <c r="M108" s="13" t="s">
        <v>29</v>
      </c>
      <c r="N108" s="13" t="s">
        <v>67</v>
      </c>
      <c r="O108" s="42" t="n">
        <v>0</v>
      </c>
    </row>
    <row r="109" customFormat="false" ht="15" hidden="false" customHeight="false" outlineLevel="0" collapsed="false">
      <c r="A109" s="9" t="s">
        <v>342</v>
      </c>
      <c r="B109" s="9" t="s">
        <v>177</v>
      </c>
      <c r="C109" s="9" t="s">
        <v>178</v>
      </c>
      <c r="D109" s="9" t="s">
        <v>196</v>
      </c>
      <c r="E109" s="9" t="s">
        <v>197</v>
      </c>
      <c r="F109" s="9" t="s">
        <v>222</v>
      </c>
      <c r="G109" s="9" t="s">
        <v>223</v>
      </c>
      <c r="H109" s="9" t="s">
        <v>195</v>
      </c>
      <c r="I109" s="13" t="s">
        <v>67</v>
      </c>
      <c r="J109" s="13" t="s">
        <v>67</v>
      </c>
      <c r="K109" s="42" t="n">
        <v>0</v>
      </c>
      <c r="L109" s="13" t="s">
        <v>240</v>
      </c>
      <c r="M109" s="13" t="s">
        <v>29</v>
      </c>
      <c r="N109" s="13" t="s">
        <v>67</v>
      </c>
      <c r="O109" s="42" t="n">
        <v>0</v>
      </c>
    </row>
    <row r="110" customFormat="false" ht="15" hidden="false" customHeight="false" outlineLevel="0" collapsed="false">
      <c r="A110" s="9" t="s">
        <v>343</v>
      </c>
      <c r="B110" s="9" t="s">
        <v>177</v>
      </c>
      <c r="C110" s="9" t="s">
        <v>178</v>
      </c>
      <c r="D110" s="9" t="s">
        <v>196</v>
      </c>
      <c r="E110" s="9" t="s">
        <v>197</v>
      </c>
      <c r="F110" s="9" t="s">
        <v>225</v>
      </c>
      <c r="G110" s="9" t="s">
        <v>226</v>
      </c>
      <c r="H110" s="9" t="s">
        <v>195</v>
      </c>
      <c r="I110" s="13" t="s">
        <v>67</v>
      </c>
      <c r="J110" s="13" t="s">
        <v>67</v>
      </c>
      <c r="K110" s="42" t="n">
        <v>0</v>
      </c>
      <c r="L110" s="13" t="s">
        <v>240</v>
      </c>
      <c r="M110" s="13" t="s">
        <v>29</v>
      </c>
      <c r="N110" s="13" t="s">
        <v>67</v>
      </c>
      <c r="O110" s="42" t="n">
        <v>0</v>
      </c>
    </row>
    <row r="111" customFormat="false" ht="15" hidden="false" customHeight="false" outlineLevel="0" collapsed="false">
      <c r="A111" s="9" t="s">
        <v>344</v>
      </c>
      <c r="B111" s="9" t="s">
        <v>177</v>
      </c>
      <c r="C111" s="9" t="s">
        <v>178</v>
      </c>
      <c r="D111" s="9" t="s">
        <v>199</v>
      </c>
      <c r="E111" s="9" t="s">
        <v>200</v>
      </c>
      <c r="F111" s="9" t="s">
        <v>216</v>
      </c>
      <c r="G111" s="9" t="s">
        <v>217</v>
      </c>
      <c r="H111" s="9" t="s">
        <v>195</v>
      </c>
      <c r="I111" s="13" t="s">
        <v>67</v>
      </c>
      <c r="J111" s="13" t="s">
        <v>67</v>
      </c>
      <c r="K111" s="42" t="n">
        <v>0</v>
      </c>
      <c r="L111" s="13" t="s">
        <v>240</v>
      </c>
      <c r="M111" s="13" t="s">
        <v>29</v>
      </c>
      <c r="N111" s="13" t="s">
        <v>67</v>
      </c>
      <c r="O111" s="42" t="n">
        <v>0</v>
      </c>
    </row>
    <row r="112" customFormat="false" ht="15" hidden="false" customHeight="false" outlineLevel="0" collapsed="false">
      <c r="A112" s="9" t="s">
        <v>345</v>
      </c>
      <c r="B112" s="9" t="s">
        <v>177</v>
      </c>
      <c r="C112" s="9" t="s">
        <v>178</v>
      </c>
      <c r="D112" s="9" t="s">
        <v>199</v>
      </c>
      <c r="E112" s="9" t="s">
        <v>200</v>
      </c>
      <c r="F112" s="9" t="s">
        <v>219</v>
      </c>
      <c r="G112" s="9" t="s">
        <v>220</v>
      </c>
      <c r="H112" s="9" t="s">
        <v>195</v>
      </c>
      <c r="I112" s="13" t="s">
        <v>67</v>
      </c>
      <c r="J112" s="13" t="s">
        <v>67</v>
      </c>
      <c r="K112" s="42" t="n">
        <v>0</v>
      </c>
      <c r="L112" s="13" t="s">
        <v>240</v>
      </c>
      <c r="M112" s="13" t="s">
        <v>29</v>
      </c>
      <c r="N112" s="13" t="s">
        <v>67</v>
      </c>
      <c r="O112" s="42" t="n">
        <v>0</v>
      </c>
    </row>
    <row r="113" customFormat="false" ht="15" hidden="false" customHeight="false" outlineLevel="0" collapsed="false">
      <c r="A113" s="9" t="s">
        <v>346</v>
      </c>
      <c r="B113" s="9" t="s">
        <v>177</v>
      </c>
      <c r="C113" s="9" t="s">
        <v>178</v>
      </c>
      <c r="D113" s="9" t="s">
        <v>199</v>
      </c>
      <c r="E113" s="9" t="s">
        <v>200</v>
      </c>
      <c r="F113" s="9" t="s">
        <v>222</v>
      </c>
      <c r="G113" s="9" t="s">
        <v>223</v>
      </c>
      <c r="H113" s="9" t="s">
        <v>195</v>
      </c>
      <c r="I113" s="13" t="s">
        <v>67</v>
      </c>
      <c r="J113" s="13" t="s">
        <v>67</v>
      </c>
      <c r="K113" s="42" t="n">
        <v>0</v>
      </c>
      <c r="L113" s="13" t="s">
        <v>240</v>
      </c>
      <c r="M113" s="13" t="s">
        <v>29</v>
      </c>
      <c r="N113" s="13" t="s">
        <v>67</v>
      </c>
      <c r="O113" s="42" t="n">
        <v>0</v>
      </c>
    </row>
    <row r="114" customFormat="false" ht="15" hidden="false" customHeight="false" outlineLevel="0" collapsed="false">
      <c r="A114" s="9" t="s">
        <v>347</v>
      </c>
      <c r="B114" s="9" t="s">
        <v>177</v>
      </c>
      <c r="C114" s="9" t="s">
        <v>178</v>
      </c>
      <c r="D114" s="9" t="s">
        <v>199</v>
      </c>
      <c r="E114" s="9" t="s">
        <v>200</v>
      </c>
      <c r="F114" s="9" t="s">
        <v>225</v>
      </c>
      <c r="G114" s="9" t="s">
        <v>226</v>
      </c>
      <c r="H114" s="9" t="s">
        <v>195</v>
      </c>
      <c r="I114" s="13" t="s">
        <v>67</v>
      </c>
      <c r="J114" s="13" t="s">
        <v>67</v>
      </c>
      <c r="K114" s="42" t="n">
        <v>0</v>
      </c>
      <c r="L114" s="13" t="s">
        <v>240</v>
      </c>
      <c r="M114" s="13" t="s">
        <v>29</v>
      </c>
      <c r="N114" s="13" t="s">
        <v>67</v>
      </c>
      <c r="O114" s="42" t="n">
        <v>0</v>
      </c>
    </row>
    <row r="115" customFormat="false" ht="15" hidden="false" customHeight="false" outlineLevel="0" collapsed="false">
      <c r="A115" s="9" t="s">
        <v>348</v>
      </c>
      <c r="B115" s="9" t="s">
        <v>177</v>
      </c>
      <c r="C115" s="9" t="s">
        <v>178</v>
      </c>
      <c r="D115" s="9" t="s">
        <v>202</v>
      </c>
      <c r="E115" s="9" t="s">
        <v>203</v>
      </c>
      <c r="F115" s="9" t="s">
        <v>216</v>
      </c>
      <c r="G115" s="9" t="s">
        <v>217</v>
      </c>
      <c r="H115" s="9" t="s">
        <v>205</v>
      </c>
      <c r="I115" s="13" t="s">
        <v>67</v>
      </c>
      <c r="J115" s="13" t="s">
        <v>67</v>
      </c>
      <c r="K115" s="42" t="n">
        <v>0</v>
      </c>
      <c r="L115" s="13" t="s">
        <v>240</v>
      </c>
      <c r="M115" s="13" t="s">
        <v>29</v>
      </c>
      <c r="N115" s="13" t="s">
        <v>67</v>
      </c>
      <c r="O115" s="42" t="n">
        <v>0</v>
      </c>
    </row>
    <row r="116" customFormat="false" ht="15" hidden="false" customHeight="false" outlineLevel="0" collapsed="false">
      <c r="A116" s="9" t="s">
        <v>349</v>
      </c>
      <c r="B116" s="9" t="s">
        <v>177</v>
      </c>
      <c r="C116" s="9" t="s">
        <v>178</v>
      </c>
      <c r="D116" s="9" t="s">
        <v>202</v>
      </c>
      <c r="E116" s="9" t="s">
        <v>203</v>
      </c>
      <c r="F116" s="9" t="s">
        <v>219</v>
      </c>
      <c r="G116" s="9" t="s">
        <v>220</v>
      </c>
      <c r="H116" s="9" t="s">
        <v>205</v>
      </c>
      <c r="I116" s="13" t="s">
        <v>67</v>
      </c>
      <c r="J116" s="13" t="s">
        <v>67</v>
      </c>
      <c r="K116" s="42" t="n">
        <v>0</v>
      </c>
      <c r="L116" s="13" t="s">
        <v>240</v>
      </c>
      <c r="M116" s="13" t="s">
        <v>29</v>
      </c>
      <c r="N116" s="13" t="s">
        <v>67</v>
      </c>
      <c r="O116" s="42" t="n">
        <v>0</v>
      </c>
    </row>
    <row r="117" customFormat="false" ht="15" hidden="false" customHeight="false" outlineLevel="0" collapsed="false">
      <c r="A117" s="9" t="s">
        <v>350</v>
      </c>
      <c r="B117" s="9" t="s">
        <v>177</v>
      </c>
      <c r="C117" s="9" t="s">
        <v>178</v>
      </c>
      <c r="D117" s="9" t="s">
        <v>202</v>
      </c>
      <c r="E117" s="9" t="s">
        <v>203</v>
      </c>
      <c r="F117" s="9" t="s">
        <v>222</v>
      </c>
      <c r="G117" s="9" t="s">
        <v>223</v>
      </c>
      <c r="H117" s="9" t="s">
        <v>205</v>
      </c>
      <c r="I117" s="13" t="s">
        <v>67</v>
      </c>
      <c r="J117" s="13" t="s">
        <v>67</v>
      </c>
      <c r="K117" s="42" t="n">
        <v>0</v>
      </c>
      <c r="L117" s="13" t="s">
        <v>240</v>
      </c>
      <c r="M117" s="13" t="s">
        <v>29</v>
      </c>
      <c r="N117" s="13" t="s">
        <v>67</v>
      </c>
      <c r="O117" s="42" t="n">
        <v>0</v>
      </c>
    </row>
    <row r="118" customFormat="false" ht="15" hidden="false" customHeight="false" outlineLevel="0" collapsed="false">
      <c r="A118" s="9" t="s">
        <v>351</v>
      </c>
      <c r="B118" s="9" t="s">
        <v>177</v>
      </c>
      <c r="C118" s="9" t="s">
        <v>178</v>
      </c>
      <c r="D118" s="9" t="s">
        <v>202</v>
      </c>
      <c r="E118" s="9" t="s">
        <v>203</v>
      </c>
      <c r="F118" s="9" t="s">
        <v>225</v>
      </c>
      <c r="G118" s="9" t="s">
        <v>226</v>
      </c>
      <c r="H118" s="9" t="s">
        <v>205</v>
      </c>
      <c r="I118" s="13" t="s">
        <v>67</v>
      </c>
      <c r="J118" s="13" t="s">
        <v>67</v>
      </c>
      <c r="K118" s="42" t="n">
        <v>0</v>
      </c>
      <c r="L118" s="13" t="s">
        <v>240</v>
      </c>
      <c r="M118" s="13" t="s">
        <v>29</v>
      </c>
      <c r="N118" s="13" t="s">
        <v>67</v>
      </c>
      <c r="O118" s="42" t="n">
        <v>0</v>
      </c>
    </row>
    <row r="119" customFormat="false" ht="15" hidden="false" customHeight="false" outlineLevel="0" collapsed="false">
      <c r="A119" s="9" t="s">
        <v>352</v>
      </c>
      <c r="B119" s="9" t="s">
        <v>177</v>
      </c>
      <c r="C119" s="9" t="s">
        <v>178</v>
      </c>
      <c r="D119" s="9" t="s">
        <v>206</v>
      </c>
      <c r="E119" s="9" t="s">
        <v>207</v>
      </c>
      <c r="F119" s="9" t="s">
        <v>216</v>
      </c>
      <c r="G119" s="9" t="s">
        <v>217</v>
      </c>
      <c r="H119" s="9" t="s">
        <v>195</v>
      </c>
      <c r="I119" s="13" t="s">
        <v>67</v>
      </c>
      <c r="J119" s="13" t="s">
        <v>67</v>
      </c>
      <c r="K119" s="42" t="n">
        <v>0</v>
      </c>
      <c r="L119" s="13" t="s">
        <v>240</v>
      </c>
      <c r="M119" s="13" t="s">
        <v>29</v>
      </c>
      <c r="N119" s="13" t="s">
        <v>67</v>
      </c>
      <c r="O119" s="42" t="n">
        <v>0</v>
      </c>
    </row>
    <row r="120" customFormat="false" ht="15" hidden="false" customHeight="false" outlineLevel="0" collapsed="false">
      <c r="A120" s="9" t="s">
        <v>353</v>
      </c>
      <c r="B120" s="9" t="s">
        <v>177</v>
      </c>
      <c r="C120" s="9" t="s">
        <v>178</v>
      </c>
      <c r="D120" s="9" t="s">
        <v>206</v>
      </c>
      <c r="E120" s="9" t="s">
        <v>207</v>
      </c>
      <c r="F120" s="9" t="s">
        <v>219</v>
      </c>
      <c r="G120" s="9" t="s">
        <v>220</v>
      </c>
      <c r="H120" s="9" t="s">
        <v>195</v>
      </c>
      <c r="I120" s="13" t="s">
        <v>67</v>
      </c>
      <c r="J120" s="13" t="s">
        <v>67</v>
      </c>
      <c r="K120" s="42" t="n">
        <v>0</v>
      </c>
      <c r="L120" s="13" t="s">
        <v>240</v>
      </c>
      <c r="M120" s="13" t="s">
        <v>29</v>
      </c>
      <c r="N120" s="13" t="s">
        <v>67</v>
      </c>
      <c r="O120" s="42" t="n">
        <v>0</v>
      </c>
    </row>
    <row r="121" customFormat="false" ht="15" hidden="false" customHeight="false" outlineLevel="0" collapsed="false">
      <c r="A121" s="9" t="s">
        <v>354</v>
      </c>
      <c r="B121" s="9" t="s">
        <v>177</v>
      </c>
      <c r="C121" s="9" t="s">
        <v>178</v>
      </c>
      <c r="D121" s="9" t="s">
        <v>206</v>
      </c>
      <c r="E121" s="9" t="s">
        <v>207</v>
      </c>
      <c r="F121" s="9" t="s">
        <v>222</v>
      </c>
      <c r="G121" s="9" t="s">
        <v>223</v>
      </c>
      <c r="H121" s="9" t="s">
        <v>195</v>
      </c>
      <c r="I121" s="13" t="s">
        <v>67</v>
      </c>
      <c r="J121" s="13" t="s">
        <v>67</v>
      </c>
      <c r="K121" s="42" t="n">
        <v>0</v>
      </c>
      <c r="L121" s="13" t="s">
        <v>240</v>
      </c>
      <c r="M121" s="13" t="s">
        <v>29</v>
      </c>
      <c r="N121" s="13" t="s">
        <v>67</v>
      </c>
      <c r="O121" s="42" t="n">
        <v>0</v>
      </c>
    </row>
    <row r="122" customFormat="false" ht="15" hidden="false" customHeight="false" outlineLevel="0" collapsed="false">
      <c r="A122" s="9" t="s">
        <v>355</v>
      </c>
      <c r="B122" s="9" t="s">
        <v>177</v>
      </c>
      <c r="C122" s="9" t="s">
        <v>178</v>
      </c>
      <c r="D122" s="9" t="s">
        <v>206</v>
      </c>
      <c r="E122" s="9" t="s">
        <v>207</v>
      </c>
      <c r="F122" s="9" t="s">
        <v>225</v>
      </c>
      <c r="G122" s="9" t="s">
        <v>226</v>
      </c>
      <c r="H122" s="9" t="s">
        <v>195</v>
      </c>
      <c r="I122" s="13" t="s">
        <v>67</v>
      </c>
      <c r="J122" s="13" t="s">
        <v>67</v>
      </c>
      <c r="K122" s="42" t="n">
        <v>0</v>
      </c>
      <c r="L122" s="13" t="s">
        <v>240</v>
      </c>
      <c r="M122" s="13" t="s">
        <v>29</v>
      </c>
      <c r="N122" s="13" t="s">
        <v>67</v>
      </c>
      <c r="O122" s="42" t="n">
        <v>0</v>
      </c>
    </row>
    <row r="123" customFormat="false" ht="15" hidden="false" customHeight="false" outlineLevel="0" collapsed="false">
      <c r="A123" s="9" t="s">
        <v>356</v>
      </c>
      <c r="B123" s="9" t="s">
        <v>177</v>
      </c>
      <c r="C123" s="9" t="s">
        <v>178</v>
      </c>
      <c r="D123" s="9" t="s">
        <v>209</v>
      </c>
      <c r="E123" s="9" t="s">
        <v>210</v>
      </c>
      <c r="F123" s="9" t="s">
        <v>216</v>
      </c>
      <c r="G123" s="9" t="s">
        <v>217</v>
      </c>
      <c r="H123" s="9" t="s">
        <v>205</v>
      </c>
      <c r="I123" s="13" t="s">
        <v>67</v>
      </c>
      <c r="J123" s="13" t="s">
        <v>67</v>
      </c>
      <c r="K123" s="42" t="n">
        <v>0</v>
      </c>
      <c r="L123" s="13" t="s">
        <v>240</v>
      </c>
      <c r="M123" s="13" t="s">
        <v>29</v>
      </c>
      <c r="N123" s="13" t="s">
        <v>67</v>
      </c>
      <c r="O123" s="42" t="n">
        <v>0</v>
      </c>
    </row>
    <row r="124" customFormat="false" ht="15" hidden="false" customHeight="false" outlineLevel="0" collapsed="false">
      <c r="A124" s="9" t="s">
        <v>357</v>
      </c>
      <c r="B124" s="9" t="s">
        <v>177</v>
      </c>
      <c r="C124" s="9" t="s">
        <v>178</v>
      </c>
      <c r="D124" s="9" t="s">
        <v>209</v>
      </c>
      <c r="E124" s="9" t="s">
        <v>210</v>
      </c>
      <c r="F124" s="9" t="s">
        <v>219</v>
      </c>
      <c r="G124" s="9" t="s">
        <v>220</v>
      </c>
      <c r="H124" s="9" t="s">
        <v>205</v>
      </c>
      <c r="I124" s="13" t="s">
        <v>67</v>
      </c>
      <c r="J124" s="13" t="s">
        <v>67</v>
      </c>
      <c r="K124" s="42" t="n">
        <v>0</v>
      </c>
      <c r="L124" s="13" t="s">
        <v>240</v>
      </c>
      <c r="M124" s="13" t="s">
        <v>29</v>
      </c>
      <c r="N124" s="13" t="s">
        <v>67</v>
      </c>
      <c r="O124" s="42" t="n">
        <v>0</v>
      </c>
    </row>
    <row r="125" customFormat="false" ht="15" hidden="false" customHeight="false" outlineLevel="0" collapsed="false">
      <c r="A125" s="9" t="s">
        <v>358</v>
      </c>
      <c r="B125" s="9" t="s">
        <v>177</v>
      </c>
      <c r="C125" s="9" t="s">
        <v>178</v>
      </c>
      <c r="D125" s="9" t="s">
        <v>209</v>
      </c>
      <c r="E125" s="9" t="s">
        <v>210</v>
      </c>
      <c r="F125" s="9" t="s">
        <v>222</v>
      </c>
      <c r="G125" s="9" t="s">
        <v>223</v>
      </c>
      <c r="H125" s="9" t="s">
        <v>205</v>
      </c>
      <c r="I125" s="13" t="s">
        <v>67</v>
      </c>
      <c r="J125" s="13" t="s">
        <v>67</v>
      </c>
      <c r="K125" s="42" t="n">
        <v>0</v>
      </c>
      <c r="L125" s="13" t="s">
        <v>240</v>
      </c>
      <c r="M125" s="13" t="s">
        <v>29</v>
      </c>
      <c r="N125" s="13" t="s">
        <v>67</v>
      </c>
      <c r="O125" s="42" t="n">
        <v>0</v>
      </c>
    </row>
    <row r="126" customFormat="false" ht="15" hidden="false" customHeight="false" outlineLevel="0" collapsed="false">
      <c r="A126" s="9" t="s">
        <v>359</v>
      </c>
      <c r="B126" s="9" t="s">
        <v>177</v>
      </c>
      <c r="C126" s="9" t="s">
        <v>178</v>
      </c>
      <c r="D126" s="9" t="s">
        <v>209</v>
      </c>
      <c r="E126" s="9" t="s">
        <v>210</v>
      </c>
      <c r="F126" s="9" t="s">
        <v>225</v>
      </c>
      <c r="G126" s="9" t="s">
        <v>226</v>
      </c>
      <c r="H126" s="9" t="s">
        <v>205</v>
      </c>
      <c r="I126" s="13" t="s">
        <v>67</v>
      </c>
      <c r="J126" s="13" t="s">
        <v>67</v>
      </c>
      <c r="K126" s="42" t="n">
        <v>0</v>
      </c>
      <c r="L126" s="13" t="s">
        <v>240</v>
      </c>
      <c r="M126" s="13" t="s">
        <v>29</v>
      </c>
      <c r="N126" s="13" t="s">
        <v>67</v>
      </c>
      <c r="O126" s="42" t="n">
        <v>0</v>
      </c>
    </row>
    <row r="127" customFormat="false" ht="15" hidden="false" customHeight="false" outlineLevel="0" collapsed="false">
      <c r="A127" s="9" t="s">
        <v>360</v>
      </c>
      <c r="B127" s="9" t="s">
        <v>182</v>
      </c>
      <c r="C127" s="9" t="s">
        <v>183</v>
      </c>
      <c r="D127" s="9" t="s">
        <v>192</v>
      </c>
      <c r="E127" s="9" t="s">
        <v>193</v>
      </c>
      <c r="F127" s="9" t="s">
        <v>216</v>
      </c>
      <c r="G127" s="9" t="s">
        <v>217</v>
      </c>
      <c r="H127" s="9" t="s">
        <v>195</v>
      </c>
      <c r="I127" s="13" t="s">
        <v>67</v>
      </c>
      <c r="J127" s="13" t="s">
        <v>67</v>
      </c>
      <c r="K127" s="42" t="n">
        <v>0</v>
      </c>
      <c r="L127" s="13" t="s">
        <v>240</v>
      </c>
      <c r="M127" s="13" t="s">
        <v>29</v>
      </c>
      <c r="N127" s="13" t="s">
        <v>67</v>
      </c>
      <c r="O127" s="42" t="n">
        <v>0</v>
      </c>
    </row>
    <row r="128" customFormat="false" ht="15" hidden="false" customHeight="false" outlineLevel="0" collapsed="false">
      <c r="A128" s="9" t="s">
        <v>361</v>
      </c>
      <c r="B128" s="9" t="s">
        <v>182</v>
      </c>
      <c r="C128" s="9" t="s">
        <v>183</v>
      </c>
      <c r="D128" s="9" t="s">
        <v>192</v>
      </c>
      <c r="E128" s="9" t="s">
        <v>193</v>
      </c>
      <c r="F128" s="9" t="s">
        <v>219</v>
      </c>
      <c r="G128" s="9" t="s">
        <v>220</v>
      </c>
      <c r="H128" s="9" t="s">
        <v>195</v>
      </c>
      <c r="I128" s="13" t="s">
        <v>67</v>
      </c>
      <c r="J128" s="13" t="s">
        <v>67</v>
      </c>
      <c r="K128" s="42" t="n">
        <v>0</v>
      </c>
      <c r="L128" s="13" t="s">
        <v>240</v>
      </c>
      <c r="M128" s="13" t="s">
        <v>29</v>
      </c>
      <c r="N128" s="13" t="s">
        <v>67</v>
      </c>
      <c r="O128" s="42" t="n">
        <v>0</v>
      </c>
    </row>
    <row r="129" customFormat="false" ht="15" hidden="false" customHeight="false" outlineLevel="0" collapsed="false">
      <c r="A129" s="9" t="s">
        <v>362</v>
      </c>
      <c r="B129" s="9" t="s">
        <v>182</v>
      </c>
      <c r="C129" s="9" t="s">
        <v>183</v>
      </c>
      <c r="D129" s="9" t="s">
        <v>192</v>
      </c>
      <c r="E129" s="9" t="s">
        <v>193</v>
      </c>
      <c r="F129" s="9" t="s">
        <v>222</v>
      </c>
      <c r="G129" s="9" t="s">
        <v>223</v>
      </c>
      <c r="H129" s="9" t="s">
        <v>195</v>
      </c>
      <c r="I129" s="13" t="s">
        <v>67</v>
      </c>
      <c r="J129" s="13" t="s">
        <v>67</v>
      </c>
      <c r="K129" s="42" t="n">
        <v>0</v>
      </c>
      <c r="L129" s="13" t="s">
        <v>240</v>
      </c>
      <c r="M129" s="13" t="s">
        <v>29</v>
      </c>
      <c r="N129" s="13" t="s">
        <v>67</v>
      </c>
      <c r="O129" s="42" t="n">
        <v>0</v>
      </c>
    </row>
    <row r="130" customFormat="false" ht="15" hidden="false" customHeight="false" outlineLevel="0" collapsed="false">
      <c r="A130" s="9" t="s">
        <v>363</v>
      </c>
      <c r="B130" s="9" t="s">
        <v>182</v>
      </c>
      <c r="C130" s="9" t="s">
        <v>183</v>
      </c>
      <c r="D130" s="9" t="s">
        <v>192</v>
      </c>
      <c r="E130" s="9" t="s">
        <v>193</v>
      </c>
      <c r="F130" s="9" t="s">
        <v>225</v>
      </c>
      <c r="G130" s="9" t="s">
        <v>226</v>
      </c>
      <c r="H130" s="9" t="s">
        <v>195</v>
      </c>
      <c r="I130" s="13" t="s">
        <v>67</v>
      </c>
      <c r="J130" s="13" t="s">
        <v>67</v>
      </c>
      <c r="K130" s="42" t="n">
        <v>0</v>
      </c>
      <c r="L130" s="13" t="s">
        <v>240</v>
      </c>
      <c r="M130" s="13" t="s">
        <v>29</v>
      </c>
      <c r="N130" s="13" t="s">
        <v>67</v>
      </c>
      <c r="O130" s="42" t="n">
        <v>0</v>
      </c>
    </row>
    <row r="131" customFormat="false" ht="15" hidden="false" customHeight="false" outlineLevel="0" collapsed="false">
      <c r="A131" s="9" t="s">
        <v>364</v>
      </c>
      <c r="B131" s="9" t="s">
        <v>182</v>
      </c>
      <c r="C131" s="9" t="s">
        <v>183</v>
      </c>
      <c r="D131" s="9" t="s">
        <v>196</v>
      </c>
      <c r="E131" s="9" t="s">
        <v>197</v>
      </c>
      <c r="F131" s="9" t="s">
        <v>216</v>
      </c>
      <c r="G131" s="9" t="s">
        <v>217</v>
      </c>
      <c r="H131" s="9" t="s">
        <v>195</v>
      </c>
      <c r="I131" s="13" t="s">
        <v>67</v>
      </c>
      <c r="J131" s="13" t="s">
        <v>67</v>
      </c>
      <c r="K131" s="42" t="n">
        <v>0</v>
      </c>
      <c r="L131" s="13" t="s">
        <v>240</v>
      </c>
      <c r="M131" s="13" t="s">
        <v>29</v>
      </c>
      <c r="N131" s="13" t="s">
        <v>67</v>
      </c>
      <c r="O131" s="42" t="n">
        <v>0</v>
      </c>
    </row>
    <row r="132" customFormat="false" ht="15" hidden="false" customHeight="false" outlineLevel="0" collapsed="false">
      <c r="A132" s="9" t="s">
        <v>365</v>
      </c>
      <c r="B132" s="9" t="s">
        <v>182</v>
      </c>
      <c r="C132" s="9" t="s">
        <v>183</v>
      </c>
      <c r="D132" s="9" t="s">
        <v>196</v>
      </c>
      <c r="E132" s="9" t="s">
        <v>197</v>
      </c>
      <c r="F132" s="9" t="s">
        <v>219</v>
      </c>
      <c r="G132" s="9" t="s">
        <v>220</v>
      </c>
      <c r="H132" s="9" t="s">
        <v>195</v>
      </c>
      <c r="I132" s="13" t="s">
        <v>67</v>
      </c>
      <c r="J132" s="13" t="s">
        <v>67</v>
      </c>
      <c r="K132" s="42" t="n">
        <v>0</v>
      </c>
      <c r="L132" s="13" t="s">
        <v>240</v>
      </c>
      <c r="M132" s="13" t="s">
        <v>29</v>
      </c>
      <c r="N132" s="13" t="s">
        <v>67</v>
      </c>
      <c r="O132" s="42" t="n">
        <v>0</v>
      </c>
    </row>
    <row r="133" customFormat="false" ht="15" hidden="false" customHeight="false" outlineLevel="0" collapsed="false">
      <c r="A133" s="9" t="s">
        <v>366</v>
      </c>
      <c r="B133" s="9" t="s">
        <v>182</v>
      </c>
      <c r="C133" s="9" t="s">
        <v>183</v>
      </c>
      <c r="D133" s="9" t="s">
        <v>196</v>
      </c>
      <c r="E133" s="9" t="s">
        <v>197</v>
      </c>
      <c r="F133" s="9" t="s">
        <v>222</v>
      </c>
      <c r="G133" s="9" t="s">
        <v>223</v>
      </c>
      <c r="H133" s="9" t="s">
        <v>195</v>
      </c>
      <c r="I133" s="13" t="s">
        <v>67</v>
      </c>
      <c r="J133" s="13" t="s">
        <v>67</v>
      </c>
      <c r="K133" s="42" t="n">
        <v>0</v>
      </c>
      <c r="L133" s="13" t="s">
        <v>240</v>
      </c>
      <c r="M133" s="13" t="s">
        <v>29</v>
      </c>
      <c r="N133" s="13" t="s">
        <v>67</v>
      </c>
      <c r="O133" s="42" t="n">
        <v>0</v>
      </c>
    </row>
    <row r="134" customFormat="false" ht="15" hidden="false" customHeight="false" outlineLevel="0" collapsed="false">
      <c r="A134" s="9" t="s">
        <v>367</v>
      </c>
      <c r="B134" s="9" t="s">
        <v>182</v>
      </c>
      <c r="C134" s="9" t="s">
        <v>183</v>
      </c>
      <c r="D134" s="9" t="s">
        <v>196</v>
      </c>
      <c r="E134" s="9" t="s">
        <v>197</v>
      </c>
      <c r="F134" s="9" t="s">
        <v>225</v>
      </c>
      <c r="G134" s="9" t="s">
        <v>226</v>
      </c>
      <c r="H134" s="9" t="s">
        <v>195</v>
      </c>
      <c r="I134" s="13" t="s">
        <v>67</v>
      </c>
      <c r="J134" s="13" t="s">
        <v>67</v>
      </c>
      <c r="K134" s="42" t="n">
        <v>0</v>
      </c>
      <c r="L134" s="13" t="s">
        <v>240</v>
      </c>
      <c r="M134" s="13" t="s">
        <v>29</v>
      </c>
      <c r="N134" s="13" t="s">
        <v>67</v>
      </c>
      <c r="O134" s="42" t="n">
        <v>0</v>
      </c>
    </row>
    <row r="135" customFormat="false" ht="15" hidden="false" customHeight="false" outlineLevel="0" collapsed="false">
      <c r="A135" s="9" t="s">
        <v>368</v>
      </c>
      <c r="B135" s="9" t="s">
        <v>182</v>
      </c>
      <c r="C135" s="9" t="s">
        <v>183</v>
      </c>
      <c r="D135" s="9" t="s">
        <v>199</v>
      </c>
      <c r="E135" s="9" t="s">
        <v>200</v>
      </c>
      <c r="F135" s="9" t="s">
        <v>216</v>
      </c>
      <c r="G135" s="9" t="s">
        <v>217</v>
      </c>
      <c r="H135" s="9" t="s">
        <v>195</v>
      </c>
      <c r="I135" s="13" t="s">
        <v>67</v>
      </c>
      <c r="J135" s="13" t="s">
        <v>67</v>
      </c>
      <c r="K135" s="42" t="n">
        <v>0</v>
      </c>
      <c r="L135" s="13" t="s">
        <v>240</v>
      </c>
      <c r="M135" s="13" t="s">
        <v>29</v>
      </c>
      <c r="N135" s="13" t="s">
        <v>67</v>
      </c>
      <c r="O135" s="42" t="n">
        <v>0</v>
      </c>
    </row>
    <row r="136" customFormat="false" ht="15" hidden="false" customHeight="false" outlineLevel="0" collapsed="false">
      <c r="A136" s="9" t="s">
        <v>369</v>
      </c>
      <c r="B136" s="9" t="s">
        <v>182</v>
      </c>
      <c r="C136" s="9" t="s">
        <v>183</v>
      </c>
      <c r="D136" s="9" t="s">
        <v>199</v>
      </c>
      <c r="E136" s="9" t="s">
        <v>200</v>
      </c>
      <c r="F136" s="9" t="s">
        <v>219</v>
      </c>
      <c r="G136" s="9" t="s">
        <v>220</v>
      </c>
      <c r="H136" s="9" t="s">
        <v>195</v>
      </c>
      <c r="I136" s="13" t="s">
        <v>67</v>
      </c>
      <c r="J136" s="13" t="s">
        <v>67</v>
      </c>
      <c r="K136" s="42" t="n">
        <v>0</v>
      </c>
      <c r="L136" s="13" t="s">
        <v>240</v>
      </c>
      <c r="M136" s="13" t="s">
        <v>29</v>
      </c>
      <c r="N136" s="13" t="s">
        <v>67</v>
      </c>
      <c r="O136" s="42" t="n">
        <v>0</v>
      </c>
    </row>
    <row r="137" customFormat="false" ht="15" hidden="false" customHeight="false" outlineLevel="0" collapsed="false">
      <c r="A137" s="9" t="s">
        <v>370</v>
      </c>
      <c r="B137" s="9" t="s">
        <v>182</v>
      </c>
      <c r="C137" s="9" t="s">
        <v>183</v>
      </c>
      <c r="D137" s="9" t="s">
        <v>199</v>
      </c>
      <c r="E137" s="9" t="s">
        <v>200</v>
      </c>
      <c r="F137" s="9" t="s">
        <v>222</v>
      </c>
      <c r="G137" s="9" t="s">
        <v>223</v>
      </c>
      <c r="H137" s="9" t="s">
        <v>195</v>
      </c>
      <c r="I137" s="13" t="s">
        <v>67</v>
      </c>
      <c r="J137" s="13" t="s">
        <v>67</v>
      </c>
      <c r="K137" s="42" t="n">
        <v>0</v>
      </c>
      <c r="L137" s="13" t="s">
        <v>240</v>
      </c>
      <c r="M137" s="13" t="s">
        <v>29</v>
      </c>
      <c r="N137" s="13" t="s">
        <v>67</v>
      </c>
      <c r="O137" s="42" t="n">
        <v>0</v>
      </c>
    </row>
    <row r="138" customFormat="false" ht="15" hidden="false" customHeight="false" outlineLevel="0" collapsed="false">
      <c r="A138" s="9" t="s">
        <v>371</v>
      </c>
      <c r="B138" s="9" t="s">
        <v>182</v>
      </c>
      <c r="C138" s="9" t="s">
        <v>183</v>
      </c>
      <c r="D138" s="9" t="s">
        <v>199</v>
      </c>
      <c r="E138" s="9" t="s">
        <v>200</v>
      </c>
      <c r="F138" s="9" t="s">
        <v>225</v>
      </c>
      <c r="G138" s="9" t="s">
        <v>226</v>
      </c>
      <c r="H138" s="9" t="s">
        <v>195</v>
      </c>
      <c r="I138" s="13" t="s">
        <v>67</v>
      </c>
      <c r="J138" s="13" t="s">
        <v>67</v>
      </c>
      <c r="K138" s="42" t="n">
        <v>0</v>
      </c>
      <c r="L138" s="13" t="s">
        <v>240</v>
      </c>
      <c r="M138" s="13" t="s">
        <v>29</v>
      </c>
      <c r="N138" s="13" t="s">
        <v>67</v>
      </c>
      <c r="O138" s="42" t="n">
        <v>0</v>
      </c>
    </row>
    <row r="139" customFormat="false" ht="15" hidden="false" customHeight="false" outlineLevel="0" collapsed="false">
      <c r="A139" s="9" t="s">
        <v>372</v>
      </c>
      <c r="B139" s="9" t="s">
        <v>182</v>
      </c>
      <c r="C139" s="9" t="s">
        <v>183</v>
      </c>
      <c r="D139" s="9" t="s">
        <v>202</v>
      </c>
      <c r="E139" s="9" t="s">
        <v>203</v>
      </c>
      <c r="F139" s="9" t="s">
        <v>216</v>
      </c>
      <c r="G139" s="9" t="s">
        <v>217</v>
      </c>
      <c r="H139" s="9" t="s">
        <v>205</v>
      </c>
      <c r="I139" s="13" t="s">
        <v>67</v>
      </c>
      <c r="J139" s="13" t="s">
        <v>67</v>
      </c>
      <c r="K139" s="42" t="n">
        <v>0</v>
      </c>
      <c r="L139" s="13" t="s">
        <v>240</v>
      </c>
      <c r="M139" s="13" t="s">
        <v>29</v>
      </c>
      <c r="N139" s="13" t="s">
        <v>67</v>
      </c>
      <c r="O139" s="42" t="n">
        <v>0</v>
      </c>
    </row>
    <row r="140" customFormat="false" ht="15" hidden="false" customHeight="false" outlineLevel="0" collapsed="false">
      <c r="A140" s="9" t="s">
        <v>373</v>
      </c>
      <c r="B140" s="9" t="s">
        <v>182</v>
      </c>
      <c r="C140" s="9" t="s">
        <v>183</v>
      </c>
      <c r="D140" s="9" t="s">
        <v>202</v>
      </c>
      <c r="E140" s="9" t="s">
        <v>203</v>
      </c>
      <c r="F140" s="9" t="s">
        <v>219</v>
      </c>
      <c r="G140" s="9" t="s">
        <v>220</v>
      </c>
      <c r="H140" s="9" t="s">
        <v>205</v>
      </c>
      <c r="I140" s="13" t="s">
        <v>67</v>
      </c>
      <c r="J140" s="13" t="s">
        <v>67</v>
      </c>
      <c r="K140" s="42" t="n">
        <v>0</v>
      </c>
      <c r="L140" s="13" t="s">
        <v>240</v>
      </c>
      <c r="M140" s="13" t="s">
        <v>29</v>
      </c>
      <c r="N140" s="13" t="s">
        <v>67</v>
      </c>
      <c r="O140" s="42" t="n">
        <v>0</v>
      </c>
    </row>
    <row r="141" customFormat="false" ht="15" hidden="false" customHeight="false" outlineLevel="0" collapsed="false">
      <c r="A141" s="9" t="s">
        <v>374</v>
      </c>
      <c r="B141" s="9" t="s">
        <v>182</v>
      </c>
      <c r="C141" s="9" t="s">
        <v>183</v>
      </c>
      <c r="D141" s="9" t="s">
        <v>202</v>
      </c>
      <c r="E141" s="9" t="s">
        <v>203</v>
      </c>
      <c r="F141" s="9" t="s">
        <v>222</v>
      </c>
      <c r="G141" s="9" t="s">
        <v>223</v>
      </c>
      <c r="H141" s="9" t="s">
        <v>205</v>
      </c>
      <c r="I141" s="13" t="s">
        <v>67</v>
      </c>
      <c r="J141" s="13" t="s">
        <v>67</v>
      </c>
      <c r="K141" s="42" t="n">
        <v>0</v>
      </c>
      <c r="L141" s="13" t="s">
        <v>240</v>
      </c>
      <c r="M141" s="13" t="s">
        <v>29</v>
      </c>
      <c r="N141" s="13" t="s">
        <v>67</v>
      </c>
      <c r="O141" s="42" t="n">
        <v>0</v>
      </c>
    </row>
    <row r="142" customFormat="false" ht="15" hidden="false" customHeight="false" outlineLevel="0" collapsed="false">
      <c r="A142" s="9" t="s">
        <v>375</v>
      </c>
      <c r="B142" s="9" t="s">
        <v>182</v>
      </c>
      <c r="C142" s="9" t="s">
        <v>183</v>
      </c>
      <c r="D142" s="9" t="s">
        <v>202</v>
      </c>
      <c r="E142" s="9" t="s">
        <v>203</v>
      </c>
      <c r="F142" s="9" t="s">
        <v>225</v>
      </c>
      <c r="G142" s="9" t="s">
        <v>226</v>
      </c>
      <c r="H142" s="9" t="s">
        <v>205</v>
      </c>
      <c r="I142" s="13" t="s">
        <v>67</v>
      </c>
      <c r="J142" s="13" t="s">
        <v>67</v>
      </c>
      <c r="K142" s="42" t="n">
        <v>0</v>
      </c>
      <c r="L142" s="13" t="s">
        <v>240</v>
      </c>
      <c r="M142" s="13" t="s">
        <v>29</v>
      </c>
      <c r="N142" s="13" t="s">
        <v>67</v>
      </c>
      <c r="O142" s="42" t="n">
        <v>0</v>
      </c>
    </row>
    <row r="143" customFormat="false" ht="15" hidden="false" customHeight="false" outlineLevel="0" collapsed="false">
      <c r="A143" s="9" t="s">
        <v>376</v>
      </c>
      <c r="B143" s="9" t="s">
        <v>182</v>
      </c>
      <c r="C143" s="9" t="s">
        <v>183</v>
      </c>
      <c r="D143" s="9" t="s">
        <v>206</v>
      </c>
      <c r="E143" s="9" t="s">
        <v>207</v>
      </c>
      <c r="F143" s="9" t="s">
        <v>216</v>
      </c>
      <c r="G143" s="9" t="s">
        <v>217</v>
      </c>
      <c r="H143" s="9" t="s">
        <v>195</v>
      </c>
      <c r="I143" s="13" t="s">
        <v>67</v>
      </c>
      <c r="J143" s="13" t="s">
        <v>67</v>
      </c>
      <c r="K143" s="42" t="n">
        <v>0</v>
      </c>
      <c r="L143" s="13" t="s">
        <v>240</v>
      </c>
      <c r="M143" s="13" t="s">
        <v>29</v>
      </c>
      <c r="N143" s="13" t="s">
        <v>67</v>
      </c>
      <c r="O143" s="42" t="n">
        <v>0</v>
      </c>
    </row>
    <row r="144" customFormat="false" ht="15" hidden="false" customHeight="false" outlineLevel="0" collapsed="false">
      <c r="A144" s="9" t="s">
        <v>377</v>
      </c>
      <c r="B144" s="9" t="s">
        <v>182</v>
      </c>
      <c r="C144" s="9" t="s">
        <v>183</v>
      </c>
      <c r="D144" s="9" t="s">
        <v>206</v>
      </c>
      <c r="E144" s="9" t="s">
        <v>207</v>
      </c>
      <c r="F144" s="9" t="s">
        <v>219</v>
      </c>
      <c r="G144" s="9" t="s">
        <v>220</v>
      </c>
      <c r="H144" s="9" t="s">
        <v>195</v>
      </c>
      <c r="I144" s="13" t="s">
        <v>67</v>
      </c>
      <c r="J144" s="13" t="s">
        <v>67</v>
      </c>
      <c r="K144" s="42" t="n">
        <v>0</v>
      </c>
      <c r="L144" s="13" t="s">
        <v>240</v>
      </c>
      <c r="M144" s="13" t="s">
        <v>29</v>
      </c>
      <c r="N144" s="13" t="s">
        <v>67</v>
      </c>
      <c r="O144" s="42" t="n">
        <v>0</v>
      </c>
    </row>
    <row r="145" customFormat="false" ht="15" hidden="false" customHeight="false" outlineLevel="0" collapsed="false">
      <c r="A145" s="9" t="s">
        <v>378</v>
      </c>
      <c r="B145" s="9" t="s">
        <v>182</v>
      </c>
      <c r="C145" s="9" t="s">
        <v>183</v>
      </c>
      <c r="D145" s="9" t="s">
        <v>206</v>
      </c>
      <c r="E145" s="9" t="s">
        <v>207</v>
      </c>
      <c r="F145" s="9" t="s">
        <v>222</v>
      </c>
      <c r="G145" s="9" t="s">
        <v>223</v>
      </c>
      <c r="H145" s="9" t="s">
        <v>195</v>
      </c>
      <c r="I145" s="13" t="s">
        <v>67</v>
      </c>
      <c r="J145" s="13" t="s">
        <v>67</v>
      </c>
      <c r="K145" s="42" t="n">
        <v>0</v>
      </c>
      <c r="L145" s="13" t="s">
        <v>240</v>
      </c>
      <c r="M145" s="13" t="s">
        <v>29</v>
      </c>
      <c r="N145" s="13" t="s">
        <v>67</v>
      </c>
      <c r="O145" s="42" t="n">
        <v>0</v>
      </c>
    </row>
    <row r="146" customFormat="false" ht="15" hidden="false" customHeight="false" outlineLevel="0" collapsed="false">
      <c r="A146" s="9" t="s">
        <v>379</v>
      </c>
      <c r="B146" s="9" t="s">
        <v>182</v>
      </c>
      <c r="C146" s="9" t="s">
        <v>183</v>
      </c>
      <c r="D146" s="9" t="s">
        <v>206</v>
      </c>
      <c r="E146" s="9" t="s">
        <v>207</v>
      </c>
      <c r="F146" s="9" t="s">
        <v>225</v>
      </c>
      <c r="G146" s="9" t="s">
        <v>226</v>
      </c>
      <c r="H146" s="9" t="s">
        <v>195</v>
      </c>
      <c r="I146" s="13" t="s">
        <v>67</v>
      </c>
      <c r="J146" s="13" t="s">
        <v>67</v>
      </c>
      <c r="K146" s="42" t="n">
        <v>0</v>
      </c>
      <c r="L146" s="13" t="s">
        <v>240</v>
      </c>
      <c r="M146" s="13" t="s">
        <v>29</v>
      </c>
      <c r="N146" s="13" t="s">
        <v>67</v>
      </c>
      <c r="O146" s="42" t="n">
        <v>0</v>
      </c>
    </row>
    <row r="147" customFormat="false" ht="15" hidden="false" customHeight="false" outlineLevel="0" collapsed="false">
      <c r="A147" s="9" t="s">
        <v>380</v>
      </c>
      <c r="B147" s="9" t="s">
        <v>182</v>
      </c>
      <c r="C147" s="9" t="s">
        <v>183</v>
      </c>
      <c r="D147" s="9" t="s">
        <v>209</v>
      </c>
      <c r="E147" s="9" t="s">
        <v>210</v>
      </c>
      <c r="F147" s="9" t="s">
        <v>216</v>
      </c>
      <c r="G147" s="9" t="s">
        <v>217</v>
      </c>
      <c r="H147" s="9" t="s">
        <v>205</v>
      </c>
      <c r="I147" s="13" t="s">
        <v>67</v>
      </c>
      <c r="J147" s="13" t="s">
        <v>67</v>
      </c>
      <c r="K147" s="42" t="n">
        <v>0</v>
      </c>
      <c r="L147" s="13" t="s">
        <v>240</v>
      </c>
      <c r="M147" s="13" t="s">
        <v>29</v>
      </c>
      <c r="N147" s="13" t="s">
        <v>67</v>
      </c>
      <c r="O147" s="42" t="n">
        <v>0</v>
      </c>
    </row>
    <row r="148" customFormat="false" ht="15" hidden="false" customHeight="false" outlineLevel="0" collapsed="false">
      <c r="A148" s="9" t="s">
        <v>381</v>
      </c>
      <c r="B148" s="9" t="s">
        <v>182</v>
      </c>
      <c r="C148" s="9" t="s">
        <v>183</v>
      </c>
      <c r="D148" s="9" t="s">
        <v>209</v>
      </c>
      <c r="E148" s="9" t="s">
        <v>210</v>
      </c>
      <c r="F148" s="9" t="s">
        <v>219</v>
      </c>
      <c r="G148" s="9" t="s">
        <v>220</v>
      </c>
      <c r="H148" s="9" t="s">
        <v>205</v>
      </c>
      <c r="I148" s="13" t="s">
        <v>67</v>
      </c>
      <c r="J148" s="13" t="s">
        <v>67</v>
      </c>
      <c r="K148" s="42" t="n">
        <v>0</v>
      </c>
      <c r="L148" s="13" t="s">
        <v>240</v>
      </c>
      <c r="M148" s="13" t="s">
        <v>29</v>
      </c>
      <c r="N148" s="13" t="s">
        <v>67</v>
      </c>
      <c r="O148" s="42" t="n">
        <v>0</v>
      </c>
    </row>
    <row r="149" customFormat="false" ht="15" hidden="false" customHeight="false" outlineLevel="0" collapsed="false">
      <c r="A149" s="9" t="s">
        <v>382</v>
      </c>
      <c r="B149" s="9" t="s">
        <v>182</v>
      </c>
      <c r="C149" s="9" t="s">
        <v>183</v>
      </c>
      <c r="D149" s="9" t="s">
        <v>209</v>
      </c>
      <c r="E149" s="9" t="s">
        <v>210</v>
      </c>
      <c r="F149" s="9" t="s">
        <v>222</v>
      </c>
      <c r="G149" s="9" t="s">
        <v>223</v>
      </c>
      <c r="H149" s="9" t="s">
        <v>205</v>
      </c>
      <c r="I149" s="13" t="s">
        <v>67</v>
      </c>
      <c r="J149" s="13" t="s">
        <v>67</v>
      </c>
      <c r="K149" s="42" t="n">
        <v>0</v>
      </c>
      <c r="L149" s="13" t="s">
        <v>240</v>
      </c>
      <c r="M149" s="13" t="s">
        <v>29</v>
      </c>
      <c r="N149" s="13" t="s">
        <v>67</v>
      </c>
      <c r="O149" s="42" t="n">
        <v>0</v>
      </c>
    </row>
    <row r="150" customFormat="false" ht="15" hidden="false" customHeight="false" outlineLevel="0" collapsed="false">
      <c r="A150" s="14" t="s">
        <v>383</v>
      </c>
      <c r="B150" s="14" t="s">
        <v>182</v>
      </c>
      <c r="C150" s="14" t="s">
        <v>183</v>
      </c>
      <c r="D150" s="14" t="s">
        <v>209</v>
      </c>
      <c r="E150" s="14" t="s">
        <v>210</v>
      </c>
      <c r="F150" s="14" t="s">
        <v>225</v>
      </c>
      <c r="G150" s="14" t="s">
        <v>226</v>
      </c>
      <c r="H150" s="14" t="s">
        <v>205</v>
      </c>
      <c r="I150" s="16" t="s">
        <v>67</v>
      </c>
      <c r="J150" s="16" t="s">
        <v>67</v>
      </c>
      <c r="K150" s="43" t="n">
        <v>0</v>
      </c>
      <c r="L150" s="16" t="s">
        <v>240</v>
      </c>
      <c r="M150" s="16" t="s">
        <v>29</v>
      </c>
      <c r="N150" s="16" t="s">
        <v>67</v>
      </c>
      <c r="O150" s="43" t="n">
        <v>0</v>
      </c>
    </row>
  </sheetData>
  <mergeCells count="2">
    <mergeCell ref="A2:O2"/>
    <mergeCell ref="A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51"/>
    <col collapsed="false" customWidth="true" hidden="false" outlineLevel="0" max="6" min="6" style="0" width="55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30"/>
  </cols>
  <sheetData>
    <row r="2" customFormat="false" ht="24" hidden="false" customHeight="true" outlineLevel="0" collapsed="false">
      <c r="A2" s="1" t="s">
        <v>384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385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386</v>
      </c>
      <c r="B6" s="6" t="s">
        <v>148</v>
      </c>
      <c r="C6" s="6" t="s">
        <v>149</v>
      </c>
      <c r="D6" s="6" t="s">
        <v>387</v>
      </c>
      <c r="E6" s="6" t="s">
        <v>388</v>
      </c>
      <c r="F6" s="6" t="s">
        <v>389</v>
      </c>
      <c r="G6" s="6" t="s">
        <v>390</v>
      </c>
      <c r="H6" s="6" t="s">
        <v>391</v>
      </c>
      <c r="I6" s="6" t="s">
        <v>392</v>
      </c>
      <c r="J6" s="7" t="s">
        <v>393</v>
      </c>
    </row>
    <row r="7" customFormat="false" ht="15" hidden="false" customHeight="false" outlineLevel="0" collapsed="false">
      <c r="A7" s="8" t="s">
        <v>394</v>
      </c>
      <c r="B7" s="8" t="s">
        <v>158</v>
      </c>
      <c r="C7" s="8" t="s">
        <v>159</v>
      </c>
      <c r="D7" s="8" t="s">
        <v>395</v>
      </c>
      <c r="E7" s="8" t="s">
        <v>396</v>
      </c>
      <c r="F7" s="8" t="s">
        <v>162</v>
      </c>
      <c r="G7" s="8" t="s">
        <v>20</v>
      </c>
      <c r="H7" s="41" t="n">
        <v>0</v>
      </c>
      <c r="I7" s="33" t="s">
        <v>29</v>
      </c>
      <c r="J7" s="33" t="s">
        <v>397</v>
      </c>
    </row>
    <row r="8" customFormat="false" ht="15" hidden="false" customHeight="false" outlineLevel="0" collapsed="false">
      <c r="A8" s="9" t="s">
        <v>398</v>
      </c>
      <c r="B8" s="9" t="s">
        <v>158</v>
      </c>
      <c r="C8" s="9" t="s">
        <v>159</v>
      </c>
      <c r="D8" s="9" t="s">
        <v>399</v>
      </c>
      <c r="E8" s="9" t="s">
        <v>400</v>
      </c>
      <c r="F8" s="9" t="s">
        <v>162</v>
      </c>
      <c r="G8" s="9" t="s">
        <v>20</v>
      </c>
      <c r="H8" s="42" t="n">
        <v>0</v>
      </c>
      <c r="I8" s="13" t="s">
        <v>29</v>
      </c>
      <c r="J8" s="13" t="s">
        <v>397</v>
      </c>
    </row>
    <row r="9" customFormat="false" ht="15" hidden="false" customHeight="false" outlineLevel="0" collapsed="false">
      <c r="A9" s="9" t="s">
        <v>401</v>
      </c>
      <c r="B9" s="9" t="s">
        <v>158</v>
      </c>
      <c r="C9" s="9" t="s">
        <v>159</v>
      </c>
      <c r="D9" s="9" t="s">
        <v>402</v>
      </c>
      <c r="E9" s="9" t="s">
        <v>403</v>
      </c>
      <c r="F9" s="9" t="s">
        <v>162</v>
      </c>
      <c r="G9" s="9" t="s">
        <v>20</v>
      </c>
      <c r="H9" s="42" t="n">
        <v>0</v>
      </c>
      <c r="I9" s="13" t="s">
        <v>29</v>
      </c>
      <c r="J9" s="13" t="s">
        <v>397</v>
      </c>
    </row>
    <row r="10" customFormat="false" ht="15" hidden="false" customHeight="false" outlineLevel="0" collapsed="false">
      <c r="A10" s="9" t="s">
        <v>404</v>
      </c>
      <c r="B10" s="9" t="s">
        <v>158</v>
      </c>
      <c r="C10" s="9" t="s">
        <v>159</v>
      </c>
      <c r="D10" s="9" t="s">
        <v>405</v>
      </c>
      <c r="E10" s="9" t="s">
        <v>406</v>
      </c>
      <c r="F10" s="9" t="s">
        <v>162</v>
      </c>
      <c r="G10" s="9" t="s">
        <v>20</v>
      </c>
      <c r="H10" s="42" t="n">
        <v>0</v>
      </c>
      <c r="I10" s="13" t="s">
        <v>29</v>
      </c>
      <c r="J10" s="13" t="s">
        <v>397</v>
      </c>
    </row>
    <row r="11" customFormat="false" ht="15" hidden="false" customHeight="false" outlineLevel="0" collapsed="false">
      <c r="A11" s="9" t="s">
        <v>407</v>
      </c>
      <c r="B11" s="9" t="s">
        <v>158</v>
      </c>
      <c r="C11" s="9" t="s">
        <v>159</v>
      </c>
      <c r="D11" s="9" t="s">
        <v>408</v>
      </c>
      <c r="E11" s="9" t="s">
        <v>409</v>
      </c>
      <c r="F11" s="9" t="s">
        <v>162</v>
      </c>
      <c r="G11" s="9" t="s">
        <v>20</v>
      </c>
      <c r="H11" s="42" t="n">
        <v>0</v>
      </c>
      <c r="I11" s="13" t="s">
        <v>29</v>
      </c>
      <c r="J11" s="13" t="s">
        <v>397</v>
      </c>
    </row>
    <row r="12" customFormat="false" ht="15" hidden="false" customHeight="false" outlineLevel="0" collapsed="false">
      <c r="A12" s="9" t="s">
        <v>410</v>
      </c>
      <c r="B12" s="9" t="s">
        <v>158</v>
      </c>
      <c r="C12" s="9" t="s">
        <v>159</v>
      </c>
      <c r="D12" s="9" t="s">
        <v>411</v>
      </c>
      <c r="E12" s="9" t="s">
        <v>412</v>
      </c>
      <c r="F12" s="9" t="s">
        <v>162</v>
      </c>
      <c r="G12" s="9" t="s">
        <v>20</v>
      </c>
      <c r="H12" s="42" t="n">
        <v>0</v>
      </c>
      <c r="I12" s="13" t="s">
        <v>29</v>
      </c>
      <c r="J12" s="13" t="s">
        <v>397</v>
      </c>
    </row>
    <row r="13" customFormat="false" ht="15" hidden="false" customHeight="false" outlineLevel="0" collapsed="false">
      <c r="A13" s="9" t="s">
        <v>413</v>
      </c>
      <c r="B13" s="9" t="s">
        <v>158</v>
      </c>
      <c r="C13" s="9" t="s">
        <v>159</v>
      </c>
      <c r="D13" s="9" t="s">
        <v>414</v>
      </c>
      <c r="E13" s="9" t="s">
        <v>415</v>
      </c>
      <c r="F13" s="9" t="s">
        <v>162</v>
      </c>
      <c r="G13" s="9" t="s">
        <v>20</v>
      </c>
      <c r="H13" s="42" t="n">
        <v>0</v>
      </c>
      <c r="I13" s="13" t="s">
        <v>29</v>
      </c>
      <c r="J13" s="13" t="s">
        <v>397</v>
      </c>
    </row>
    <row r="14" customFormat="false" ht="15" hidden="false" customHeight="false" outlineLevel="0" collapsed="false">
      <c r="A14" s="9" t="s">
        <v>416</v>
      </c>
      <c r="B14" s="9" t="s">
        <v>158</v>
      </c>
      <c r="C14" s="9" t="s">
        <v>159</v>
      </c>
      <c r="D14" s="9" t="s">
        <v>417</v>
      </c>
      <c r="E14" s="9" t="s">
        <v>418</v>
      </c>
      <c r="F14" s="9" t="s">
        <v>162</v>
      </c>
      <c r="G14" s="9" t="s">
        <v>20</v>
      </c>
      <c r="H14" s="42" t="n">
        <v>0</v>
      </c>
      <c r="I14" s="13" t="s">
        <v>29</v>
      </c>
      <c r="J14" s="13" t="s">
        <v>397</v>
      </c>
    </row>
    <row r="15" customFormat="false" ht="15" hidden="false" customHeight="false" outlineLevel="0" collapsed="false">
      <c r="A15" s="9" t="s">
        <v>419</v>
      </c>
      <c r="B15" s="9" t="s">
        <v>164</v>
      </c>
      <c r="C15" s="9" t="s">
        <v>165</v>
      </c>
      <c r="D15" s="9" t="s">
        <v>395</v>
      </c>
      <c r="E15" s="9" t="s">
        <v>396</v>
      </c>
      <c r="F15" s="9" t="s">
        <v>168</v>
      </c>
      <c r="G15" s="9" t="s">
        <v>20</v>
      </c>
      <c r="H15" s="42" t="n">
        <v>0</v>
      </c>
      <c r="I15" s="13" t="s">
        <v>29</v>
      </c>
      <c r="J15" s="13" t="s">
        <v>397</v>
      </c>
    </row>
    <row r="16" customFormat="false" ht="15" hidden="false" customHeight="false" outlineLevel="0" collapsed="false">
      <c r="A16" s="9" t="s">
        <v>420</v>
      </c>
      <c r="B16" s="9" t="s">
        <v>164</v>
      </c>
      <c r="C16" s="9" t="s">
        <v>165</v>
      </c>
      <c r="D16" s="9" t="s">
        <v>399</v>
      </c>
      <c r="E16" s="9" t="s">
        <v>400</v>
      </c>
      <c r="F16" s="9" t="s">
        <v>168</v>
      </c>
      <c r="G16" s="9" t="s">
        <v>20</v>
      </c>
      <c r="H16" s="42" t="n">
        <v>0</v>
      </c>
      <c r="I16" s="13" t="s">
        <v>29</v>
      </c>
      <c r="J16" s="13" t="s">
        <v>397</v>
      </c>
    </row>
    <row r="17" customFormat="false" ht="15" hidden="false" customHeight="false" outlineLevel="0" collapsed="false">
      <c r="A17" s="9" t="s">
        <v>421</v>
      </c>
      <c r="B17" s="9" t="s">
        <v>164</v>
      </c>
      <c r="C17" s="9" t="s">
        <v>165</v>
      </c>
      <c r="D17" s="9" t="s">
        <v>402</v>
      </c>
      <c r="E17" s="9" t="s">
        <v>403</v>
      </c>
      <c r="F17" s="9" t="s">
        <v>168</v>
      </c>
      <c r="G17" s="9" t="s">
        <v>20</v>
      </c>
      <c r="H17" s="42" t="n">
        <v>0</v>
      </c>
      <c r="I17" s="13" t="s">
        <v>29</v>
      </c>
      <c r="J17" s="13" t="s">
        <v>397</v>
      </c>
    </row>
    <row r="18" customFormat="false" ht="15" hidden="false" customHeight="false" outlineLevel="0" collapsed="false">
      <c r="A18" s="9" t="s">
        <v>422</v>
      </c>
      <c r="B18" s="9" t="s">
        <v>164</v>
      </c>
      <c r="C18" s="9" t="s">
        <v>165</v>
      </c>
      <c r="D18" s="9" t="s">
        <v>405</v>
      </c>
      <c r="E18" s="9" t="s">
        <v>406</v>
      </c>
      <c r="F18" s="9" t="s">
        <v>168</v>
      </c>
      <c r="G18" s="9" t="s">
        <v>20</v>
      </c>
      <c r="H18" s="42" t="n">
        <v>0</v>
      </c>
      <c r="I18" s="13" t="s">
        <v>29</v>
      </c>
      <c r="J18" s="13" t="s">
        <v>397</v>
      </c>
    </row>
    <row r="19" customFormat="false" ht="15" hidden="false" customHeight="false" outlineLevel="0" collapsed="false">
      <c r="A19" s="9" t="s">
        <v>423</v>
      </c>
      <c r="B19" s="9" t="s">
        <v>164</v>
      </c>
      <c r="C19" s="9" t="s">
        <v>165</v>
      </c>
      <c r="D19" s="9" t="s">
        <v>408</v>
      </c>
      <c r="E19" s="9" t="s">
        <v>409</v>
      </c>
      <c r="F19" s="9" t="s">
        <v>168</v>
      </c>
      <c r="G19" s="9" t="s">
        <v>20</v>
      </c>
      <c r="H19" s="42" t="n">
        <v>0</v>
      </c>
      <c r="I19" s="13" t="s">
        <v>29</v>
      </c>
      <c r="J19" s="13" t="s">
        <v>397</v>
      </c>
    </row>
    <row r="20" customFormat="false" ht="15" hidden="false" customHeight="false" outlineLevel="0" collapsed="false">
      <c r="A20" s="9" t="s">
        <v>424</v>
      </c>
      <c r="B20" s="9" t="s">
        <v>164</v>
      </c>
      <c r="C20" s="9" t="s">
        <v>165</v>
      </c>
      <c r="D20" s="9" t="s">
        <v>411</v>
      </c>
      <c r="E20" s="9" t="s">
        <v>412</v>
      </c>
      <c r="F20" s="9" t="s">
        <v>168</v>
      </c>
      <c r="G20" s="9" t="s">
        <v>20</v>
      </c>
      <c r="H20" s="42" t="n">
        <v>0</v>
      </c>
      <c r="I20" s="13" t="s">
        <v>29</v>
      </c>
      <c r="J20" s="13" t="s">
        <v>397</v>
      </c>
    </row>
    <row r="21" customFormat="false" ht="15" hidden="false" customHeight="false" outlineLevel="0" collapsed="false">
      <c r="A21" s="9" t="s">
        <v>425</v>
      </c>
      <c r="B21" s="9" t="s">
        <v>164</v>
      </c>
      <c r="C21" s="9" t="s">
        <v>165</v>
      </c>
      <c r="D21" s="9" t="s">
        <v>414</v>
      </c>
      <c r="E21" s="9" t="s">
        <v>415</v>
      </c>
      <c r="F21" s="9" t="s">
        <v>168</v>
      </c>
      <c r="G21" s="9" t="s">
        <v>20</v>
      </c>
      <c r="H21" s="42" t="n">
        <v>0</v>
      </c>
      <c r="I21" s="13" t="s">
        <v>29</v>
      </c>
      <c r="J21" s="13" t="s">
        <v>397</v>
      </c>
    </row>
    <row r="22" customFormat="false" ht="15" hidden="false" customHeight="false" outlineLevel="0" collapsed="false">
      <c r="A22" s="9" t="s">
        <v>426</v>
      </c>
      <c r="B22" s="9" t="s">
        <v>164</v>
      </c>
      <c r="C22" s="9" t="s">
        <v>165</v>
      </c>
      <c r="D22" s="9" t="s">
        <v>417</v>
      </c>
      <c r="E22" s="9" t="s">
        <v>418</v>
      </c>
      <c r="F22" s="9" t="s">
        <v>168</v>
      </c>
      <c r="G22" s="9" t="s">
        <v>20</v>
      </c>
      <c r="H22" s="42" t="n">
        <v>0</v>
      </c>
      <c r="I22" s="13" t="s">
        <v>29</v>
      </c>
      <c r="J22" s="13" t="s">
        <v>397</v>
      </c>
    </row>
    <row r="23" customFormat="false" ht="15" hidden="false" customHeight="false" outlineLevel="0" collapsed="false">
      <c r="A23" s="9" t="s">
        <v>427</v>
      </c>
      <c r="B23" s="9" t="s">
        <v>169</v>
      </c>
      <c r="C23" s="9" t="s">
        <v>170</v>
      </c>
      <c r="D23" s="9" t="s">
        <v>395</v>
      </c>
      <c r="E23" s="9" t="s">
        <v>396</v>
      </c>
      <c r="F23" s="9" t="s">
        <v>172</v>
      </c>
      <c r="G23" s="9" t="s">
        <v>20</v>
      </c>
      <c r="H23" s="42" t="n">
        <v>0</v>
      </c>
      <c r="I23" s="13" t="s">
        <v>29</v>
      </c>
      <c r="J23" s="13" t="s">
        <v>397</v>
      </c>
    </row>
    <row r="24" customFormat="false" ht="15" hidden="false" customHeight="false" outlineLevel="0" collapsed="false">
      <c r="A24" s="9" t="s">
        <v>428</v>
      </c>
      <c r="B24" s="9" t="s">
        <v>169</v>
      </c>
      <c r="C24" s="9" t="s">
        <v>170</v>
      </c>
      <c r="D24" s="9" t="s">
        <v>399</v>
      </c>
      <c r="E24" s="9" t="s">
        <v>400</v>
      </c>
      <c r="F24" s="9" t="s">
        <v>172</v>
      </c>
      <c r="G24" s="9" t="s">
        <v>20</v>
      </c>
      <c r="H24" s="42" t="n">
        <v>0</v>
      </c>
      <c r="I24" s="13" t="s">
        <v>29</v>
      </c>
      <c r="J24" s="13" t="s">
        <v>397</v>
      </c>
    </row>
    <row r="25" customFormat="false" ht="15" hidden="false" customHeight="false" outlineLevel="0" collapsed="false">
      <c r="A25" s="9" t="s">
        <v>429</v>
      </c>
      <c r="B25" s="9" t="s">
        <v>169</v>
      </c>
      <c r="C25" s="9" t="s">
        <v>170</v>
      </c>
      <c r="D25" s="9" t="s">
        <v>402</v>
      </c>
      <c r="E25" s="9" t="s">
        <v>403</v>
      </c>
      <c r="F25" s="9" t="s">
        <v>172</v>
      </c>
      <c r="G25" s="9" t="s">
        <v>20</v>
      </c>
      <c r="H25" s="42" t="n">
        <v>0</v>
      </c>
      <c r="I25" s="13" t="s">
        <v>29</v>
      </c>
      <c r="J25" s="13" t="s">
        <v>397</v>
      </c>
    </row>
    <row r="26" customFormat="false" ht="15" hidden="false" customHeight="false" outlineLevel="0" collapsed="false">
      <c r="A26" s="9" t="s">
        <v>430</v>
      </c>
      <c r="B26" s="9" t="s">
        <v>169</v>
      </c>
      <c r="C26" s="9" t="s">
        <v>170</v>
      </c>
      <c r="D26" s="9" t="s">
        <v>405</v>
      </c>
      <c r="E26" s="9" t="s">
        <v>406</v>
      </c>
      <c r="F26" s="9" t="s">
        <v>172</v>
      </c>
      <c r="G26" s="9" t="s">
        <v>20</v>
      </c>
      <c r="H26" s="42" t="n">
        <v>0</v>
      </c>
      <c r="I26" s="13" t="s">
        <v>29</v>
      </c>
      <c r="J26" s="13" t="s">
        <v>397</v>
      </c>
    </row>
    <row r="27" customFormat="false" ht="15" hidden="false" customHeight="false" outlineLevel="0" collapsed="false">
      <c r="A27" s="9" t="s">
        <v>431</v>
      </c>
      <c r="B27" s="9" t="s">
        <v>169</v>
      </c>
      <c r="C27" s="9" t="s">
        <v>170</v>
      </c>
      <c r="D27" s="9" t="s">
        <v>408</v>
      </c>
      <c r="E27" s="9" t="s">
        <v>409</v>
      </c>
      <c r="F27" s="9" t="s">
        <v>172</v>
      </c>
      <c r="G27" s="9" t="s">
        <v>20</v>
      </c>
      <c r="H27" s="42" t="n">
        <v>0</v>
      </c>
      <c r="I27" s="13" t="s">
        <v>29</v>
      </c>
      <c r="J27" s="13" t="s">
        <v>397</v>
      </c>
    </row>
    <row r="28" customFormat="false" ht="15" hidden="false" customHeight="false" outlineLevel="0" collapsed="false">
      <c r="A28" s="9" t="s">
        <v>432</v>
      </c>
      <c r="B28" s="9" t="s">
        <v>169</v>
      </c>
      <c r="C28" s="9" t="s">
        <v>170</v>
      </c>
      <c r="D28" s="9" t="s">
        <v>411</v>
      </c>
      <c r="E28" s="9" t="s">
        <v>412</v>
      </c>
      <c r="F28" s="9" t="s">
        <v>172</v>
      </c>
      <c r="G28" s="9" t="s">
        <v>20</v>
      </c>
      <c r="H28" s="42" t="n">
        <v>0</v>
      </c>
      <c r="I28" s="13" t="s">
        <v>29</v>
      </c>
      <c r="J28" s="13" t="s">
        <v>397</v>
      </c>
    </row>
    <row r="29" customFormat="false" ht="15" hidden="false" customHeight="false" outlineLevel="0" collapsed="false">
      <c r="A29" s="9" t="s">
        <v>433</v>
      </c>
      <c r="B29" s="9" t="s">
        <v>169</v>
      </c>
      <c r="C29" s="9" t="s">
        <v>170</v>
      </c>
      <c r="D29" s="9" t="s">
        <v>414</v>
      </c>
      <c r="E29" s="9" t="s">
        <v>415</v>
      </c>
      <c r="F29" s="9" t="s">
        <v>172</v>
      </c>
      <c r="G29" s="9" t="s">
        <v>20</v>
      </c>
      <c r="H29" s="42" t="n">
        <v>0</v>
      </c>
      <c r="I29" s="13" t="s">
        <v>29</v>
      </c>
      <c r="J29" s="13" t="s">
        <v>397</v>
      </c>
    </row>
    <row r="30" customFormat="false" ht="15" hidden="false" customHeight="false" outlineLevel="0" collapsed="false">
      <c r="A30" s="9" t="s">
        <v>434</v>
      </c>
      <c r="B30" s="9" t="s">
        <v>169</v>
      </c>
      <c r="C30" s="9" t="s">
        <v>170</v>
      </c>
      <c r="D30" s="9" t="s">
        <v>417</v>
      </c>
      <c r="E30" s="9" t="s">
        <v>418</v>
      </c>
      <c r="F30" s="9" t="s">
        <v>172</v>
      </c>
      <c r="G30" s="9" t="s">
        <v>20</v>
      </c>
      <c r="H30" s="42" t="n">
        <v>0</v>
      </c>
      <c r="I30" s="13" t="s">
        <v>29</v>
      </c>
      <c r="J30" s="13" t="s">
        <v>397</v>
      </c>
    </row>
    <row r="31" customFormat="false" ht="15" hidden="false" customHeight="false" outlineLevel="0" collapsed="false">
      <c r="A31" s="9" t="s">
        <v>435</v>
      </c>
      <c r="B31" s="9" t="s">
        <v>173</v>
      </c>
      <c r="C31" s="9" t="s">
        <v>174</v>
      </c>
      <c r="D31" s="9" t="s">
        <v>395</v>
      </c>
      <c r="E31" s="9" t="s">
        <v>396</v>
      </c>
      <c r="F31" s="9" t="s">
        <v>176</v>
      </c>
      <c r="G31" s="9" t="s">
        <v>20</v>
      </c>
      <c r="H31" s="42" t="n">
        <v>0</v>
      </c>
      <c r="I31" s="13" t="s">
        <v>29</v>
      </c>
      <c r="J31" s="13" t="s">
        <v>397</v>
      </c>
    </row>
    <row r="32" customFormat="false" ht="15" hidden="false" customHeight="false" outlineLevel="0" collapsed="false">
      <c r="A32" s="9" t="s">
        <v>436</v>
      </c>
      <c r="B32" s="9" t="s">
        <v>173</v>
      </c>
      <c r="C32" s="9" t="s">
        <v>174</v>
      </c>
      <c r="D32" s="9" t="s">
        <v>399</v>
      </c>
      <c r="E32" s="9" t="s">
        <v>400</v>
      </c>
      <c r="F32" s="9" t="s">
        <v>176</v>
      </c>
      <c r="G32" s="9" t="s">
        <v>20</v>
      </c>
      <c r="H32" s="42" t="n">
        <v>0</v>
      </c>
      <c r="I32" s="13" t="s">
        <v>29</v>
      </c>
      <c r="J32" s="13" t="s">
        <v>397</v>
      </c>
    </row>
    <row r="33" customFormat="false" ht="15" hidden="false" customHeight="false" outlineLevel="0" collapsed="false">
      <c r="A33" s="9" t="s">
        <v>437</v>
      </c>
      <c r="B33" s="9" t="s">
        <v>173</v>
      </c>
      <c r="C33" s="9" t="s">
        <v>174</v>
      </c>
      <c r="D33" s="9" t="s">
        <v>402</v>
      </c>
      <c r="E33" s="9" t="s">
        <v>403</v>
      </c>
      <c r="F33" s="9" t="s">
        <v>176</v>
      </c>
      <c r="G33" s="9" t="s">
        <v>20</v>
      </c>
      <c r="H33" s="42" t="n">
        <v>0</v>
      </c>
      <c r="I33" s="13" t="s">
        <v>29</v>
      </c>
      <c r="J33" s="13" t="s">
        <v>397</v>
      </c>
    </row>
    <row r="34" customFormat="false" ht="15" hidden="false" customHeight="false" outlineLevel="0" collapsed="false">
      <c r="A34" s="9" t="s">
        <v>438</v>
      </c>
      <c r="B34" s="9" t="s">
        <v>173</v>
      </c>
      <c r="C34" s="9" t="s">
        <v>174</v>
      </c>
      <c r="D34" s="9" t="s">
        <v>405</v>
      </c>
      <c r="E34" s="9" t="s">
        <v>406</v>
      </c>
      <c r="F34" s="9" t="s">
        <v>176</v>
      </c>
      <c r="G34" s="9" t="s">
        <v>20</v>
      </c>
      <c r="H34" s="42" t="n">
        <v>0</v>
      </c>
      <c r="I34" s="13" t="s">
        <v>29</v>
      </c>
      <c r="J34" s="13" t="s">
        <v>397</v>
      </c>
    </row>
    <row r="35" customFormat="false" ht="15" hidden="false" customHeight="false" outlineLevel="0" collapsed="false">
      <c r="A35" s="9" t="s">
        <v>439</v>
      </c>
      <c r="B35" s="9" t="s">
        <v>173</v>
      </c>
      <c r="C35" s="9" t="s">
        <v>174</v>
      </c>
      <c r="D35" s="9" t="s">
        <v>408</v>
      </c>
      <c r="E35" s="9" t="s">
        <v>409</v>
      </c>
      <c r="F35" s="9" t="s">
        <v>176</v>
      </c>
      <c r="G35" s="9" t="s">
        <v>20</v>
      </c>
      <c r="H35" s="42" t="n">
        <v>0</v>
      </c>
      <c r="I35" s="13" t="s">
        <v>29</v>
      </c>
      <c r="J35" s="13" t="s">
        <v>397</v>
      </c>
    </row>
    <row r="36" customFormat="false" ht="15" hidden="false" customHeight="false" outlineLevel="0" collapsed="false">
      <c r="A36" s="9" t="s">
        <v>440</v>
      </c>
      <c r="B36" s="9" t="s">
        <v>173</v>
      </c>
      <c r="C36" s="9" t="s">
        <v>174</v>
      </c>
      <c r="D36" s="9" t="s">
        <v>411</v>
      </c>
      <c r="E36" s="9" t="s">
        <v>412</v>
      </c>
      <c r="F36" s="9" t="s">
        <v>176</v>
      </c>
      <c r="G36" s="9" t="s">
        <v>20</v>
      </c>
      <c r="H36" s="42" t="n">
        <v>0</v>
      </c>
      <c r="I36" s="13" t="s">
        <v>29</v>
      </c>
      <c r="J36" s="13" t="s">
        <v>397</v>
      </c>
    </row>
    <row r="37" customFormat="false" ht="15" hidden="false" customHeight="false" outlineLevel="0" collapsed="false">
      <c r="A37" s="9" t="s">
        <v>441</v>
      </c>
      <c r="B37" s="9" t="s">
        <v>173</v>
      </c>
      <c r="C37" s="9" t="s">
        <v>174</v>
      </c>
      <c r="D37" s="9" t="s">
        <v>414</v>
      </c>
      <c r="E37" s="9" t="s">
        <v>415</v>
      </c>
      <c r="F37" s="9" t="s">
        <v>176</v>
      </c>
      <c r="G37" s="9" t="s">
        <v>20</v>
      </c>
      <c r="H37" s="42" t="n">
        <v>0</v>
      </c>
      <c r="I37" s="13" t="s">
        <v>29</v>
      </c>
      <c r="J37" s="13" t="s">
        <v>397</v>
      </c>
    </row>
    <row r="38" customFormat="false" ht="15" hidden="false" customHeight="false" outlineLevel="0" collapsed="false">
      <c r="A38" s="9" t="s">
        <v>442</v>
      </c>
      <c r="B38" s="9" t="s">
        <v>173</v>
      </c>
      <c r="C38" s="9" t="s">
        <v>174</v>
      </c>
      <c r="D38" s="9" t="s">
        <v>417</v>
      </c>
      <c r="E38" s="9" t="s">
        <v>418</v>
      </c>
      <c r="F38" s="9" t="s">
        <v>176</v>
      </c>
      <c r="G38" s="9" t="s">
        <v>20</v>
      </c>
      <c r="H38" s="42" t="n">
        <v>0</v>
      </c>
      <c r="I38" s="13" t="s">
        <v>29</v>
      </c>
      <c r="J38" s="13" t="s">
        <v>397</v>
      </c>
    </row>
    <row r="39" customFormat="false" ht="15" hidden="false" customHeight="false" outlineLevel="0" collapsed="false">
      <c r="A39" s="9" t="s">
        <v>443</v>
      </c>
      <c r="B39" s="9" t="s">
        <v>177</v>
      </c>
      <c r="C39" s="9" t="s">
        <v>178</v>
      </c>
      <c r="D39" s="9" t="s">
        <v>395</v>
      </c>
      <c r="E39" s="9" t="s">
        <v>396</v>
      </c>
      <c r="F39" s="9" t="s">
        <v>181</v>
      </c>
      <c r="G39" s="9" t="s">
        <v>20</v>
      </c>
      <c r="H39" s="42" t="n">
        <v>0</v>
      </c>
      <c r="I39" s="13" t="s">
        <v>29</v>
      </c>
      <c r="J39" s="13" t="s">
        <v>397</v>
      </c>
    </row>
    <row r="40" customFormat="false" ht="15" hidden="false" customHeight="false" outlineLevel="0" collapsed="false">
      <c r="A40" s="9" t="s">
        <v>444</v>
      </c>
      <c r="B40" s="9" t="s">
        <v>177</v>
      </c>
      <c r="C40" s="9" t="s">
        <v>178</v>
      </c>
      <c r="D40" s="9" t="s">
        <v>399</v>
      </c>
      <c r="E40" s="9" t="s">
        <v>400</v>
      </c>
      <c r="F40" s="9" t="s">
        <v>181</v>
      </c>
      <c r="G40" s="9" t="s">
        <v>20</v>
      </c>
      <c r="H40" s="42" t="n">
        <v>0</v>
      </c>
      <c r="I40" s="13" t="s">
        <v>29</v>
      </c>
      <c r="J40" s="13" t="s">
        <v>397</v>
      </c>
    </row>
    <row r="41" customFormat="false" ht="15" hidden="false" customHeight="false" outlineLevel="0" collapsed="false">
      <c r="A41" s="9" t="s">
        <v>445</v>
      </c>
      <c r="B41" s="9" t="s">
        <v>177</v>
      </c>
      <c r="C41" s="9" t="s">
        <v>178</v>
      </c>
      <c r="D41" s="9" t="s">
        <v>402</v>
      </c>
      <c r="E41" s="9" t="s">
        <v>403</v>
      </c>
      <c r="F41" s="9" t="s">
        <v>181</v>
      </c>
      <c r="G41" s="9" t="s">
        <v>20</v>
      </c>
      <c r="H41" s="42" t="n">
        <v>0</v>
      </c>
      <c r="I41" s="13" t="s">
        <v>29</v>
      </c>
      <c r="J41" s="13" t="s">
        <v>397</v>
      </c>
    </row>
    <row r="42" customFormat="false" ht="15" hidden="false" customHeight="false" outlineLevel="0" collapsed="false">
      <c r="A42" s="9" t="s">
        <v>446</v>
      </c>
      <c r="B42" s="9" t="s">
        <v>177</v>
      </c>
      <c r="C42" s="9" t="s">
        <v>178</v>
      </c>
      <c r="D42" s="9" t="s">
        <v>405</v>
      </c>
      <c r="E42" s="9" t="s">
        <v>406</v>
      </c>
      <c r="F42" s="9" t="s">
        <v>181</v>
      </c>
      <c r="G42" s="9" t="s">
        <v>20</v>
      </c>
      <c r="H42" s="42" t="n">
        <v>0</v>
      </c>
      <c r="I42" s="13" t="s">
        <v>29</v>
      </c>
      <c r="J42" s="13" t="s">
        <v>397</v>
      </c>
    </row>
    <row r="43" customFormat="false" ht="15" hidden="false" customHeight="false" outlineLevel="0" collapsed="false">
      <c r="A43" s="9" t="s">
        <v>447</v>
      </c>
      <c r="B43" s="9" t="s">
        <v>177</v>
      </c>
      <c r="C43" s="9" t="s">
        <v>178</v>
      </c>
      <c r="D43" s="9" t="s">
        <v>408</v>
      </c>
      <c r="E43" s="9" t="s">
        <v>409</v>
      </c>
      <c r="F43" s="9" t="s">
        <v>181</v>
      </c>
      <c r="G43" s="9" t="s">
        <v>20</v>
      </c>
      <c r="H43" s="42" t="n">
        <v>0</v>
      </c>
      <c r="I43" s="13" t="s">
        <v>29</v>
      </c>
      <c r="J43" s="13" t="s">
        <v>397</v>
      </c>
    </row>
    <row r="44" customFormat="false" ht="15" hidden="false" customHeight="false" outlineLevel="0" collapsed="false">
      <c r="A44" s="9" t="s">
        <v>448</v>
      </c>
      <c r="B44" s="9" t="s">
        <v>177</v>
      </c>
      <c r="C44" s="9" t="s">
        <v>178</v>
      </c>
      <c r="D44" s="9" t="s">
        <v>411</v>
      </c>
      <c r="E44" s="9" t="s">
        <v>412</v>
      </c>
      <c r="F44" s="9" t="s">
        <v>181</v>
      </c>
      <c r="G44" s="9" t="s">
        <v>20</v>
      </c>
      <c r="H44" s="42" t="n">
        <v>0</v>
      </c>
      <c r="I44" s="13" t="s">
        <v>29</v>
      </c>
      <c r="J44" s="13" t="s">
        <v>397</v>
      </c>
    </row>
    <row r="45" customFormat="false" ht="15" hidden="false" customHeight="false" outlineLevel="0" collapsed="false">
      <c r="A45" s="9" t="s">
        <v>449</v>
      </c>
      <c r="B45" s="9" t="s">
        <v>177</v>
      </c>
      <c r="C45" s="9" t="s">
        <v>178</v>
      </c>
      <c r="D45" s="9" t="s">
        <v>414</v>
      </c>
      <c r="E45" s="9" t="s">
        <v>415</v>
      </c>
      <c r="F45" s="9" t="s">
        <v>181</v>
      </c>
      <c r="G45" s="9" t="s">
        <v>20</v>
      </c>
      <c r="H45" s="42" t="n">
        <v>0</v>
      </c>
      <c r="I45" s="13" t="s">
        <v>29</v>
      </c>
      <c r="J45" s="13" t="s">
        <v>397</v>
      </c>
    </row>
    <row r="46" customFormat="false" ht="15" hidden="false" customHeight="false" outlineLevel="0" collapsed="false">
      <c r="A46" s="9" t="s">
        <v>450</v>
      </c>
      <c r="B46" s="9" t="s">
        <v>177</v>
      </c>
      <c r="C46" s="9" t="s">
        <v>178</v>
      </c>
      <c r="D46" s="9" t="s">
        <v>417</v>
      </c>
      <c r="E46" s="9" t="s">
        <v>418</v>
      </c>
      <c r="F46" s="9" t="s">
        <v>181</v>
      </c>
      <c r="G46" s="9" t="s">
        <v>20</v>
      </c>
      <c r="H46" s="42" t="n">
        <v>0</v>
      </c>
      <c r="I46" s="13" t="s">
        <v>29</v>
      </c>
      <c r="J46" s="13" t="s">
        <v>397</v>
      </c>
    </row>
    <row r="47" customFormat="false" ht="15" hidden="false" customHeight="false" outlineLevel="0" collapsed="false">
      <c r="A47" s="9" t="s">
        <v>451</v>
      </c>
      <c r="B47" s="9" t="s">
        <v>182</v>
      </c>
      <c r="C47" s="9" t="s">
        <v>183</v>
      </c>
      <c r="D47" s="9" t="s">
        <v>395</v>
      </c>
      <c r="E47" s="9" t="s">
        <v>396</v>
      </c>
      <c r="F47" s="9" t="s">
        <v>185</v>
      </c>
      <c r="G47" s="9" t="s">
        <v>20</v>
      </c>
      <c r="H47" s="42" t="n">
        <v>0</v>
      </c>
      <c r="I47" s="13" t="s">
        <v>29</v>
      </c>
      <c r="J47" s="13" t="s">
        <v>397</v>
      </c>
    </row>
    <row r="48" customFormat="false" ht="15" hidden="false" customHeight="false" outlineLevel="0" collapsed="false">
      <c r="A48" s="9" t="s">
        <v>452</v>
      </c>
      <c r="B48" s="9" t="s">
        <v>182</v>
      </c>
      <c r="C48" s="9" t="s">
        <v>183</v>
      </c>
      <c r="D48" s="9" t="s">
        <v>399</v>
      </c>
      <c r="E48" s="9" t="s">
        <v>400</v>
      </c>
      <c r="F48" s="9" t="s">
        <v>185</v>
      </c>
      <c r="G48" s="9" t="s">
        <v>20</v>
      </c>
      <c r="H48" s="42" t="n">
        <v>0</v>
      </c>
      <c r="I48" s="13" t="s">
        <v>29</v>
      </c>
      <c r="J48" s="13" t="s">
        <v>397</v>
      </c>
    </row>
    <row r="49" customFormat="false" ht="15" hidden="false" customHeight="false" outlineLevel="0" collapsed="false">
      <c r="A49" s="9" t="s">
        <v>453</v>
      </c>
      <c r="B49" s="9" t="s">
        <v>182</v>
      </c>
      <c r="C49" s="9" t="s">
        <v>183</v>
      </c>
      <c r="D49" s="9" t="s">
        <v>402</v>
      </c>
      <c r="E49" s="9" t="s">
        <v>403</v>
      </c>
      <c r="F49" s="9" t="s">
        <v>185</v>
      </c>
      <c r="G49" s="9" t="s">
        <v>20</v>
      </c>
      <c r="H49" s="42" t="n">
        <v>0</v>
      </c>
      <c r="I49" s="13" t="s">
        <v>29</v>
      </c>
      <c r="J49" s="13" t="s">
        <v>397</v>
      </c>
    </row>
    <row r="50" customFormat="false" ht="15" hidden="false" customHeight="false" outlineLevel="0" collapsed="false">
      <c r="A50" s="9" t="s">
        <v>454</v>
      </c>
      <c r="B50" s="9" t="s">
        <v>182</v>
      </c>
      <c r="C50" s="9" t="s">
        <v>183</v>
      </c>
      <c r="D50" s="9" t="s">
        <v>405</v>
      </c>
      <c r="E50" s="9" t="s">
        <v>406</v>
      </c>
      <c r="F50" s="9" t="s">
        <v>185</v>
      </c>
      <c r="G50" s="9" t="s">
        <v>20</v>
      </c>
      <c r="H50" s="42" t="n">
        <v>0</v>
      </c>
      <c r="I50" s="13" t="s">
        <v>29</v>
      </c>
      <c r="J50" s="13" t="s">
        <v>397</v>
      </c>
    </row>
    <row r="51" customFormat="false" ht="15" hidden="false" customHeight="false" outlineLevel="0" collapsed="false">
      <c r="A51" s="9" t="s">
        <v>455</v>
      </c>
      <c r="B51" s="9" t="s">
        <v>182</v>
      </c>
      <c r="C51" s="9" t="s">
        <v>183</v>
      </c>
      <c r="D51" s="9" t="s">
        <v>408</v>
      </c>
      <c r="E51" s="9" t="s">
        <v>409</v>
      </c>
      <c r="F51" s="9" t="s">
        <v>185</v>
      </c>
      <c r="G51" s="9" t="s">
        <v>20</v>
      </c>
      <c r="H51" s="42" t="n">
        <v>0</v>
      </c>
      <c r="I51" s="13" t="s">
        <v>29</v>
      </c>
      <c r="J51" s="13" t="s">
        <v>397</v>
      </c>
    </row>
    <row r="52" customFormat="false" ht="15" hidden="false" customHeight="false" outlineLevel="0" collapsed="false">
      <c r="A52" s="9" t="s">
        <v>456</v>
      </c>
      <c r="B52" s="9" t="s">
        <v>182</v>
      </c>
      <c r="C52" s="9" t="s">
        <v>183</v>
      </c>
      <c r="D52" s="9" t="s">
        <v>411</v>
      </c>
      <c r="E52" s="9" t="s">
        <v>412</v>
      </c>
      <c r="F52" s="9" t="s">
        <v>185</v>
      </c>
      <c r="G52" s="9" t="s">
        <v>20</v>
      </c>
      <c r="H52" s="42" t="n">
        <v>0</v>
      </c>
      <c r="I52" s="13" t="s">
        <v>29</v>
      </c>
      <c r="J52" s="13" t="s">
        <v>397</v>
      </c>
    </row>
    <row r="53" customFormat="false" ht="15" hidden="false" customHeight="false" outlineLevel="0" collapsed="false">
      <c r="A53" s="9" t="s">
        <v>457</v>
      </c>
      <c r="B53" s="9" t="s">
        <v>182</v>
      </c>
      <c r="C53" s="9" t="s">
        <v>183</v>
      </c>
      <c r="D53" s="9" t="s">
        <v>414</v>
      </c>
      <c r="E53" s="9" t="s">
        <v>415</v>
      </c>
      <c r="F53" s="9" t="s">
        <v>185</v>
      </c>
      <c r="G53" s="9" t="s">
        <v>20</v>
      </c>
      <c r="H53" s="42" t="n">
        <v>0</v>
      </c>
      <c r="I53" s="13" t="s">
        <v>29</v>
      </c>
      <c r="J53" s="13" t="s">
        <v>397</v>
      </c>
    </row>
    <row r="54" customFormat="false" ht="15" hidden="false" customHeight="false" outlineLevel="0" collapsed="false">
      <c r="A54" s="14" t="s">
        <v>458</v>
      </c>
      <c r="B54" s="14" t="s">
        <v>182</v>
      </c>
      <c r="C54" s="14" t="s">
        <v>183</v>
      </c>
      <c r="D54" s="14" t="s">
        <v>417</v>
      </c>
      <c r="E54" s="14" t="s">
        <v>418</v>
      </c>
      <c r="F54" s="14" t="s">
        <v>185</v>
      </c>
      <c r="G54" s="14" t="s">
        <v>20</v>
      </c>
      <c r="H54" s="43" t="n">
        <v>0</v>
      </c>
      <c r="I54" s="16" t="s">
        <v>29</v>
      </c>
      <c r="J54" s="16" t="s">
        <v>397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7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37"/>
  </cols>
  <sheetData>
    <row r="2" customFormat="false" ht="24" hidden="false" customHeight="true" outlineLevel="0" collapsed="false">
      <c r="A2" s="1" t="s">
        <v>459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461</v>
      </c>
      <c r="B6" s="6" t="s">
        <v>148</v>
      </c>
      <c r="C6" s="6" t="s">
        <v>149</v>
      </c>
      <c r="D6" s="6" t="s">
        <v>462</v>
      </c>
      <c r="E6" s="6" t="s">
        <v>463</v>
      </c>
      <c r="F6" s="6" t="s">
        <v>464</v>
      </c>
      <c r="G6" s="6" t="s">
        <v>465</v>
      </c>
      <c r="H6" s="6" t="s">
        <v>5</v>
      </c>
      <c r="I6" s="6" t="s">
        <v>391</v>
      </c>
      <c r="J6" s="7" t="s">
        <v>466</v>
      </c>
    </row>
    <row r="7" customFormat="false" ht="15" hidden="false" customHeight="false" outlineLevel="0" collapsed="false">
      <c r="A7" s="8" t="s">
        <v>467</v>
      </c>
      <c r="B7" s="8" t="s">
        <v>158</v>
      </c>
      <c r="C7" s="8" t="s">
        <v>159</v>
      </c>
      <c r="D7" s="8" t="s">
        <v>468</v>
      </c>
      <c r="E7" s="8" t="s">
        <v>469</v>
      </c>
      <c r="F7" s="8" t="s">
        <v>470</v>
      </c>
      <c r="G7" s="8" t="s">
        <v>471</v>
      </c>
      <c r="H7" s="8" t="s">
        <v>34</v>
      </c>
      <c r="I7" s="41" t="n">
        <v>0</v>
      </c>
      <c r="J7" s="33" t="s">
        <v>472</v>
      </c>
    </row>
    <row r="8" customFormat="false" ht="15" hidden="false" customHeight="false" outlineLevel="0" collapsed="false">
      <c r="A8" s="9" t="s">
        <v>473</v>
      </c>
      <c r="B8" s="9" t="s">
        <v>158</v>
      </c>
      <c r="C8" s="9" t="s">
        <v>159</v>
      </c>
      <c r="D8" s="9" t="s">
        <v>474</v>
      </c>
      <c r="E8" s="9" t="s">
        <v>469</v>
      </c>
      <c r="F8" s="9" t="s">
        <v>470</v>
      </c>
      <c r="G8" s="9" t="s">
        <v>471</v>
      </c>
      <c r="H8" s="9" t="s">
        <v>34</v>
      </c>
      <c r="I8" s="42" t="n">
        <v>0</v>
      </c>
      <c r="J8" s="13" t="s">
        <v>472</v>
      </c>
    </row>
    <row r="9" customFormat="false" ht="15" hidden="false" customHeight="false" outlineLevel="0" collapsed="false">
      <c r="A9" s="9" t="s">
        <v>475</v>
      </c>
      <c r="B9" s="9" t="s">
        <v>158</v>
      </c>
      <c r="C9" s="9" t="s">
        <v>159</v>
      </c>
      <c r="D9" s="9" t="s">
        <v>476</v>
      </c>
      <c r="E9" s="9" t="s">
        <v>469</v>
      </c>
      <c r="F9" s="9" t="s">
        <v>470</v>
      </c>
      <c r="G9" s="9" t="s">
        <v>471</v>
      </c>
      <c r="H9" s="9" t="s">
        <v>34</v>
      </c>
      <c r="I9" s="42" t="n">
        <v>0</v>
      </c>
      <c r="J9" s="13" t="s">
        <v>472</v>
      </c>
    </row>
    <row r="10" customFormat="false" ht="15" hidden="false" customHeight="false" outlineLevel="0" collapsed="false">
      <c r="A10" s="9" t="s">
        <v>477</v>
      </c>
      <c r="B10" s="9" t="s">
        <v>158</v>
      </c>
      <c r="C10" s="9" t="s">
        <v>159</v>
      </c>
      <c r="D10" s="9" t="s">
        <v>478</v>
      </c>
      <c r="E10" s="9" t="s">
        <v>469</v>
      </c>
      <c r="F10" s="9" t="s">
        <v>470</v>
      </c>
      <c r="G10" s="9" t="s">
        <v>471</v>
      </c>
      <c r="H10" s="9" t="s">
        <v>34</v>
      </c>
      <c r="I10" s="42" t="n">
        <v>0</v>
      </c>
      <c r="J10" s="13" t="s">
        <v>472</v>
      </c>
    </row>
    <row r="11" customFormat="false" ht="15" hidden="false" customHeight="false" outlineLevel="0" collapsed="false">
      <c r="A11" s="9" t="s">
        <v>479</v>
      </c>
      <c r="B11" s="9" t="s">
        <v>158</v>
      </c>
      <c r="C11" s="9" t="s">
        <v>159</v>
      </c>
      <c r="D11" s="9" t="s">
        <v>480</v>
      </c>
      <c r="E11" s="9" t="s">
        <v>469</v>
      </c>
      <c r="F11" s="9" t="s">
        <v>470</v>
      </c>
      <c r="G11" s="9" t="s">
        <v>471</v>
      </c>
      <c r="H11" s="9" t="s">
        <v>34</v>
      </c>
      <c r="I11" s="42" t="n">
        <v>0</v>
      </c>
      <c r="J11" s="13" t="s">
        <v>472</v>
      </c>
    </row>
    <row r="12" customFormat="false" ht="15" hidden="false" customHeight="false" outlineLevel="0" collapsed="false">
      <c r="A12" s="9" t="s">
        <v>481</v>
      </c>
      <c r="B12" s="9" t="s">
        <v>158</v>
      </c>
      <c r="C12" s="9" t="s">
        <v>159</v>
      </c>
      <c r="D12" s="9" t="s">
        <v>482</v>
      </c>
      <c r="E12" s="9" t="s">
        <v>469</v>
      </c>
      <c r="F12" s="9" t="s">
        <v>470</v>
      </c>
      <c r="G12" s="9" t="s">
        <v>471</v>
      </c>
      <c r="H12" s="9" t="s">
        <v>34</v>
      </c>
      <c r="I12" s="42" t="n">
        <v>0</v>
      </c>
      <c r="J12" s="13" t="s">
        <v>472</v>
      </c>
    </row>
    <row r="13" customFormat="false" ht="15" hidden="false" customHeight="false" outlineLevel="0" collapsed="false">
      <c r="A13" s="9" t="s">
        <v>483</v>
      </c>
      <c r="B13" s="9" t="s">
        <v>158</v>
      </c>
      <c r="C13" s="9" t="s">
        <v>159</v>
      </c>
      <c r="D13" s="9" t="s">
        <v>484</v>
      </c>
      <c r="E13" s="9" t="s">
        <v>469</v>
      </c>
      <c r="F13" s="9" t="s">
        <v>470</v>
      </c>
      <c r="G13" s="9" t="s">
        <v>471</v>
      </c>
      <c r="H13" s="9" t="s">
        <v>34</v>
      </c>
      <c r="I13" s="42" t="n">
        <v>0</v>
      </c>
      <c r="J13" s="13" t="s">
        <v>472</v>
      </c>
    </row>
    <row r="14" customFormat="false" ht="15" hidden="false" customHeight="false" outlineLevel="0" collapsed="false">
      <c r="A14" s="9" t="s">
        <v>485</v>
      </c>
      <c r="B14" s="9" t="s">
        <v>158</v>
      </c>
      <c r="C14" s="9" t="s">
        <v>159</v>
      </c>
      <c r="D14" s="9" t="s">
        <v>486</v>
      </c>
      <c r="E14" s="9" t="s">
        <v>469</v>
      </c>
      <c r="F14" s="9" t="s">
        <v>470</v>
      </c>
      <c r="G14" s="9" t="s">
        <v>471</v>
      </c>
      <c r="H14" s="9" t="s">
        <v>34</v>
      </c>
      <c r="I14" s="42" t="n">
        <v>0</v>
      </c>
      <c r="J14" s="13" t="s">
        <v>472</v>
      </c>
    </row>
    <row r="15" customFormat="false" ht="15" hidden="false" customHeight="false" outlineLevel="0" collapsed="false">
      <c r="A15" s="9" t="s">
        <v>487</v>
      </c>
      <c r="B15" s="9" t="s">
        <v>158</v>
      </c>
      <c r="C15" s="9" t="s">
        <v>159</v>
      </c>
      <c r="D15" s="9" t="s">
        <v>488</v>
      </c>
      <c r="E15" s="9" t="s">
        <v>469</v>
      </c>
      <c r="F15" s="9" t="s">
        <v>470</v>
      </c>
      <c r="G15" s="9" t="s">
        <v>471</v>
      </c>
      <c r="H15" s="9" t="s">
        <v>34</v>
      </c>
      <c r="I15" s="42" t="n">
        <v>0</v>
      </c>
      <c r="J15" s="13" t="s">
        <v>472</v>
      </c>
    </row>
    <row r="16" customFormat="false" ht="15" hidden="false" customHeight="false" outlineLevel="0" collapsed="false">
      <c r="A16" s="9" t="s">
        <v>489</v>
      </c>
      <c r="B16" s="9" t="s">
        <v>158</v>
      </c>
      <c r="C16" s="9" t="s">
        <v>159</v>
      </c>
      <c r="D16" s="9" t="s">
        <v>490</v>
      </c>
      <c r="E16" s="9" t="s">
        <v>469</v>
      </c>
      <c r="F16" s="9" t="s">
        <v>470</v>
      </c>
      <c r="G16" s="9" t="s">
        <v>471</v>
      </c>
      <c r="H16" s="9" t="s">
        <v>34</v>
      </c>
      <c r="I16" s="42" t="n">
        <v>0</v>
      </c>
      <c r="J16" s="13" t="s">
        <v>472</v>
      </c>
    </row>
    <row r="17" customFormat="false" ht="15" hidden="false" customHeight="false" outlineLevel="0" collapsed="false">
      <c r="A17" s="9" t="s">
        <v>491</v>
      </c>
      <c r="B17" s="9" t="s">
        <v>158</v>
      </c>
      <c r="C17" s="9" t="s">
        <v>159</v>
      </c>
      <c r="D17" s="9" t="s">
        <v>492</v>
      </c>
      <c r="E17" s="9" t="s">
        <v>469</v>
      </c>
      <c r="F17" s="9" t="s">
        <v>470</v>
      </c>
      <c r="G17" s="9" t="s">
        <v>471</v>
      </c>
      <c r="H17" s="9" t="s">
        <v>34</v>
      </c>
      <c r="I17" s="42" t="n">
        <v>0</v>
      </c>
      <c r="J17" s="13" t="s">
        <v>472</v>
      </c>
    </row>
    <row r="18" customFormat="false" ht="15" hidden="false" customHeight="false" outlineLevel="0" collapsed="false">
      <c r="A18" s="9" t="s">
        <v>493</v>
      </c>
      <c r="B18" s="9" t="s">
        <v>158</v>
      </c>
      <c r="C18" s="9" t="s">
        <v>159</v>
      </c>
      <c r="D18" s="9" t="s">
        <v>494</v>
      </c>
      <c r="E18" s="9" t="s">
        <v>469</v>
      </c>
      <c r="F18" s="9" t="s">
        <v>470</v>
      </c>
      <c r="G18" s="9" t="s">
        <v>471</v>
      </c>
      <c r="H18" s="9" t="s">
        <v>34</v>
      </c>
      <c r="I18" s="42" t="n">
        <v>0</v>
      </c>
      <c r="J18" s="13" t="s">
        <v>472</v>
      </c>
    </row>
    <row r="19" customFormat="false" ht="15" hidden="false" customHeight="false" outlineLevel="0" collapsed="false">
      <c r="A19" s="9" t="s">
        <v>495</v>
      </c>
      <c r="B19" s="9" t="s">
        <v>164</v>
      </c>
      <c r="C19" s="9" t="s">
        <v>165</v>
      </c>
      <c r="D19" s="9" t="s">
        <v>468</v>
      </c>
      <c r="E19" s="9" t="s">
        <v>469</v>
      </c>
      <c r="F19" s="9" t="s">
        <v>470</v>
      </c>
      <c r="G19" s="9" t="s">
        <v>471</v>
      </c>
      <c r="H19" s="9" t="s">
        <v>34</v>
      </c>
      <c r="I19" s="42" t="n">
        <v>0</v>
      </c>
      <c r="J19" s="13" t="s">
        <v>472</v>
      </c>
    </row>
    <row r="20" customFormat="false" ht="15" hidden="false" customHeight="false" outlineLevel="0" collapsed="false">
      <c r="A20" s="9" t="s">
        <v>496</v>
      </c>
      <c r="B20" s="9" t="s">
        <v>164</v>
      </c>
      <c r="C20" s="9" t="s">
        <v>165</v>
      </c>
      <c r="D20" s="9" t="s">
        <v>474</v>
      </c>
      <c r="E20" s="9" t="s">
        <v>469</v>
      </c>
      <c r="F20" s="9" t="s">
        <v>470</v>
      </c>
      <c r="G20" s="9" t="s">
        <v>471</v>
      </c>
      <c r="H20" s="9" t="s">
        <v>34</v>
      </c>
      <c r="I20" s="42" t="n">
        <v>0</v>
      </c>
      <c r="J20" s="13" t="s">
        <v>472</v>
      </c>
    </row>
    <row r="21" customFormat="false" ht="15" hidden="false" customHeight="false" outlineLevel="0" collapsed="false">
      <c r="A21" s="9" t="s">
        <v>497</v>
      </c>
      <c r="B21" s="9" t="s">
        <v>164</v>
      </c>
      <c r="C21" s="9" t="s">
        <v>165</v>
      </c>
      <c r="D21" s="9" t="s">
        <v>476</v>
      </c>
      <c r="E21" s="9" t="s">
        <v>469</v>
      </c>
      <c r="F21" s="9" t="s">
        <v>470</v>
      </c>
      <c r="G21" s="9" t="s">
        <v>471</v>
      </c>
      <c r="H21" s="9" t="s">
        <v>34</v>
      </c>
      <c r="I21" s="42" t="n">
        <v>0</v>
      </c>
      <c r="J21" s="13" t="s">
        <v>472</v>
      </c>
    </row>
    <row r="22" customFormat="false" ht="15" hidden="false" customHeight="false" outlineLevel="0" collapsed="false">
      <c r="A22" s="9" t="s">
        <v>498</v>
      </c>
      <c r="B22" s="9" t="s">
        <v>164</v>
      </c>
      <c r="C22" s="9" t="s">
        <v>165</v>
      </c>
      <c r="D22" s="9" t="s">
        <v>478</v>
      </c>
      <c r="E22" s="9" t="s">
        <v>469</v>
      </c>
      <c r="F22" s="9" t="s">
        <v>470</v>
      </c>
      <c r="G22" s="9" t="s">
        <v>471</v>
      </c>
      <c r="H22" s="9" t="s">
        <v>34</v>
      </c>
      <c r="I22" s="42" t="n">
        <v>0</v>
      </c>
      <c r="J22" s="13" t="s">
        <v>472</v>
      </c>
    </row>
    <row r="23" customFormat="false" ht="15" hidden="false" customHeight="false" outlineLevel="0" collapsed="false">
      <c r="A23" s="9" t="s">
        <v>499</v>
      </c>
      <c r="B23" s="9" t="s">
        <v>164</v>
      </c>
      <c r="C23" s="9" t="s">
        <v>165</v>
      </c>
      <c r="D23" s="9" t="s">
        <v>480</v>
      </c>
      <c r="E23" s="9" t="s">
        <v>469</v>
      </c>
      <c r="F23" s="9" t="s">
        <v>470</v>
      </c>
      <c r="G23" s="9" t="s">
        <v>471</v>
      </c>
      <c r="H23" s="9" t="s">
        <v>34</v>
      </c>
      <c r="I23" s="42" t="n">
        <v>0</v>
      </c>
      <c r="J23" s="13" t="s">
        <v>472</v>
      </c>
    </row>
    <row r="24" customFormat="false" ht="15" hidden="false" customHeight="false" outlineLevel="0" collapsed="false">
      <c r="A24" s="9" t="s">
        <v>500</v>
      </c>
      <c r="B24" s="9" t="s">
        <v>164</v>
      </c>
      <c r="C24" s="9" t="s">
        <v>165</v>
      </c>
      <c r="D24" s="9" t="s">
        <v>482</v>
      </c>
      <c r="E24" s="9" t="s">
        <v>469</v>
      </c>
      <c r="F24" s="9" t="s">
        <v>470</v>
      </c>
      <c r="G24" s="9" t="s">
        <v>471</v>
      </c>
      <c r="H24" s="9" t="s">
        <v>34</v>
      </c>
      <c r="I24" s="42" t="n">
        <v>0</v>
      </c>
      <c r="J24" s="13" t="s">
        <v>472</v>
      </c>
    </row>
    <row r="25" customFormat="false" ht="15" hidden="false" customHeight="false" outlineLevel="0" collapsed="false">
      <c r="A25" s="9" t="s">
        <v>501</v>
      </c>
      <c r="B25" s="9" t="s">
        <v>164</v>
      </c>
      <c r="C25" s="9" t="s">
        <v>165</v>
      </c>
      <c r="D25" s="9" t="s">
        <v>484</v>
      </c>
      <c r="E25" s="9" t="s">
        <v>469</v>
      </c>
      <c r="F25" s="9" t="s">
        <v>470</v>
      </c>
      <c r="G25" s="9" t="s">
        <v>471</v>
      </c>
      <c r="H25" s="9" t="s">
        <v>34</v>
      </c>
      <c r="I25" s="42" t="n">
        <v>0</v>
      </c>
      <c r="J25" s="13" t="s">
        <v>472</v>
      </c>
    </row>
    <row r="26" customFormat="false" ht="15" hidden="false" customHeight="false" outlineLevel="0" collapsed="false">
      <c r="A26" s="9" t="s">
        <v>502</v>
      </c>
      <c r="B26" s="9" t="s">
        <v>164</v>
      </c>
      <c r="C26" s="9" t="s">
        <v>165</v>
      </c>
      <c r="D26" s="9" t="s">
        <v>486</v>
      </c>
      <c r="E26" s="9" t="s">
        <v>469</v>
      </c>
      <c r="F26" s="9" t="s">
        <v>470</v>
      </c>
      <c r="G26" s="9" t="s">
        <v>471</v>
      </c>
      <c r="H26" s="9" t="s">
        <v>34</v>
      </c>
      <c r="I26" s="42" t="n">
        <v>0</v>
      </c>
      <c r="J26" s="13" t="s">
        <v>472</v>
      </c>
    </row>
    <row r="27" customFormat="false" ht="15" hidden="false" customHeight="false" outlineLevel="0" collapsed="false">
      <c r="A27" s="9" t="s">
        <v>503</v>
      </c>
      <c r="B27" s="9" t="s">
        <v>164</v>
      </c>
      <c r="C27" s="9" t="s">
        <v>165</v>
      </c>
      <c r="D27" s="9" t="s">
        <v>488</v>
      </c>
      <c r="E27" s="9" t="s">
        <v>469</v>
      </c>
      <c r="F27" s="9" t="s">
        <v>470</v>
      </c>
      <c r="G27" s="9" t="s">
        <v>471</v>
      </c>
      <c r="H27" s="9" t="s">
        <v>34</v>
      </c>
      <c r="I27" s="42" t="n">
        <v>0</v>
      </c>
      <c r="J27" s="13" t="s">
        <v>472</v>
      </c>
    </row>
    <row r="28" customFormat="false" ht="15" hidden="false" customHeight="false" outlineLevel="0" collapsed="false">
      <c r="A28" s="9" t="s">
        <v>504</v>
      </c>
      <c r="B28" s="9" t="s">
        <v>164</v>
      </c>
      <c r="C28" s="9" t="s">
        <v>165</v>
      </c>
      <c r="D28" s="9" t="s">
        <v>490</v>
      </c>
      <c r="E28" s="9" t="s">
        <v>469</v>
      </c>
      <c r="F28" s="9" t="s">
        <v>470</v>
      </c>
      <c r="G28" s="9" t="s">
        <v>471</v>
      </c>
      <c r="H28" s="9" t="s">
        <v>34</v>
      </c>
      <c r="I28" s="42" t="n">
        <v>0</v>
      </c>
      <c r="J28" s="13" t="s">
        <v>472</v>
      </c>
    </row>
    <row r="29" customFormat="false" ht="15" hidden="false" customHeight="false" outlineLevel="0" collapsed="false">
      <c r="A29" s="9" t="s">
        <v>505</v>
      </c>
      <c r="B29" s="9" t="s">
        <v>164</v>
      </c>
      <c r="C29" s="9" t="s">
        <v>165</v>
      </c>
      <c r="D29" s="9" t="s">
        <v>492</v>
      </c>
      <c r="E29" s="9" t="s">
        <v>469</v>
      </c>
      <c r="F29" s="9" t="s">
        <v>470</v>
      </c>
      <c r="G29" s="9" t="s">
        <v>471</v>
      </c>
      <c r="H29" s="9" t="s">
        <v>34</v>
      </c>
      <c r="I29" s="42" t="n">
        <v>0</v>
      </c>
      <c r="J29" s="13" t="s">
        <v>472</v>
      </c>
    </row>
    <row r="30" customFormat="false" ht="15" hidden="false" customHeight="false" outlineLevel="0" collapsed="false">
      <c r="A30" s="9" t="s">
        <v>506</v>
      </c>
      <c r="B30" s="9" t="s">
        <v>164</v>
      </c>
      <c r="C30" s="9" t="s">
        <v>165</v>
      </c>
      <c r="D30" s="9" t="s">
        <v>494</v>
      </c>
      <c r="E30" s="9" t="s">
        <v>469</v>
      </c>
      <c r="F30" s="9" t="s">
        <v>470</v>
      </c>
      <c r="G30" s="9" t="s">
        <v>471</v>
      </c>
      <c r="H30" s="9" t="s">
        <v>34</v>
      </c>
      <c r="I30" s="42" t="n">
        <v>0</v>
      </c>
      <c r="J30" s="13" t="s">
        <v>472</v>
      </c>
    </row>
    <row r="31" customFormat="false" ht="15" hidden="false" customHeight="false" outlineLevel="0" collapsed="false">
      <c r="A31" s="9" t="s">
        <v>507</v>
      </c>
      <c r="B31" s="9" t="s">
        <v>169</v>
      </c>
      <c r="C31" s="9" t="s">
        <v>170</v>
      </c>
      <c r="D31" s="9" t="s">
        <v>468</v>
      </c>
      <c r="E31" s="9" t="s">
        <v>469</v>
      </c>
      <c r="F31" s="9" t="s">
        <v>470</v>
      </c>
      <c r="G31" s="9" t="s">
        <v>471</v>
      </c>
      <c r="H31" s="9" t="s">
        <v>34</v>
      </c>
      <c r="I31" s="42" t="n">
        <v>0</v>
      </c>
      <c r="J31" s="13" t="s">
        <v>472</v>
      </c>
    </row>
    <row r="32" customFormat="false" ht="15" hidden="false" customHeight="false" outlineLevel="0" collapsed="false">
      <c r="A32" s="9" t="s">
        <v>508</v>
      </c>
      <c r="B32" s="9" t="s">
        <v>169</v>
      </c>
      <c r="C32" s="9" t="s">
        <v>170</v>
      </c>
      <c r="D32" s="9" t="s">
        <v>474</v>
      </c>
      <c r="E32" s="9" t="s">
        <v>469</v>
      </c>
      <c r="F32" s="9" t="s">
        <v>470</v>
      </c>
      <c r="G32" s="9" t="s">
        <v>471</v>
      </c>
      <c r="H32" s="9" t="s">
        <v>34</v>
      </c>
      <c r="I32" s="42" t="n">
        <v>0</v>
      </c>
      <c r="J32" s="13" t="s">
        <v>472</v>
      </c>
    </row>
    <row r="33" customFormat="false" ht="15" hidden="false" customHeight="false" outlineLevel="0" collapsed="false">
      <c r="A33" s="9" t="s">
        <v>509</v>
      </c>
      <c r="B33" s="9" t="s">
        <v>169</v>
      </c>
      <c r="C33" s="9" t="s">
        <v>170</v>
      </c>
      <c r="D33" s="9" t="s">
        <v>476</v>
      </c>
      <c r="E33" s="9" t="s">
        <v>469</v>
      </c>
      <c r="F33" s="9" t="s">
        <v>470</v>
      </c>
      <c r="G33" s="9" t="s">
        <v>471</v>
      </c>
      <c r="H33" s="9" t="s">
        <v>34</v>
      </c>
      <c r="I33" s="42" t="n">
        <v>0</v>
      </c>
      <c r="J33" s="13" t="s">
        <v>472</v>
      </c>
    </row>
    <row r="34" customFormat="false" ht="15" hidden="false" customHeight="false" outlineLevel="0" collapsed="false">
      <c r="A34" s="9" t="s">
        <v>510</v>
      </c>
      <c r="B34" s="9" t="s">
        <v>169</v>
      </c>
      <c r="C34" s="9" t="s">
        <v>170</v>
      </c>
      <c r="D34" s="9" t="s">
        <v>478</v>
      </c>
      <c r="E34" s="9" t="s">
        <v>469</v>
      </c>
      <c r="F34" s="9" t="s">
        <v>470</v>
      </c>
      <c r="G34" s="9" t="s">
        <v>471</v>
      </c>
      <c r="H34" s="9" t="s">
        <v>34</v>
      </c>
      <c r="I34" s="42" t="n">
        <v>0</v>
      </c>
      <c r="J34" s="13" t="s">
        <v>472</v>
      </c>
    </row>
    <row r="35" customFormat="false" ht="15" hidden="false" customHeight="false" outlineLevel="0" collapsed="false">
      <c r="A35" s="9" t="s">
        <v>511</v>
      </c>
      <c r="B35" s="9" t="s">
        <v>169</v>
      </c>
      <c r="C35" s="9" t="s">
        <v>170</v>
      </c>
      <c r="D35" s="9" t="s">
        <v>480</v>
      </c>
      <c r="E35" s="9" t="s">
        <v>469</v>
      </c>
      <c r="F35" s="9" t="s">
        <v>470</v>
      </c>
      <c r="G35" s="9" t="s">
        <v>471</v>
      </c>
      <c r="H35" s="9" t="s">
        <v>34</v>
      </c>
      <c r="I35" s="42" t="n">
        <v>0</v>
      </c>
      <c r="J35" s="13" t="s">
        <v>472</v>
      </c>
    </row>
    <row r="36" customFormat="false" ht="15" hidden="false" customHeight="false" outlineLevel="0" collapsed="false">
      <c r="A36" s="9" t="s">
        <v>512</v>
      </c>
      <c r="B36" s="9" t="s">
        <v>169</v>
      </c>
      <c r="C36" s="9" t="s">
        <v>170</v>
      </c>
      <c r="D36" s="9" t="s">
        <v>482</v>
      </c>
      <c r="E36" s="9" t="s">
        <v>469</v>
      </c>
      <c r="F36" s="9" t="s">
        <v>470</v>
      </c>
      <c r="G36" s="9" t="s">
        <v>471</v>
      </c>
      <c r="H36" s="9" t="s">
        <v>34</v>
      </c>
      <c r="I36" s="42" t="n">
        <v>0</v>
      </c>
      <c r="J36" s="13" t="s">
        <v>472</v>
      </c>
    </row>
    <row r="37" customFormat="false" ht="15" hidden="false" customHeight="false" outlineLevel="0" collapsed="false">
      <c r="A37" s="9" t="s">
        <v>513</v>
      </c>
      <c r="B37" s="9" t="s">
        <v>169</v>
      </c>
      <c r="C37" s="9" t="s">
        <v>170</v>
      </c>
      <c r="D37" s="9" t="s">
        <v>484</v>
      </c>
      <c r="E37" s="9" t="s">
        <v>469</v>
      </c>
      <c r="F37" s="9" t="s">
        <v>470</v>
      </c>
      <c r="G37" s="9" t="s">
        <v>471</v>
      </c>
      <c r="H37" s="9" t="s">
        <v>34</v>
      </c>
      <c r="I37" s="42" t="n">
        <v>0</v>
      </c>
      <c r="J37" s="13" t="s">
        <v>472</v>
      </c>
    </row>
    <row r="38" customFormat="false" ht="15" hidden="false" customHeight="false" outlineLevel="0" collapsed="false">
      <c r="A38" s="9" t="s">
        <v>514</v>
      </c>
      <c r="B38" s="9" t="s">
        <v>169</v>
      </c>
      <c r="C38" s="9" t="s">
        <v>170</v>
      </c>
      <c r="D38" s="9" t="s">
        <v>486</v>
      </c>
      <c r="E38" s="9" t="s">
        <v>469</v>
      </c>
      <c r="F38" s="9" t="s">
        <v>470</v>
      </c>
      <c r="G38" s="9" t="s">
        <v>471</v>
      </c>
      <c r="H38" s="9" t="s">
        <v>34</v>
      </c>
      <c r="I38" s="42" t="n">
        <v>0</v>
      </c>
      <c r="J38" s="13" t="s">
        <v>472</v>
      </c>
    </row>
    <row r="39" customFormat="false" ht="15" hidden="false" customHeight="false" outlineLevel="0" collapsed="false">
      <c r="A39" s="9" t="s">
        <v>515</v>
      </c>
      <c r="B39" s="9" t="s">
        <v>169</v>
      </c>
      <c r="C39" s="9" t="s">
        <v>170</v>
      </c>
      <c r="D39" s="9" t="s">
        <v>488</v>
      </c>
      <c r="E39" s="9" t="s">
        <v>469</v>
      </c>
      <c r="F39" s="9" t="s">
        <v>470</v>
      </c>
      <c r="G39" s="9" t="s">
        <v>471</v>
      </c>
      <c r="H39" s="9" t="s">
        <v>34</v>
      </c>
      <c r="I39" s="42" t="n">
        <v>0</v>
      </c>
      <c r="J39" s="13" t="s">
        <v>472</v>
      </c>
    </row>
    <row r="40" customFormat="false" ht="15" hidden="false" customHeight="false" outlineLevel="0" collapsed="false">
      <c r="A40" s="9" t="s">
        <v>516</v>
      </c>
      <c r="B40" s="9" t="s">
        <v>169</v>
      </c>
      <c r="C40" s="9" t="s">
        <v>170</v>
      </c>
      <c r="D40" s="9" t="s">
        <v>490</v>
      </c>
      <c r="E40" s="9" t="s">
        <v>469</v>
      </c>
      <c r="F40" s="9" t="s">
        <v>470</v>
      </c>
      <c r="G40" s="9" t="s">
        <v>471</v>
      </c>
      <c r="H40" s="9" t="s">
        <v>34</v>
      </c>
      <c r="I40" s="42" t="n">
        <v>0</v>
      </c>
      <c r="J40" s="13" t="s">
        <v>472</v>
      </c>
    </row>
    <row r="41" customFormat="false" ht="15" hidden="false" customHeight="false" outlineLevel="0" collapsed="false">
      <c r="A41" s="9" t="s">
        <v>517</v>
      </c>
      <c r="B41" s="9" t="s">
        <v>169</v>
      </c>
      <c r="C41" s="9" t="s">
        <v>170</v>
      </c>
      <c r="D41" s="9" t="s">
        <v>492</v>
      </c>
      <c r="E41" s="9" t="s">
        <v>469</v>
      </c>
      <c r="F41" s="9" t="s">
        <v>470</v>
      </c>
      <c r="G41" s="9" t="s">
        <v>471</v>
      </c>
      <c r="H41" s="9" t="s">
        <v>34</v>
      </c>
      <c r="I41" s="42" t="n">
        <v>0</v>
      </c>
      <c r="J41" s="13" t="s">
        <v>472</v>
      </c>
    </row>
    <row r="42" customFormat="false" ht="15" hidden="false" customHeight="false" outlineLevel="0" collapsed="false">
      <c r="A42" s="9" t="s">
        <v>518</v>
      </c>
      <c r="B42" s="9" t="s">
        <v>169</v>
      </c>
      <c r="C42" s="9" t="s">
        <v>170</v>
      </c>
      <c r="D42" s="9" t="s">
        <v>494</v>
      </c>
      <c r="E42" s="9" t="s">
        <v>469</v>
      </c>
      <c r="F42" s="9" t="s">
        <v>470</v>
      </c>
      <c r="G42" s="9" t="s">
        <v>471</v>
      </c>
      <c r="H42" s="9" t="s">
        <v>34</v>
      </c>
      <c r="I42" s="42" t="n">
        <v>0</v>
      </c>
      <c r="J42" s="13" t="s">
        <v>472</v>
      </c>
    </row>
    <row r="43" customFormat="false" ht="15" hidden="false" customHeight="false" outlineLevel="0" collapsed="false">
      <c r="A43" s="9" t="s">
        <v>519</v>
      </c>
      <c r="B43" s="9" t="s">
        <v>173</v>
      </c>
      <c r="C43" s="9" t="s">
        <v>174</v>
      </c>
      <c r="D43" s="9" t="s">
        <v>468</v>
      </c>
      <c r="E43" s="9" t="s">
        <v>469</v>
      </c>
      <c r="F43" s="9" t="s">
        <v>470</v>
      </c>
      <c r="G43" s="9" t="s">
        <v>471</v>
      </c>
      <c r="H43" s="9" t="s">
        <v>34</v>
      </c>
      <c r="I43" s="42" t="n">
        <v>0</v>
      </c>
      <c r="J43" s="13" t="s">
        <v>472</v>
      </c>
    </row>
    <row r="44" customFormat="false" ht="15" hidden="false" customHeight="false" outlineLevel="0" collapsed="false">
      <c r="A44" s="9" t="s">
        <v>520</v>
      </c>
      <c r="B44" s="9" t="s">
        <v>173</v>
      </c>
      <c r="C44" s="9" t="s">
        <v>174</v>
      </c>
      <c r="D44" s="9" t="s">
        <v>474</v>
      </c>
      <c r="E44" s="9" t="s">
        <v>469</v>
      </c>
      <c r="F44" s="9" t="s">
        <v>470</v>
      </c>
      <c r="G44" s="9" t="s">
        <v>471</v>
      </c>
      <c r="H44" s="9" t="s">
        <v>34</v>
      </c>
      <c r="I44" s="42" t="n">
        <v>0</v>
      </c>
      <c r="J44" s="13" t="s">
        <v>472</v>
      </c>
    </row>
    <row r="45" customFormat="false" ht="15" hidden="false" customHeight="false" outlineLevel="0" collapsed="false">
      <c r="A45" s="9" t="s">
        <v>521</v>
      </c>
      <c r="B45" s="9" t="s">
        <v>173</v>
      </c>
      <c r="C45" s="9" t="s">
        <v>174</v>
      </c>
      <c r="D45" s="9" t="s">
        <v>476</v>
      </c>
      <c r="E45" s="9" t="s">
        <v>469</v>
      </c>
      <c r="F45" s="9" t="s">
        <v>470</v>
      </c>
      <c r="G45" s="9" t="s">
        <v>471</v>
      </c>
      <c r="H45" s="9" t="s">
        <v>34</v>
      </c>
      <c r="I45" s="42" t="n">
        <v>0</v>
      </c>
      <c r="J45" s="13" t="s">
        <v>472</v>
      </c>
    </row>
    <row r="46" customFormat="false" ht="15" hidden="false" customHeight="false" outlineLevel="0" collapsed="false">
      <c r="A46" s="9" t="s">
        <v>522</v>
      </c>
      <c r="B46" s="9" t="s">
        <v>173</v>
      </c>
      <c r="C46" s="9" t="s">
        <v>174</v>
      </c>
      <c r="D46" s="9" t="s">
        <v>478</v>
      </c>
      <c r="E46" s="9" t="s">
        <v>469</v>
      </c>
      <c r="F46" s="9" t="s">
        <v>470</v>
      </c>
      <c r="G46" s="9" t="s">
        <v>471</v>
      </c>
      <c r="H46" s="9" t="s">
        <v>34</v>
      </c>
      <c r="I46" s="42" t="n">
        <v>0</v>
      </c>
      <c r="J46" s="13" t="s">
        <v>472</v>
      </c>
    </row>
    <row r="47" customFormat="false" ht="15" hidden="false" customHeight="false" outlineLevel="0" collapsed="false">
      <c r="A47" s="9" t="s">
        <v>523</v>
      </c>
      <c r="B47" s="9" t="s">
        <v>173</v>
      </c>
      <c r="C47" s="9" t="s">
        <v>174</v>
      </c>
      <c r="D47" s="9" t="s">
        <v>480</v>
      </c>
      <c r="E47" s="9" t="s">
        <v>469</v>
      </c>
      <c r="F47" s="9" t="s">
        <v>470</v>
      </c>
      <c r="G47" s="9" t="s">
        <v>471</v>
      </c>
      <c r="H47" s="9" t="s">
        <v>34</v>
      </c>
      <c r="I47" s="42" t="n">
        <v>0</v>
      </c>
      <c r="J47" s="13" t="s">
        <v>472</v>
      </c>
    </row>
    <row r="48" customFormat="false" ht="15" hidden="false" customHeight="false" outlineLevel="0" collapsed="false">
      <c r="A48" s="9" t="s">
        <v>524</v>
      </c>
      <c r="B48" s="9" t="s">
        <v>173</v>
      </c>
      <c r="C48" s="9" t="s">
        <v>174</v>
      </c>
      <c r="D48" s="9" t="s">
        <v>482</v>
      </c>
      <c r="E48" s="9" t="s">
        <v>469</v>
      </c>
      <c r="F48" s="9" t="s">
        <v>470</v>
      </c>
      <c r="G48" s="9" t="s">
        <v>471</v>
      </c>
      <c r="H48" s="9" t="s">
        <v>34</v>
      </c>
      <c r="I48" s="42" t="n">
        <v>0</v>
      </c>
      <c r="J48" s="13" t="s">
        <v>472</v>
      </c>
    </row>
    <row r="49" customFormat="false" ht="15" hidden="false" customHeight="false" outlineLevel="0" collapsed="false">
      <c r="A49" s="9" t="s">
        <v>525</v>
      </c>
      <c r="B49" s="9" t="s">
        <v>173</v>
      </c>
      <c r="C49" s="9" t="s">
        <v>174</v>
      </c>
      <c r="D49" s="9" t="s">
        <v>484</v>
      </c>
      <c r="E49" s="9" t="s">
        <v>469</v>
      </c>
      <c r="F49" s="9" t="s">
        <v>470</v>
      </c>
      <c r="G49" s="9" t="s">
        <v>471</v>
      </c>
      <c r="H49" s="9" t="s">
        <v>34</v>
      </c>
      <c r="I49" s="42" t="n">
        <v>0</v>
      </c>
      <c r="J49" s="13" t="s">
        <v>472</v>
      </c>
    </row>
    <row r="50" customFormat="false" ht="15" hidden="false" customHeight="false" outlineLevel="0" collapsed="false">
      <c r="A50" s="9" t="s">
        <v>526</v>
      </c>
      <c r="B50" s="9" t="s">
        <v>173</v>
      </c>
      <c r="C50" s="9" t="s">
        <v>174</v>
      </c>
      <c r="D50" s="9" t="s">
        <v>486</v>
      </c>
      <c r="E50" s="9" t="s">
        <v>469</v>
      </c>
      <c r="F50" s="9" t="s">
        <v>470</v>
      </c>
      <c r="G50" s="9" t="s">
        <v>471</v>
      </c>
      <c r="H50" s="9" t="s">
        <v>34</v>
      </c>
      <c r="I50" s="42" t="n">
        <v>0</v>
      </c>
      <c r="J50" s="13" t="s">
        <v>472</v>
      </c>
    </row>
    <row r="51" customFormat="false" ht="15" hidden="false" customHeight="false" outlineLevel="0" collapsed="false">
      <c r="A51" s="9" t="s">
        <v>527</v>
      </c>
      <c r="B51" s="9" t="s">
        <v>173</v>
      </c>
      <c r="C51" s="9" t="s">
        <v>174</v>
      </c>
      <c r="D51" s="9" t="s">
        <v>488</v>
      </c>
      <c r="E51" s="9" t="s">
        <v>469</v>
      </c>
      <c r="F51" s="9" t="s">
        <v>470</v>
      </c>
      <c r="G51" s="9" t="s">
        <v>471</v>
      </c>
      <c r="H51" s="9" t="s">
        <v>34</v>
      </c>
      <c r="I51" s="42" t="n">
        <v>0</v>
      </c>
      <c r="J51" s="13" t="s">
        <v>472</v>
      </c>
    </row>
    <row r="52" customFormat="false" ht="15" hidden="false" customHeight="false" outlineLevel="0" collapsed="false">
      <c r="A52" s="9" t="s">
        <v>528</v>
      </c>
      <c r="B52" s="9" t="s">
        <v>173</v>
      </c>
      <c r="C52" s="9" t="s">
        <v>174</v>
      </c>
      <c r="D52" s="9" t="s">
        <v>490</v>
      </c>
      <c r="E52" s="9" t="s">
        <v>469</v>
      </c>
      <c r="F52" s="9" t="s">
        <v>470</v>
      </c>
      <c r="G52" s="9" t="s">
        <v>471</v>
      </c>
      <c r="H52" s="9" t="s">
        <v>34</v>
      </c>
      <c r="I52" s="42" t="n">
        <v>0</v>
      </c>
      <c r="J52" s="13" t="s">
        <v>472</v>
      </c>
    </row>
    <row r="53" customFormat="false" ht="15" hidden="false" customHeight="false" outlineLevel="0" collapsed="false">
      <c r="A53" s="9" t="s">
        <v>529</v>
      </c>
      <c r="B53" s="9" t="s">
        <v>173</v>
      </c>
      <c r="C53" s="9" t="s">
        <v>174</v>
      </c>
      <c r="D53" s="9" t="s">
        <v>492</v>
      </c>
      <c r="E53" s="9" t="s">
        <v>469</v>
      </c>
      <c r="F53" s="9" t="s">
        <v>470</v>
      </c>
      <c r="G53" s="9" t="s">
        <v>471</v>
      </c>
      <c r="H53" s="9" t="s">
        <v>34</v>
      </c>
      <c r="I53" s="42" t="n">
        <v>0</v>
      </c>
      <c r="J53" s="13" t="s">
        <v>472</v>
      </c>
    </row>
    <row r="54" customFormat="false" ht="15" hidden="false" customHeight="false" outlineLevel="0" collapsed="false">
      <c r="A54" s="9" t="s">
        <v>530</v>
      </c>
      <c r="B54" s="9" t="s">
        <v>173</v>
      </c>
      <c r="C54" s="9" t="s">
        <v>174</v>
      </c>
      <c r="D54" s="9" t="s">
        <v>494</v>
      </c>
      <c r="E54" s="9" t="s">
        <v>469</v>
      </c>
      <c r="F54" s="9" t="s">
        <v>470</v>
      </c>
      <c r="G54" s="9" t="s">
        <v>471</v>
      </c>
      <c r="H54" s="9" t="s">
        <v>34</v>
      </c>
      <c r="I54" s="42" t="n">
        <v>0</v>
      </c>
      <c r="J54" s="13" t="s">
        <v>472</v>
      </c>
    </row>
    <row r="55" customFormat="false" ht="15" hidden="false" customHeight="false" outlineLevel="0" collapsed="false">
      <c r="A55" s="9" t="s">
        <v>531</v>
      </c>
      <c r="B55" s="9" t="s">
        <v>177</v>
      </c>
      <c r="C55" s="9" t="s">
        <v>178</v>
      </c>
      <c r="D55" s="9" t="s">
        <v>468</v>
      </c>
      <c r="E55" s="9" t="s">
        <v>469</v>
      </c>
      <c r="F55" s="9" t="s">
        <v>470</v>
      </c>
      <c r="G55" s="9" t="s">
        <v>471</v>
      </c>
      <c r="H55" s="9" t="s">
        <v>34</v>
      </c>
      <c r="I55" s="42" t="n">
        <v>0</v>
      </c>
      <c r="J55" s="13" t="s">
        <v>472</v>
      </c>
    </row>
    <row r="56" customFormat="false" ht="15" hidden="false" customHeight="false" outlineLevel="0" collapsed="false">
      <c r="A56" s="9" t="s">
        <v>532</v>
      </c>
      <c r="B56" s="9" t="s">
        <v>177</v>
      </c>
      <c r="C56" s="9" t="s">
        <v>178</v>
      </c>
      <c r="D56" s="9" t="s">
        <v>474</v>
      </c>
      <c r="E56" s="9" t="s">
        <v>469</v>
      </c>
      <c r="F56" s="9" t="s">
        <v>470</v>
      </c>
      <c r="G56" s="9" t="s">
        <v>471</v>
      </c>
      <c r="H56" s="9" t="s">
        <v>34</v>
      </c>
      <c r="I56" s="42" t="n">
        <v>0</v>
      </c>
      <c r="J56" s="13" t="s">
        <v>472</v>
      </c>
    </row>
    <row r="57" customFormat="false" ht="15" hidden="false" customHeight="false" outlineLevel="0" collapsed="false">
      <c r="A57" s="9" t="s">
        <v>533</v>
      </c>
      <c r="B57" s="9" t="s">
        <v>177</v>
      </c>
      <c r="C57" s="9" t="s">
        <v>178</v>
      </c>
      <c r="D57" s="9" t="s">
        <v>476</v>
      </c>
      <c r="E57" s="9" t="s">
        <v>469</v>
      </c>
      <c r="F57" s="9" t="s">
        <v>470</v>
      </c>
      <c r="G57" s="9" t="s">
        <v>471</v>
      </c>
      <c r="H57" s="9" t="s">
        <v>34</v>
      </c>
      <c r="I57" s="42" t="n">
        <v>0</v>
      </c>
      <c r="J57" s="13" t="s">
        <v>472</v>
      </c>
    </row>
    <row r="58" customFormat="false" ht="15" hidden="false" customHeight="false" outlineLevel="0" collapsed="false">
      <c r="A58" s="9" t="s">
        <v>534</v>
      </c>
      <c r="B58" s="9" t="s">
        <v>177</v>
      </c>
      <c r="C58" s="9" t="s">
        <v>178</v>
      </c>
      <c r="D58" s="9" t="s">
        <v>478</v>
      </c>
      <c r="E58" s="9" t="s">
        <v>469</v>
      </c>
      <c r="F58" s="9" t="s">
        <v>470</v>
      </c>
      <c r="G58" s="9" t="s">
        <v>471</v>
      </c>
      <c r="H58" s="9" t="s">
        <v>34</v>
      </c>
      <c r="I58" s="42" t="n">
        <v>0</v>
      </c>
      <c r="J58" s="13" t="s">
        <v>472</v>
      </c>
    </row>
    <row r="59" customFormat="false" ht="15" hidden="false" customHeight="false" outlineLevel="0" collapsed="false">
      <c r="A59" s="9" t="s">
        <v>535</v>
      </c>
      <c r="B59" s="9" t="s">
        <v>177</v>
      </c>
      <c r="C59" s="9" t="s">
        <v>178</v>
      </c>
      <c r="D59" s="9" t="s">
        <v>480</v>
      </c>
      <c r="E59" s="9" t="s">
        <v>469</v>
      </c>
      <c r="F59" s="9" t="s">
        <v>470</v>
      </c>
      <c r="G59" s="9" t="s">
        <v>471</v>
      </c>
      <c r="H59" s="9" t="s">
        <v>34</v>
      </c>
      <c r="I59" s="42" t="n">
        <v>0</v>
      </c>
      <c r="J59" s="13" t="s">
        <v>472</v>
      </c>
    </row>
    <row r="60" customFormat="false" ht="15" hidden="false" customHeight="false" outlineLevel="0" collapsed="false">
      <c r="A60" s="9" t="s">
        <v>536</v>
      </c>
      <c r="B60" s="9" t="s">
        <v>177</v>
      </c>
      <c r="C60" s="9" t="s">
        <v>178</v>
      </c>
      <c r="D60" s="9" t="s">
        <v>482</v>
      </c>
      <c r="E60" s="9" t="s">
        <v>469</v>
      </c>
      <c r="F60" s="9" t="s">
        <v>470</v>
      </c>
      <c r="G60" s="9" t="s">
        <v>471</v>
      </c>
      <c r="H60" s="9" t="s">
        <v>34</v>
      </c>
      <c r="I60" s="42" t="n">
        <v>0</v>
      </c>
      <c r="J60" s="13" t="s">
        <v>472</v>
      </c>
    </row>
    <row r="61" customFormat="false" ht="15" hidden="false" customHeight="false" outlineLevel="0" collapsed="false">
      <c r="A61" s="9" t="s">
        <v>537</v>
      </c>
      <c r="B61" s="9" t="s">
        <v>177</v>
      </c>
      <c r="C61" s="9" t="s">
        <v>178</v>
      </c>
      <c r="D61" s="9" t="s">
        <v>484</v>
      </c>
      <c r="E61" s="9" t="s">
        <v>469</v>
      </c>
      <c r="F61" s="9" t="s">
        <v>470</v>
      </c>
      <c r="G61" s="9" t="s">
        <v>471</v>
      </c>
      <c r="H61" s="9" t="s">
        <v>34</v>
      </c>
      <c r="I61" s="42" t="n">
        <v>0</v>
      </c>
      <c r="J61" s="13" t="s">
        <v>472</v>
      </c>
    </row>
    <row r="62" customFormat="false" ht="15" hidden="false" customHeight="false" outlineLevel="0" collapsed="false">
      <c r="A62" s="9" t="s">
        <v>538</v>
      </c>
      <c r="B62" s="9" t="s">
        <v>177</v>
      </c>
      <c r="C62" s="9" t="s">
        <v>178</v>
      </c>
      <c r="D62" s="9" t="s">
        <v>486</v>
      </c>
      <c r="E62" s="9" t="s">
        <v>469</v>
      </c>
      <c r="F62" s="9" t="s">
        <v>470</v>
      </c>
      <c r="G62" s="9" t="s">
        <v>471</v>
      </c>
      <c r="H62" s="9" t="s">
        <v>34</v>
      </c>
      <c r="I62" s="42" t="n">
        <v>0</v>
      </c>
      <c r="J62" s="13" t="s">
        <v>472</v>
      </c>
    </row>
    <row r="63" customFormat="false" ht="15" hidden="false" customHeight="false" outlineLevel="0" collapsed="false">
      <c r="A63" s="9" t="s">
        <v>539</v>
      </c>
      <c r="B63" s="9" t="s">
        <v>177</v>
      </c>
      <c r="C63" s="9" t="s">
        <v>178</v>
      </c>
      <c r="D63" s="9" t="s">
        <v>488</v>
      </c>
      <c r="E63" s="9" t="s">
        <v>469</v>
      </c>
      <c r="F63" s="9" t="s">
        <v>470</v>
      </c>
      <c r="G63" s="9" t="s">
        <v>471</v>
      </c>
      <c r="H63" s="9" t="s">
        <v>34</v>
      </c>
      <c r="I63" s="42" t="n">
        <v>0</v>
      </c>
      <c r="J63" s="13" t="s">
        <v>472</v>
      </c>
    </row>
    <row r="64" customFormat="false" ht="15" hidden="false" customHeight="false" outlineLevel="0" collapsed="false">
      <c r="A64" s="9" t="s">
        <v>540</v>
      </c>
      <c r="B64" s="9" t="s">
        <v>177</v>
      </c>
      <c r="C64" s="9" t="s">
        <v>178</v>
      </c>
      <c r="D64" s="9" t="s">
        <v>490</v>
      </c>
      <c r="E64" s="9" t="s">
        <v>469</v>
      </c>
      <c r="F64" s="9" t="s">
        <v>470</v>
      </c>
      <c r="G64" s="9" t="s">
        <v>471</v>
      </c>
      <c r="H64" s="9" t="s">
        <v>34</v>
      </c>
      <c r="I64" s="42" t="n">
        <v>0</v>
      </c>
      <c r="J64" s="13" t="s">
        <v>472</v>
      </c>
    </row>
    <row r="65" customFormat="false" ht="15" hidden="false" customHeight="false" outlineLevel="0" collapsed="false">
      <c r="A65" s="9" t="s">
        <v>541</v>
      </c>
      <c r="B65" s="9" t="s">
        <v>177</v>
      </c>
      <c r="C65" s="9" t="s">
        <v>178</v>
      </c>
      <c r="D65" s="9" t="s">
        <v>492</v>
      </c>
      <c r="E65" s="9" t="s">
        <v>469</v>
      </c>
      <c r="F65" s="9" t="s">
        <v>470</v>
      </c>
      <c r="G65" s="9" t="s">
        <v>471</v>
      </c>
      <c r="H65" s="9" t="s">
        <v>34</v>
      </c>
      <c r="I65" s="42" t="n">
        <v>0</v>
      </c>
      <c r="J65" s="13" t="s">
        <v>472</v>
      </c>
    </row>
    <row r="66" customFormat="false" ht="15" hidden="false" customHeight="false" outlineLevel="0" collapsed="false">
      <c r="A66" s="9" t="s">
        <v>542</v>
      </c>
      <c r="B66" s="9" t="s">
        <v>177</v>
      </c>
      <c r="C66" s="9" t="s">
        <v>178</v>
      </c>
      <c r="D66" s="9" t="s">
        <v>494</v>
      </c>
      <c r="E66" s="9" t="s">
        <v>469</v>
      </c>
      <c r="F66" s="9" t="s">
        <v>470</v>
      </c>
      <c r="G66" s="9" t="s">
        <v>471</v>
      </c>
      <c r="H66" s="9" t="s">
        <v>34</v>
      </c>
      <c r="I66" s="42" t="n">
        <v>0</v>
      </c>
      <c r="J66" s="13" t="s">
        <v>472</v>
      </c>
    </row>
    <row r="67" customFormat="false" ht="15" hidden="false" customHeight="false" outlineLevel="0" collapsed="false">
      <c r="A67" s="9" t="s">
        <v>543</v>
      </c>
      <c r="B67" s="9" t="s">
        <v>182</v>
      </c>
      <c r="C67" s="9" t="s">
        <v>183</v>
      </c>
      <c r="D67" s="9" t="s">
        <v>468</v>
      </c>
      <c r="E67" s="9" t="s">
        <v>469</v>
      </c>
      <c r="F67" s="9" t="s">
        <v>470</v>
      </c>
      <c r="G67" s="9" t="s">
        <v>471</v>
      </c>
      <c r="H67" s="9" t="s">
        <v>34</v>
      </c>
      <c r="I67" s="42" t="n">
        <v>0</v>
      </c>
      <c r="J67" s="13" t="s">
        <v>472</v>
      </c>
    </row>
    <row r="68" customFormat="false" ht="15" hidden="false" customHeight="false" outlineLevel="0" collapsed="false">
      <c r="A68" s="9" t="s">
        <v>544</v>
      </c>
      <c r="B68" s="9" t="s">
        <v>182</v>
      </c>
      <c r="C68" s="9" t="s">
        <v>183</v>
      </c>
      <c r="D68" s="9" t="s">
        <v>474</v>
      </c>
      <c r="E68" s="9" t="s">
        <v>469</v>
      </c>
      <c r="F68" s="9" t="s">
        <v>470</v>
      </c>
      <c r="G68" s="9" t="s">
        <v>471</v>
      </c>
      <c r="H68" s="9" t="s">
        <v>34</v>
      </c>
      <c r="I68" s="42" t="n">
        <v>0</v>
      </c>
      <c r="J68" s="13" t="s">
        <v>472</v>
      </c>
    </row>
    <row r="69" customFormat="false" ht="15" hidden="false" customHeight="false" outlineLevel="0" collapsed="false">
      <c r="A69" s="9" t="s">
        <v>545</v>
      </c>
      <c r="B69" s="9" t="s">
        <v>182</v>
      </c>
      <c r="C69" s="9" t="s">
        <v>183</v>
      </c>
      <c r="D69" s="9" t="s">
        <v>476</v>
      </c>
      <c r="E69" s="9" t="s">
        <v>469</v>
      </c>
      <c r="F69" s="9" t="s">
        <v>470</v>
      </c>
      <c r="G69" s="9" t="s">
        <v>471</v>
      </c>
      <c r="H69" s="9" t="s">
        <v>34</v>
      </c>
      <c r="I69" s="42" t="n">
        <v>0</v>
      </c>
      <c r="J69" s="13" t="s">
        <v>472</v>
      </c>
    </row>
    <row r="70" customFormat="false" ht="15" hidden="false" customHeight="false" outlineLevel="0" collapsed="false">
      <c r="A70" s="9" t="s">
        <v>546</v>
      </c>
      <c r="B70" s="9" t="s">
        <v>182</v>
      </c>
      <c r="C70" s="9" t="s">
        <v>183</v>
      </c>
      <c r="D70" s="9" t="s">
        <v>478</v>
      </c>
      <c r="E70" s="9" t="s">
        <v>469</v>
      </c>
      <c r="F70" s="9" t="s">
        <v>470</v>
      </c>
      <c r="G70" s="9" t="s">
        <v>471</v>
      </c>
      <c r="H70" s="9" t="s">
        <v>34</v>
      </c>
      <c r="I70" s="42" t="n">
        <v>0</v>
      </c>
      <c r="J70" s="13" t="s">
        <v>472</v>
      </c>
    </row>
    <row r="71" customFormat="false" ht="15" hidden="false" customHeight="false" outlineLevel="0" collapsed="false">
      <c r="A71" s="9" t="s">
        <v>547</v>
      </c>
      <c r="B71" s="9" t="s">
        <v>182</v>
      </c>
      <c r="C71" s="9" t="s">
        <v>183</v>
      </c>
      <c r="D71" s="9" t="s">
        <v>480</v>
      </c>
      <c r="E71" s="9" t="s">
        <v>469</v>
      </c>
      <c r="F71" s="9" t="s">
        <v>470</v>
      </c>
      <c r="G71" s="9" t="s">
        <v>471</v>
      </c>
      <c r="H71" s="9" t="s">
        <v>34</v>
      </c>
      <c r="I71" s="42" t="n">
        <v>0</v>
      </c>
      <c r="J71" s="13" t="s">
        <v>472</v>
      </c>
    </row>
    <row r="72" customFormat="false" ht="15" hidden="false" customHeight="false" outlineLevel="0" collapsed="false">
      <c r="A72" s="9" t="s">
        <v>548</v>
      </c>
      <c r="B72" s="9" t="s">
        <v>182</v>
      </c>
      <c r="C72" s="9" t="s">
        <v>183</v>
      </c>
      <c r="D72" s="9" t="s">
        <v>482</v>
      </c>
      <c r="E72" s="9" t="s">
        <v>469</v>
      </c>
      <c r="F72" s="9" t="s">
        <v>470</v>
      </c>
      <c r="G72" s="9" t="s">
        <v>471</v>
      </c>
      <c r="H72" s="9" t="s">
        <v>34</v>
      </c>
      <c r="I72" s="42" t="n">
        <v>0</v>
      </c>
      <c r="J72" s="13" t="s">
        <v>472</v>
      </c>
    </row>
    <row r="73" customFormat="false" ht="15" hidden="false" customHeight="false" outlineLevel="0" collapsed="false">
      <c r="A73" s="9" t="s">
        <v>549</v>
      </c>
      <c r="B73" s="9" t="s">
        <v>182</v>
      </c>
      <c r="C73" s="9" t="s">
        <v>183</v>
      </c>
      <c r="D73" s="9" t="s">
        <v>484</v>
      </c>
      <c r="E73" s="9" t="s">
        <v>469</v>
      </c>
      <c r="F73" s="9" t="s">
        <v>470</v>
      </c>
      <c r="G73" s="9" t="s">
        <v>471</v>
      </c>
      <c r="H73" s="9" t="s">
        <v>34</v>
      </c>
      <c r="I73" s="42" t="n">
        <v>0</v>
      </c>
      <c r="J73" s="13" t="s">
        <v>472</v>
      </c>
    </row>
    <row r="74" customFormat="false" ht="15" hidden="false" customHeight="false" outlineLevel="0" collapsed="false">
      <c r="A74" s="9" t="s">
        <v>550</v>
      </c>
      <c r="B74" s="9" t="s">
        <v>182</v>
      </c>
      <c r="C74" s="9" t="s">
        <v>183</v>
      </c>
      <c r="D74" s="9" t="s">
        <v>486</v>
      </c>
      <c r="E74" s="9" t="s">
        <v>469</v>
      </c>
      <c r="F74" s="9" t="s">
        <v>470</v>
      </c>
      <c r="G74" s="9" t="s">
        <v>471</v>
      </c>
      <c r="H74" s="9" t="s">
        <v>34</v>
      </c>
      <c r="I74" s="42" t="n">
        <v>0</v>
      </c>
      <c r="J74" s="13" t="s">
        <v>472</v>
      </c>
    </row>
    <row r="75" customFormat="false" ht="15" hidden="false" customHeight="false" outlineLevel="0" collapsed="false">
      <c r="A75" s="9" t="s">
        <v>551</v>
      </c>
      <c r="B75" s="9" t="s">
        <v>182</v>
      </c>
      <c r="C75" s="9" t="s">
        <v>183</v>
      </c>
      <c r="D75" s="9" t="s">
        <v>488</v>
      </c>
      <c r="E75" s="9" t="s">
        <v>469</v>
      </c>
      <c r="F75" s="9" t="s">
        <v>470</v>
      </c>
      <c r="G75" s="9" t="s">
        <v>471</v>
      </c>
      <c r="H75" s="9" t="s">
        <v>34</v>
      </c>
      <c r="I75" s="42" t="n">
        <v>0</v>
      </c>
      <c r="J75" s="13" t="s">
        <v>472</v>
      </c>
    </row>
    <row r="76" customFormat="false" ht="15" hidden="false" customHeight="false" outlineLevel="0" collapsed="false">
      <c r="A76" s="9" t="s">
        <v>552</v>
      </c>
      <c r="B76" s="9" t="s">
        <v>182</v>
      </c>
      <c r="C76" s="9" t="s">
        <v>183</v>
      </c>
      <c r="D76" s="9" t="s">
        <v>490</v>
      </c>
      <c r="E76" s="9" t="s">
        <v>469</v>
      </c>
      <c r="F76" s="9" t="s">
        <v>470</v>
      </c>
      <c r="G76" s="9" t="s">
        <v>471</v>
      </c>
      <c r="H76" s="9" t="s">
        <v>34</v>
      </c>
      <c r="I76" s="42" t="n">
        <v>0</v>
      </c>
      <c r="J76" s="13" t="s">
        <v>472</v>
      </c>
    </row>
    <row r="77" customFormat="false" ht="15" hidden="false" customHeight="false" outlineLevel="0" collapsed="false">
      <c r="A77" s="9" t="s">
        <v>553</v>
      </c>
      <c r="B77" s="9" t="s">
        <v>182</v>
      </c>
      <c r="C77" s="9" t="s">
        <v>183</v>
      </c>
      <c r="D77" s="9" t="s">
        <v>492</v>
      </c>
      <c r="E77" s="9" t="s">
        <v>469</v>
      </c>
      <c r="F77" s="9" t="s">
        <v>470</v>
      </c>
      <c r="G77" s="9" t="s">
        <v>471</v>
      </c>
      <c r="H77" s="9" t="s">
        <v>34</v>
      </c>
      <c r="I77" s="42" t="n">
        <v>0</v>
      </c>
      <c r="J77" s="13" t="s">
        <v>472</v>
      </c>
    </row>
    <row r="78" customFormat="false" ht="15" hidden="false" customHeight="false" outlineLevel="0" collapsed="false">
      <c r="A78" s="14" t="s">
        <v>554</v>
      </c>
      <c r="B78" s="14" t="s">
        <v>182</v>
      </c>
      <c r="C78" s="14" t="s">
        <v>183</v>
      </c>
      <c r="D78" s="14" t="s">
        <v>494</v>
      </c>
      <c r="E78" s="14" t="s">
        <v>469</v>
      </c>
      <c r="F78" s="14" t="s">
        <v>470</v>
      </c>
      <c r="G78" s="14" t="s">
        <v>471</v>
      </c>
      <c r="H78" s="14" t="s">
        <v>34</v>
      </c>
      <c r="I78" s="43" t="n">
        <v>0</v>
      </c>
      <c r="J78" s="16" t="s">
        <v>472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29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2" style="0" width="28"/>
    <col collapsed="false" customWidth="true" hidden="false" outlineLevel="0" max="13" min="13" style="0" width="17"/>
  </cols>
  <sheetData>
    <row r="2" customFormat="false" ht="24" hidden="false" customHeight="true" outlineLevel="0" collapsed="false">
      <c r="A2" s="1" t="s">
        <v>555</v>
      </c>
      <c r="B2" s="1"/>
      <c r="C2" s="1"/>
      <c r="D2" s="1"/>
      <c r="E2" s="1"/>
      <c r="F2" s="1"/>
      <c r="G2" s="1"/>
      <c r="H2" s="1"/>
      <c r="I2" s="1"/>
      <c r="J2" s="1"/>
      <c r="K2" s="4"/>
      <c r="L2" s="4"/>
      <c r="M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</row>
    <row r="4" customFormat="false" ht="15" hidden="false" customHeight="false" outlineLevel="0" collapsed="false">
      <c r="A4" s="3" t="s">
        <v>556</v>
      </c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3" hidden="false" customHeight="true" outlineLevel="0" collapsed="false">
      <c r="A6" s="5" t="s">
        <v>461</v>
      </c>
      <c r="B6" s="6" t="s">
        <v>148</v>
      </c>
      <c r="C6" s="6" t="s">
        <v>149</v>
      </c>
      <c r="D6" s="6" t="s">
        <v>557</v>
      </c>
      <c r="E6" s="6" t="s">
        <v>558</v>
      </c>
      <c r="F6" s="6" t="s">
        <v>154</v>
      </c>
      <c r="G6" s="6" t="s">
        <v>153</v>
      </c>
      <c r="H6" s="6" t="s">
        <v>155</v>
      </c>
      <c r="I6" s="6" t="s">
        <v>559</v>
      </c>
      <c r="J6" s="7" t="s">
        <v>5</v>
      </c>
      <c r="K6" s="4"/>
      <c r="L6" s="17" t="s">
        <v>560</v>
      </c>
      <c r="M6" s="19" t="s">
        <v>561</v>
      </c>
    </row>
    <row r="7" customFormat="false" ht="15" hidden="false" customHeight="false" outlineLevel="0" collapsed="false">
      <c r="A7" s="8" t="s">
        <v>562</v>
      </c>
      <c r="B7" s="8" t="s">
        <v>158</v>
      </c>
      <c r="C7" s="8" t="s">
        <v>159</v>
      </c>
      <c r="D7" s="29" t="n">
        <v>1</v>
      </c>
      <c r="E7" s="29" t="s">
        <v>563</v>
      </c>
      <c r="F7" s="30" t="n">
        <v>0</v>
      </c>
      <c r="G7" s="29" t="n">
        <v>4</v>
      </c>
      <c r="H7" s="30" t="n">
        <f aca="false">F7+G7</f>
        <v>4</v>
      </c>
      <c r="I7" s="8" t="s">
        <v>470</v>
      </c>
      <c r="J7" s="8" t="s">
        <v>45</v>
      </c>
      <c r="K7" s="4"/>
      <c r="L7" s="8" t="s">
        <v>564</v>
      </c>
      <c r="M7" s="30" t="n">
        <f aca="false">SUM('Root Lanes'!F7:F12)</f>
        <v>182</v>
      </c>
    </row>
    <row r="8" customFormat="false" ht="15" hidden="false" customHeight="false" outlineLevel="0" collapsed="false">
      <c r="A8" s="9" t="s">
        <v>565</v>
      </c>
      <c r="B8" s="9" t="s">
        <v>158</v>
      </c>
      <c r="C8" s="9" t="s">
        <v>159</v>
      </c>
      <c r="D8" s="34" t="n">
        <v>2</v>
      </c>
      <c r="E8" s="34" t="s">
        <v>566</v>
      </c>
      <c r="F8" s="35" t="n">
        <f aca="false">H7</f>
        <v>4</v>
      </c>
      <c r="G8" s="34" t="n">
        <v>12</v>
      </c>
      <c r="H8" s="35" t="n">
        <f aca="false">F8+G8</f>
        <v>16</v>
      </c>
      <c r="I8" s="9" t="s">
        <v>470</v>
      </c>
      <c r="J8" s="9" t="s">
        <v>45</v>
      </c>
      <c r="K8" s="4"/>
      <c r="L8" s="9" t="s">
        <v>567</v>
      </c>
      <c r="M8" s="35" t="n">
        <f aca="false">MAX('Root Lanes'!H7:H12)</f>
        <v>36</v>
      </c>
    </row>
    <row r="9" customFormat="false" ht="15" hidden="false" customHeight="false" outlineLevel="0" collapsed="false">
      <c r="A9" s="9" t="s">
        <v>568</v>
      </c>
      <c r="B9" s="9" t="s">
        <v>158</v>
      </c>
      <c r="C9" s="9" t="s">
        <v>159</v>
      </c>
      <c r="D9" s="34" t="n">
        <v>3</v>
      </c>
      <c r="E9" s="34" t="s">
        <v>569</v>
      </c>
      <c r="F9" s="35" t="n">
        <f aca="false">H8</f>
        <v>16</v>
      </c>
      <c r="G9" s="34" t="n">
        <v>6</v>
      </c>
      <c r="H9" s="35" t="n">
        <f aca="false">F9+G9</f>
        <v>22</v>
      </c>
      <c r="I9" s="9" t="s">
        <v>470</v>
      </c>
      <c r="J9" s="9" t="s">
        <v>45</v>
      </c>
      <c r="K9" s="4"/>
      <c r="L9" s="14" t="s">
        <v>53</v>
      </c>
      <c r="M9" s="44" t="n">
        <f aca="false">1-M8/M7</f>
        <v>0.802197802197802</v>
      </c>
    </row>
    <row r="10" customFormat="false" ht="15" hidden="false" customHeight="false" outlineLevel="0" collapsed="false">
      <c r="A10" s="9" t="s">
        <v>570</v>
      </c>
      <c r="B10" s="9" t="s">
        <v>158</v>
      </c>
      <c r="C10" s="9" t="s">
        <v>159</v>
      </c>
      <c r="D10" s="34" t="n">
        <v>4</v>
      </c>
      <c r="E10" s="34" t="s">
        <v>571</v>
      </c>
      <c r="F10" s="35" t="n">
        <f aca="false">H9</f>
        <v>22</v>
      </c>
      <c r="G10" s="34" t="n">
        <v>4</v>
      </c>
      <c r="H10" s="35" t="n">
        <f aca="false">F10+G10</f>
        <v>26</v>
      </c>
      <c r="I10" s="9" t="s">
        <v>470</v>
      </c>
      <c r="J10" s="9" t="s">
        <v>45</v>
      </c>
      <c r="K10" s="4"/>
      <c r="L10" s="4"/>
      <c r="M10" s="4"/>
    </row>
    <row r="11" customFormat="false" ht="15" hidden="false" customHeight="false" outlineLevel="0" collapsed="false">
      <c r="A11" s="9" t="s">
        <v>572</v>
      </c>
      <c r="B11" s="9" t="s">
        <v>164</v>
      </c>
      <c r="C11" s="9" t="s">
        <v>165</v>
      </c>
      <c r="D11" s="34" t="n">
        <v>1</v>
      </c>
      <c r="E11" s="34" t="s">
        <v>563</v>
      </c>
      <c r="F11" s="35" t="n">
        <v>0</v>
      </c>
      <c r="G11" s="34" t="n">
        <v>4</v>
      </c>
      <c r="H11" s="35" t="n">
        <f aca="false">F11+G11</f>
        <v>4</v>
      </c>
      <c r="I11" s="9" t="s">
        <v>470</v>
      </c>
      <c r="J11" s="9" t="s">
        <v>45</v>
      </c>
      <c r="K11" s="4"/>
      <c r="L11" s="4"/>
      <c r="M11" s="4"/>
    </row>
    <row r="12" customFormat="false" ht="15" hidden="false" customHeight="false" outlineLevel="0" collapsed="false">
      <c r="A12" s="9" t="s">
        <v>573</v>
      </c>
      <c r="B12" s="9" t="s">
        <v>164</v>
      </c>
      <c r="C12" s="9" t="s">
        <v>165</v>
      </c>
      <c r="D12" s="34" t="n">
        <v>2</v>
      </c>
      <c r="E12" s="34" t="s">
        <v>566</v>
      </c>
      <c r="F12" s="35" t="n">
        <f aca="false">H11</f>
        <v>4</v>
      </c>
      <c r="G12" s="34" t="n">
        <v>13</v>
      </c>
      <c r="H12" s="35" t="n">
        <f aca="false">F12+G12</f>
        <v>17</v>
      </c>
      <c r="I12" s="9" t="s">
        <v>470</v>
      </c>
      <c r="J12" s="9" t="s">
        <v>45</v>
      </c>
      <c r="K12" s="4"/>
      <c r="L12" s="4"/>
      <c r="M12" s="4"/>
    </row>
    <row r="13" customFormat="false" ht="15" hidden="false" customHeight="false" outlineLevel="0" collapsed="false">
      <c r="A13" s="9" t="s">
        <v>574</v>
      </c>
      <c r="B13" s="9" t="s">
        <v>164</v>
      </c>
      <c r="C13" s="9" t="s">
        <v>165</v>
      </c>
      <c r="D13" s="34" t="n">
        <v>3</v>
      </c>
      <c r="E13" s="34" t="s">
        <v>569</v>
      </c>
      <c r="F13" s="35" t="n">
        <f aca="false">H12</f>
        <v>17</v>
      </c>
      <c r="G13" s="34" t="n">
        <v>7</v>
      </c>
      <c r="H13" s="35" t="n">
        <f aca="false">F13+G13</f>
        <v>24</v>
      </c>
      <c r="I13" s="9" t="s">
        <v>470</v>
      </c>
      <c r="J13" s="9" t="s">
        <v>45</v>
      </c>
      <c r="K13" s="4"/>
      <c r="L13" s="4"/>
      <c r="M13" s="4"/>
    </row>
    <row r="14" customFormat="false" ht="15" hidden="false" customHeight="false" outlineLevel="0" collapsed="false">
      <c r="A14" s="9" t="s">
        <v>575</v>
      </c>
      <c r="B14" s="9" t="s">
        <v>164</v>
      </c>
      <c r="C14" s="9" t="s">
        <v>165</v>
      </c>
      <c r="D14" s="34" t="n">
        <v>4</v>
      </c>
      <c r="E14" s="34" t="s">
        <v>571</v>
      </c>
      <c r="F14" s="35" t="n">
        <f aca="false">H13</f>
        <v>24</v>
      </c>
      <c r="G14" s="34" t="n">
        <v>4</v>
      </c>
      <c r="H14" s="35" t="n">
        <f aca="false">F14+G14</f>
        <v>28</v>
      </c>
      <c r="I14" s="9" t="s">
        <v>470</v>
      </c>
      <c r="J14" s="9" t="s">
        <v>45</v>
      </c>
      <c r="K14" s="4"/>
      <c r="L14" s="4"/>
      <c r="M14" s="4"/>
    </row>
    <row r="15" customFormat="false" ht="15" hidden="false" customHeight="false" outlineLevel="0" collapsed="false">
      <c r="A15" s="9" t="s">
        <v>576</v>
      </c>
      <c r="B15" s="9" t="s">
        <v>169</v>
      </c>
      <c r="C15" s="9" t="s">
        <v>170</v>
      </c>
      <c r="D15" s="34" t="n">
        <v>1</v>
      </c>
      <c r="E15" s="34" t="s">
        <v>563</v>
      </c>
      <c r="F15" s="35" t="n">
        <v>0</v>
      </c>
      <c r="G15" s="34" t="n">
        <v>4</v>
      </c>
      <c r="H15" s="35" t="n">
        <f aca="false">F15+G15</f>
        <v>4</v>
      </c>
      <c r="I15" s="9" t="s">
        <v>470</v>
      </c>
      <c r="J15" s="9" t="s">
        <v>45</v>
      </c>
      <c r="K15" s="4"/>
      <c r="L15" s="4"/>
      <c r="M15" s="4"/>
    </row>
    <row r="16" customFormat="false" ht="15" hidden="false" customHeight="false" outlineLevel="0" collapsed="false">
      <c r="A16" s="9" t="s">
        <v>577</v>
      </c>
      <c r="B16" s="9" t="s">
        <v>169</v>
      </c>
      <c r="C16" s="9" t="s">
        <v>170</v>
      </c>
      <c r="D16" s="34" t="n">
        <v>2</v>
      </c>
      <c r="E16" s="34" t="s">
        <v>566</v>
      </c>
      <c r="F16" s="35" t="n">
        <f aca="false">H15</f>
        <v>4</v>
      </c>
      <c r="G16" s="34" t="n">
        <v>14</v>
      </c>
      <c r="H16" s="35" t="n">
        <f aca="false">F16+G16</f>
        <v>18</v>
      </c>
      <c r="I16" s="9" t="s">
        <v>470</v>
      </c>
      <c r="J16" s="9" t="s">
        <v>45</v>
      </c>
      <c r="K16" s="4"/>
      <c r="L16" s="4"/>
      <c r="M16" s="4"/>
    </row>
    <row r="17" customFormat="false" ht="15" hidden="false" customHeight="false" outlineLevel="0" collapsed="false">
      <c r="A17" s="9" t="s">
        <v>578</v>
      </c>
      <c r="B17" s="9" t="s">
        <v>169</v>
      </c>
      <c r="C17" s="9" t="s">
        <v>170</v>
      </c>
      <c r="D17" s="34" t="n">
        <v>3</v>
      </c>
      <c r="E17" s="34" t="s">
        <v>569</v>
      </c>
      <c r="F17" s="35" t="n">
        <f aca="false">H16</f>
        <v>18</v>
      </c>
      <c r="G17" s="34" t="n">
        <v>8</v>
      </c>
      <c r="H17" s="35" t="n">
        <f aca="false">F17+G17</f>
        <v>26</v>
      </c>
      <c r="I17" s="9" t="s">
        <v>470</v>
      </c>
      <c r="J17" s="9" t="s">
        <v>45</v>
      </c>
      <c r="K17" s="4"/>
      <c r="L17" s="4"/>
      <c r="M17" s="4"/>
    </row>
    <row r="18" customFormat="false" ht="15" hidden="false" customHeight="false" outlineLevel="0" collapsed="false">
      <c r="A18" s="9" t="s">
        <v>579</v>
      </c>
      <c r="B18" s="9" t="s">
        <v>169</v>
      </c>
      <c r="C18" s="9" t="s">
        <v>170</v>
      </c>
      <c r="D18" s="34" t="n">
        <v>4</v>
      </c>
      <c r="E18" s="34" t="s">
        <v>571</v>
      </c>
      <c r="F18" s="35" t="n">
        <f aca="false">H17</f>
        <v>26</v>
      </c>
      <c r="G18" s="34" t="n">
        <v>4</v>
      </c>
      <c r="H18" s="35" t="n">
        <f aca="false">F18+G18</f>
        <v>30</v>
      </c>
      <c r="I18" s="9" t="s">
        <v>470</v>
      </c>
      <c r="J18" s="9" t="s">
        <v>45</v>
      </c>
      <c r="K18" s="4"/>
      <c r="L18" s="4"/>
      <c r="M18" s="4"/>
    </row>
    <row r="19" customFormat="false" ht="15" hidden="false" customHeight="false" outlineLevel="0" collapsed="false">
      <c r="A19" s="9" t="s">
        <v>580</v>
      </c>
      <c r="B19" s="9" t="s">
        <v>173</v>
      </c>
      <c r="C19" s="9" t="s">
        <v>174</v>
      </c>
      <c r="D19" s="34" t="n">
        <v>1</v>
      </c>
      <c r="E19" s="34" t="s">
        <v>563</v>
      </c>
      <c r="F19" s="35" t="n">
        <v>0</v>
      </c>
      <c r="G19" s="34" t="n">
        <v>5</v>
      </c>
      <c r="H19" s="35" t="n">
        <f aca="false">F19+G19</f>
        <v>5</v>
      </c>
      <c r="I19" s="9" t="s">
        <v>470</v>
      </c>
      <c r="J19" s="9" t="s">
        <v>45</v>
      </c>
      <c r="K19" s="4"/>
      <c r="L19" s="4"/>
      <c r="M19" s="4"/>
    </row>
    <row r="20" customFormat="false" ht="15" hidden="false" customHeight="false" outlineLevel="0" collapsed="false">
      <c r="A20" s="9" t="s">
        <v>581</v>
      </c>
      <c r="B20" s="9" t="s">
        <v>173</v>
      </c>
      <c r="C20" s="9" t="s">
        <v>174</v>
      </c>
      <c r="D20" s="34" t="n">
        <v>2</v>
      </c>
      <c r="E20" s="34" t="s">
        <v>566</v>
      </c>
      <c r="F20" s="35" t="n">
        <f aca="false">H19</f>
        <v>5</v>
      </c>
      <c r="G20" s="34" t="n">
        <v>17</v>
      </c>
      <c r="H20" s="35" t="n">
        <f aca="false">F20+G20</f>
        <v>22</v>
      </c>
      <c r="I20" s="9" t="s">
        <v>470</v>
      </c>
      <c r="J20" s="9" t="s">
        <v>45</v>
      </c>
      <c r="K20" s="4"/>
      <c r="L20" s="4"/>
      <c r="M20" s="4"/>
    </row>
    <row r="21" customFormat="false" ht="15" hidden="false" customHeight="false" outlineLevel="0" collapsed="false">
      <c r="A21" s="9" t="s">
        <v>582</v>
      </c>
      <c r="B21" s="9" t="s">
        <v>173</v>
      </c>
      <c r="C21" s="9" t="s">
        <v>174</v>
      </c>
      <c r="D21" s="34" t="n">
        <v>3</v>
      </c>
      <c r="E21" s="34" t="s">
        <v>569</v>
      </c>
      <c r="F21" s="35" t="n">
        <f aca="false">H20</f>
        <v>22</v>
      </c>
      <c r="G21" s="34" t="n">
        <v>9</v>
      </c>
      <c r="H21" s="35" t="n">
        <f aca="false">F21+G21</f>
        <v>31</v>
      </c>
      <c r="I21" s="9" t="s">
        <v>470</v>
      </c>
      <c r="J21" s="9" t="s">
        <v>45</v>
      </c>
      <c r="K21" s="4"/>
      <c r="L21" s="4"/>
      <c r="M21" s="4"/>
    </row>
    <row r="22" customFormat="false" ht="15" hidden="false" customHeight="false" outlineLevel="0" collapsed="false">
      <c r="A22" s="9" t="s">
        <v>583</v>
      </c>
      <c r="B22" s="9" t="s">
        <v>173</v>
      </c>
      <c r="C22" s="9" t="s">
        <v>174</v>
      </c>
      <c r="D22" s="34" t="n">
        <v>4</v>
      </c>
      <c r="E22" s="34" t="s">
        <v>571</v>
      </c>
      <c r="F22" s="35" t="n">
        <f aca="false">H21</f>
        <v>31</v>
      </c>
      <c r="G22" s="34" t="n">
        <v>5</v>
      </c>
      <c r="H22" s="35" t="n">
        <f aca="false">F22+G22</f>
        <v>36</v>
      </c>
      <c r="I22" s="9" t="s">
        <v>470</v>
      </c>
      <c r="J22" s="9" t="s">
        <v>45</v>
      </c>
      <c r="K22" s="4"/>
      <c r="L22" s="4"/>
      <c r="M22" s="4"/>
    </row>
    <row r="23" customFormat="false" ht="15" hidden="false" customHeight="false" outlineLevel="0" collapsed="false">
      <c r="A23" s="9" t="s">
        <v>584</v>
      </c>
      <c r="B23" s="9" t="s">
        <v>177</v>
      </c>
      <c r="C23" s="9" t="s">
        <v>178</v>
      </c>
      <c r="D23" s="34" t="n">
        <v>1</v>
      </c>
      <c r="E23" s="34" t="s">
        <v>563</v>
      </c>
      <c r="F23" s="35" t="n">
        <v>0</v>
      </c>
      <c r="G23" s="34" t="n">
        <v>5</v>
      </c>
      <c r="H23" s="35" t="n">
        <f aca="false">F23+G23</f>
        <v>5</v>
      </c>
      <c r="I23" s="9" t="s">
        <v>470</v>
      </c>
      <c r="J23" s="9" t="s">
        <v>45</v>
      </c>
      <c r="K23" s="4"/>
      <c r="L23" s="4"/>
      <c r="M23" s="4"/>
    </row>
    <row r="24" customFormat="false" ht="15" hidden="false" customHeight="false" outlineLevel="0" collapsed="false">
      <c r="A24" s="9" t="s">
        <v>585</v>
      </c>
      <c r="B24" s="9" t="s">
        <v>177</v>
      </c>
      <c r="C24" s="9" t="s">
        <v>178</v>
      </c>
      <c r="D24" s="34" t="n">
        <v>2</v>
      </c>
      <c r="E24" s="34" t="s">
        <v>566</v>
      </c>
      <c r="F24" s="35" t="n">
        <f aca="false">H23</f>
        <v>5</v>
      </c>
      <c r="G24" s="34" t="n">
        <v>15</v>
      </c>
      <c r="H24" s="35" t="n">
        <f aca="false">F24+G24</f>
        <v>20</v>
      </c>
      <c r="I24" s="9" t="s">
        <v>470</v>
      </c>
      <c r="J24" s="9" t="s">
        <v>45</v>
      </c>
      <c r="K24" s="4"/>
      <c r="L24" s="4"/>
      <c r="M24" s="4"/>
    </row>
    <row r="25" customFormat="false" ht="15" hidden="false" customHeight="false" outlineLevel="0" collapsed="false">
      <c r="A25" s="9" t="s">
        <v>586</v>
      </c>
      <c r="B25" s="9" t="s">
        <v>177</v>
      </c>
      <c r="C25" s="9" t="s">
        <v>178</v>
      </c>
      <c r="D25" s="34" t="n">
        <v>3</v>
      </c>
      <c r="E25" s="34" t="s">
        <v>569</v>
      </c>
      <c r="F25" s="35" t="n">
        <f aca="false">H24</f>
        <v>20</v>
      </c>
      <c r="G25" s="34" t="n">
        <v>8</v>
      </c>
      <c r="H25" s="35" t="n">
        <f aca="false">F25+G25</f>
        <v>28</v>
      </c>
      <c r="I25" s="9" t="s">
        <v>470</v>
      </c>
      <c r="J25" s="9" t="s">
        <v>45</v>
      </c>
      <c r="K25" s="4"/>
      <c r="L25" s="4"/>
      <c r="M25" s="4"/>
    </row>
    <row r="26" customFormat="false" ht="15" hidden="false" customHeight="false" outlineLevel="0" collapsed="false">
      <c r="A26" s="9" t="s">
        <v>587</v>
      </c>
      <c r="B26" s="9" t="s">
        <v>177</v>
      </c>
      <c r="C26" s="9" t="s">
        <v>178</v>
      </c>
      <c r="D26" s="34" t="n">
        <v>4</v>
      </c>
      <c r="E26" s="34" t="s">
        <v>571</v>
      </c>
      <c r="F26" s="35" t="n">
        <f aca="false">H25</f>
        <v>28</v>
      </c>
      <c r="G26" s="34" t="n">
        <v>4</v>
      </c>
      <c r="H26" s="35" t="n">
        <f aca="false">F26+G26</f>
        <v>32</v>
      </c>
      <c r="I26" s="9" t="s">
        <v>470</v>
      </c>
      <c r="J26" s="9" t="s">
        <v>45</v>
      </c>
      <c r="K26" s="4"/>
      <c r="L26" s="4"/>
      <c r="M26" s="4"/>
    </row>
    <row r="27" customFormat="false" ht="15" hidden="false" customHeight="false" outlineLevel="0" collapsed="false">
      <c r="A27" s="9" t="s">
        <v>588</v>
      </c>
      <c r="B27" s="9" t="s">
        <v>182</v>
      </c>
      <c r="C27" s="9" t="s">
        <v>183</v>
      </c>
      <c r="D27" s="34" t="n">
        <v>1</v>
      </c>
      <c r="E27" s="34" t="s">
        <v>563</v>
      </c>
      <c r="F27" s="35" t="n">
        <v>0</v>
      </c>
      <c r="G27" s="34" t="n">
        <v>4</v>
      </c>
      <c r="H27" s="35" t="n">
        <f aca="false">F27+G27</f>
        <v>4</v>
      </c>
      <c r="I27" s="9" t="s">
        <v>470</v>
      </c>
      <c r="J27" s="9" t="s">
        <v>45</v>
      </c>
      <c r="K27" s="4"/>
      <c r="L27" s="4"/>
      <c r="M27" s="4"/>
    </row>
    <row r="28" customFormat="false" ht="15" hidden="false" customHeight="false" outlineLevel="0" collapsed="false">
      <c r="A28" s="9" t="s">
        <v>589</v>
      </c>
      <c r="B28" s="9" t="s">
        <v>182</v>
      </c>
      <c r="C28" s="9" t="s">
        <v>183</v>
      </c>
      <c r="D28" s="34" t="n">
        <v>2</v>
      </c>
      <c r="E28" s="34" t="s">
        <v>566</v>
      </c>
      <c r="F28" s="35" t="n">
        <f aca="false">H27</f>
        <v>4</v>
      </c>
      <c r="G28" s="34" t="n">
        <v>14</v>
      </c>
      <c r="H28" s="35" t="n">
        <f aca="false">F28+G28</f>
        <v>18</v>
      </c>
      <c r="I28" s="9" t="s">
        <v>470</v>
      </c>
      <c r="J28" s="9" t="s">
        <v>45</v>
      </c>
      <c r="K28" s="4"/>
      <c r="L28" s="4"/>
      <c r="M28" s="4"/>
    </row>
    <row r="29" customFormat="false" ht="15" hidden="false" customHeight="false" outlineLevel="0" collapsed="false">
      <c r="A29" s="9" t="s">
        <v>590</v>
      </c>
      <c r="B29" s="9" t="s">
        <v>182</v>
      </c>
      <c r="C29" s="9" t="s">
        <v>183</v>
      </c>
      <c r="D29" s="34" t="n">
        <v>3</v>
      </c>
      <c r="E29" s="34" t="s">
        <v>569</v>
      </c>
      <c r="F29" s="35" t="n">
        <f aca="false">H28</f>
        <v>18</v>
      </c>
      <c r="G29" s="34" t="n">
        <v>8</v>
      </c>
      <c r="H29" s="35" t="n">
        <f aca="false">F29+G29</f>
        <v>26</v>
      </c>
      <c r="I29" s="9" t="s">
        <v>470</v>
      </c>
      <c r="J29" s="9" t="s">
        <v>45</v>
      </c>
      <c r="K29" s="4"/>
      <c r="L29" s="4"/>
      <c r="M29" s="4"/>
    </row>
    <row r="30" customFormat="false" ht="15" hidden="false" customHeight="false" outlineLevel="0" collapsed="false">
      <c r="A30" s="14" t="s">
        <v>591</v>
      </c>
      <c r="B30" s="14" t="s">
        <v>182</v>
      </c>
      <c r="C30" s="14" t="s">
        <v>183</v>
      </c>
      <c r="D30" s="37" t="n">
        <v>4</v>
      </c>
      <c r="E30" s="37" t="s">
        <v>571</v>
      </c>
      <c r="F30" s="38" t="n">
        <f aca="false">H29</f>
        <v>26</v>
      </c>
      <c r="G30" s="37" t="n">
        <v>4</v>
      </c>
      <c r="H30" s="38" t="n">
        <f aca="false">F30+G30</f>
        <v>30</v>
      </c>
      <c r="I30" s="14" t="s">
        <v>470</v>
      </c>
      <c r="J30" s="14" t="s">
        <v>45</v>
      </c>
      <c r="K30" s="4"/>
      <c r="L30" s="4"/>
      <c r="M30" s="4"/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37"/>
  </cols>
  <sheetData>
    <row r="2" customFormat="false" ht="24" hidden="false" customHeight="true" outlineLevel="0" collapsed="false">
      <c r="A2" s="1" t="s">
        <v>592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593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23" hidden="false" customHeight="true" outlineLevel="0" collapsed="false">
      <c r="A6" s="5" t="s">
        <v>230</v>
      </c>
      <c r="B6" s="6" t="s">
        <v>148</v>
      </c>
      <c r="C6" s="6" t="s">
        <v>149</v>
      </c>
      <c r="D6" s="6" t="s">
        <v>594</v>
      </c>
      <c r="E6" s="6" t="s">
        <v>595</v>
      </c>
      <c r="F6" s="6" t="s">
        <v>596</v>
      </c>
      <c r="G6" s="6" t="s">
        <v>597</v>
      </c>
      <c r="H6" s="6" t="s">
        <v>598</v>
      </c>
      <c r="I6" s="7" t="s">
        <v>599</v>
      </c>
    </row>
    <row r="7" customFormat="false" ht="15" hidden="false" customHeight="false" outlineLevel="0" collapsed="false">
      <c r="A7" s="8" t="s">
        <v>600</v>
      </c>
      <c r="B7" s="8" t="s">
        <v>158</v>
      </c>
      <c r="C7" s="8" t="s">
        <v>159</v>
      </c>
      <c r="D7" s="8" t="s">
        <v>601</v>
      </c>
      <c r="E7" s="29" t="n">
        <v>1</v>
      </c>
      <c r="F7" s="29" t="n">
        <v>0</v>
      </c>
      <c r="G7" s="29" t="n">
        <v>0</v>
      </c>
      <c r="H7" s="33" t="s">
        <v>67</v>
      </c>
      <c r="I7" s="33" t="s">
        <v>602</v>
      </c>
    </row>
    <row r="8" customFormat="false" ht="15" hidden="false" customHeight="false" outlineLevel="0" collapsed="false">
      <c r="A8" s="9" t="s">
        <v>603</v>
      </c>
      <c r="B8" s="9" t="s">
        <v>158</v>
      </c>
      <c r="C8" s="9" t="s">
        <v>159</v>
      </c>
      <c r="D8" s="9" t="s">
        <v>604</v>
      </c>
      <c r="E8" s="34" t="n">
        <v>0</v>
      </c>
      <c r="F8" s="34" t="n">
        <v>1</v>
      </c>
      <c r="G8" s="34" t="n">
        <v>0</v>
      </c>
      <c r="H8" s="13" t="s">
        <v>67</v>
      </c>
      <c r="I8" s="13" t="s">
        <v>605</v>
      </c>
    </row>
    <row r="9" customFormat="false" ht="15" hidden="false" customHeight="false" outlineLevel="0" collapsed="false">
      <c r="A9" s="9" t="s">
        <v>606</v>
      </c>
      <c r="B9" s="9" t="s">
        <v>164</v>
      </c>
      <c r="C9" s="9" t="s">
        <v>165</v>
      </c>
      <c r="D9" s="9" t="s">
        <v>601</v>
      </c>
      <c r="E9" s="34" t="n">
        <v>1</v>
      </c>
      <c r="F9" s="34" t="n">
        <v>0</v>
      </c>
      <c r="G9" s="34" t="n">
        <v>0</v>
      </c>
      <c r="H9" s="13" t="s">
        <v>67</v>
      </c>
      <c r="I9" s="13" t="s">
        <v>602</v>
      </c>
    </row>
    <row r="10" customFormat="false" ht="15" hidden="false" customHeight="false" outlineLevel="0" collapsed="false">
      <c r="A10" s="9" t="s">
        <v>607</v>
      </c>
      <c r="B10" s="9" t="s">
        <v>164</v>
      </c>
      <c r="C10" s="9" t="s">
        <v>165</v>
      </c>
      <c r="D10" s="9" t="s">
        <v>604</v>
      </c>
      <c r="E10" s="34" t="n">
        <v>0</v>
      </c>
      <c r="F10" s="34" t="n">
        <v>1</v>
      </c>
      <c r="G10" s="34" t="n">
        <v>0</v>
      </c>
      <c r="H10" s="13" t="s">
        <v>67</v>
      </c>
      <c r="I10" s="13" t="s">
        <v>605</v>
      </c>
    </row>
    <row r="11" customFormat="false" ht="15" hidden="false" customHeight="false" outlineLevel="0" collapsed="false">
      <c r="A11" s="9" t="s">
        <v>608</v>
      </c>
      <c r="B11" s="9" t="s">
        <v>169</v>
      </c>
      <c r="C11" s="9" t="s">
        <v>170</v>
      </c>
      <c r="D11" s="9" t="s">
        <v>601</v>
      </c>
      <c r="E11" s="34" t="n">
        <v>1</v>
      </c>
      <c r="F11" s="34" t="n">
        <v>0</v>
      </c>
      <c r="G11" s="34" t="n">
        <v>0</v>
      </c>
      <c r="H11" s="13" t="s">
        <v>67</v>
      </c>
      <c r="I11" s="13" t="s">
        <v>602</v>
      </c>
    </row>
    <row r="12" customFormat="false" ht="15" hidden="false" customHeight="false" outlineLevel="0" collapsed="false">
      <c r="A12" s="9" t="s">
        <v>609</v>
      </c>
      <c r="B12" s="9" t="s">
        <v>169</v>
      </c>
      <c r="C12" s="9" t="s">
        <v>170</v>
      </c>
      <c r="D12" s="9" t="s">
        <v>604</v>
      </c>
      <c r="E12" s="34" t="n">
        <v>0</v>
      </c>
      <c r="F12" s="34" t="n">
        <v>1</v>
      </c>
      <c r="G12" s="34" t="n">
        <v>0</v>
      </c>
      <c r="H12" s="13" t="s">
        <v>67</v>
      </c>
      <c r="I12" s="13" t="s">
        <v>605</v>
      </c>
    </row>
    <row r="13" customFormat="false" ht="15" hidden="false" customHeight="false" outlineLevel="0" collapsed="false">
      <c r="A13" s="9" t="s">
        <v>610</v>
      </c>
      <c r="B13" s="9" t="s">
        <v>173</v>
      </c>
      <c r="C13" s="9" t="s">
        <v>174</v>
      </c>
      <c r="D13" s="9" t="s">
        <v>601</v>
      </c>
      <c r="E13" s="34" t="n">
        <v>1</v>
      </c>
      <c r="F13" s="34" t="n">
        <v>0</v>
      </c>
      <c r="G13" s="34" t="n">
        <v>0</v>
      </c>
      <c r="H13" s="13" t="s">
        <v>67</v>
      </c>
      <c r="I13" s="13" t="s">
        <v>602</v>
      </c>
    </row>
    <row r="14" customFormat="false" ht="15" hidden="false" customHeight="false" outlineLevel="0" collapsed="false">
      <c r="A14" s="9" t="s">
        <v>611</v>
      </c>
      <c r="B14" s="9" t="s">
        <v>173</v>
      </c>
      <c r="C14" s="9" t="s">
        <v>174</v>
      </c>
      <c r="D14" s="9" t="s">
        <v>604</v>
      </c>
      <c r="E14" s="34" t="n">
        <v>0</v>
      </c>
      <c r="F14" s="34" t="n">
        <v>1</v>
      </c>
      <c r="G14" s="34" t="n">
        <v>0</v>
      </c>
      <c r="H14" s="13" t="s">
        <v>67</v>
      </c>
      <c r="I14" s="13" t="s">
        <v>605</v>
      </c>
    </row>
    <row r="15" customFormat="false" ht="15" hidden="false" customHeight="false" outlineLevel="0" collapsed="false">
      <c r="A15" s="9" t="s">
        <v>612</v>
      </c>
      <c r="B15" s="9" t="s">
        <v>177</v>
      </c>
      <c r="C15" s="9" t="s">
        <v>178</v>
      </c>
      <c r="D15" s="9" t="s">
        <v>601</v>
      </c>
      <c r="E15" s="34" t="n">
        <v>1</v>
      </c>
      <c r="F15" s="34" t="n">
        <v>0</v>
      </c>
      <c r="G15" s="34" t="n">
        <v>0</v>
      </c>
      <c r="H15" s="13" t="s">
        <v>67</v>
      </c>
      <c r="I15" s="13" t="s">
        <v>602</v>
      </c>
    </row>
    <row r="16" customFormat="false" ht="15" hidden="false" customHeight="false" outlineLevel="0" collapsed="false">
      <c r="A16" s="9" t="s">
        <v>613</v>
      </c>
      <c r="B16" s="9" t="s">
        <v>177</v>
      </c>
      <c r="C16" s="9" t="s">
        <v>178</v>
      </c>
      <c r="D16" s="9" t="s">
        <v>604</v>
      </c>
      <c r="E16" s="34" t="n">
        <v>0</v>
      </c>
      <c r="F16" s="34" t="n">
        <v>1</v>
      </c>
      <c r="G16" s="34" t="n">
        <v>0</v>
      </c>
      <c r="H16" s="13" t="s">
        <v>67</v>
      </c>
      <c r="I16" s="13" t="s">
        <v>605</v>
      </c>
    </row>
    <row r="17" customFormat="false" ht="15" hidden="false" customHeight="false" outlineLevel="0" collapsed="false">
      <c r="A17" s="9" t="s">
        <v>614</v>
      </c>
      <c r="B17" s="9" t="s">
        <v>182</v>
      </c>
      <c r="C17" s="9" t="s">
        <v>183</v>
      </c>
      <c r="D17" s="9" t="s">
        <v>601</v>
      </c>
      <c r="E17" s="34" t="n">
        <v>1</v>
      </c>
      <c r="F17" s="34" t="n">
        <v>0</v>
      </c>
      <c r="G17" s="34" t="n">
        <v>0</v>
      </c>
      <c r="H17" s="13" t="s">
        <v>67</v>
      </c>
      <c r="I17" s="13" t="s">
        <v>602</v>
      </c>
    </row>
    <row r="18" customFormat="false" ht="15" hidden="false" customHeight="false" outlineLevel="0" collapsed="false">
      <c r="A18" s="14" t="s">
        <v>615</v>
      </c>
      <c r="B18" s="14" t="s">
        <v>182</v>
      </c>
      <c r="C18" s="14" t="s">
        <v>183</v>
      </c>
      <c r="D18" s="14" t="s">
        <v>604</v>
      </c>
      <c r="E18" s="37" t="n">
        <v>0</v>
      </c>
      <c r="F18" s="37" t="n">
        <v>1</v>
      </c>
      <c r="G18" s="37" t="n">
        <v>0</v>
      </c>
      <c r="H18" s="16" t="s">
        <v>67</v>
      </c>
      <c r="I18" s="16" t="s">
        <v>605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17"/>
    <col collapsed="false" customWidth="true" hidden="false" outlineLevel="0" max="11" min="11" style="0" width="15"/>
  </cols>
  <sheetData>
    <row r="2" customFormat="false" ht="24" hidden="false" customHeight="true" outlineLevel="0" collapsed="false">
      <c r="A2" s="1" t="s">
        <v>616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3" t="s">
        <v>617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23" hidden="false" customHeight="true" outlineLevel="0" collapsed="false">
      <c r="A6" s="5" t="s">
        <v>148</v>
      </c>
      <c r="B6" s="6" t="s">
        <v>149</v>
      </c>
      <c r="C6" s="6" t="s">
        <v>150</v>
      </c>
      <c r="D6" s="6" t="s">
        <v>156</v>
      </c>
      <c r="E6" s="6" t="s">
        <v>107</v>
      </c>
      <c r="F6" s="6" t="s">
        <v>157</v>
      </c>
      <c r="G6" s="6" t="s">
        <v>618</v>
      </c>
      <c r="H6" s="6" t="s">
        <v>619</v>
      </c>
      <c r="I6" s="6" t="s">
        <v>620</v>
      </c>
      <c r="J6" s="6" t="s">
        <v>621</v>
      </c>
      <c r="K6" s="7" t="s">
        <v>5</v>
      </c>
      <c r="L6" s="4"/>
      <c r="M6" s="45"/>
      <c r="N6" s="45"/>
      <c r="O6" s="45"/>
      <c r="P6" s="45"/>
      <c r="Q6" s="45"/>
      <c r="R6" s="45"/>
      <c r="S6" s="45"/>
    </row>
    <row r="7" customFormat="false" ht="15" hidden="false" customHeight="false" outlineLevel="0" collapsed="false">
      <c r="A7" s="8" t="s">
        <v>158</v>
      </c>
      <c r="B7" s="8" t="s">
        <v>159</v>
      </c>
      <c r="C7" s="8" t="s">
        <v>160</v>
      </c>
      <c r="D7" s="31" t="n">
        <v>0.50047461808185</v>
      </c>
      <c r="E7" s="46" t="n">
        <f aca="false">Controls!$B$19</f>
        <v>0.15</v>
      </c>
      <c r="F7" s="32" t="n">
        <f aca="false">D7*E7</f>
        <v>0.0750711927122775</v>
      </c>
      <c r="G7" s="46" t="n">
        <f aca="false">Controls!$B$21</f>
        <v>0.85</v>
      </c>
      <c r="H7" s="32" t="n">
        <f aca="false">D7*G7</f>
        <v>0.425403425369573</v>
      </c>
      <c r="I7" s="47" t="n">
        <v>0</v>
      </c>
      <c r="J7" s="47" t="n">
        <v>0</v>
      </c>
      <c r="K7" s="33" t="s">
        <v>60</v>
      </c>
      <c r="L7" s="4"/>
      <c r="M7" s="45"/>
      <c r="N7" s="45"/>
      <c r="O7" s="45"/>
      <c r="P7" s="45"/>
      <c r="Q7" s="45"/>
      <c r="R7" s="45"/>
      <c r="S7" s="45"/>
    </row>
    <row r="8" customFormat="false" ht="15" hidden="false" customHeight="false" outlineLevel="0" collapsed="false">
      <c r="A8" s="9" t="s">
        <v>164</v>
      </c>
      <c r="B8" s="9" t="s">
        <v>165</v>
      </c>
      <c r="C8" s="9" t="s">
        <v>166</v>
      </c>
      <c r="D8" s="12" t="n">
        <v>0.51649348177396</v>
      </c>
      <c r="E8" s="48" t="n">
        <f aca="false">Controls!$B$19</f>
        <v>0.15</v>
      </c>
      <c r="F8" s="36" t="n">
        <f aca="false">D8*E8</f>
        <v>0.077474022266094</v>
      </c>
      <c r="G8" s="48" t="n">
        <f aca="false">Controls!$B$21</f>
        <v>0.85</v>
      </c>
      <c r="H8" s="36" t="n">
        <f aca="false">D8*G8</f>
        <v>0.439019459507866</v>
      </c>
      <c r="I8" s="49" t="n">
        <v>0</v>
      </c>
      <c r="J8" s="49" t="n">
        <v>0</v>
      </c>
      <c r="K8" s="13" t="s">
        <v>60</v>
      </c>
      <c r="L8" s="4"/>
      <c r="M8" s="45"/>
      <c r="N8" s="45"/>
      <c r="O8" s="45"/>
      <c r="P8" s="45"/>
      <c r="Q8" s="45"/>
      <c r="R8" s="45"/>
      <c r="S8" s="45"/>
    </row>
    <row r="9" customFormat="false" ht="15" hidden="false" customHeight="false" outlineLevel="0" collapsed="false">
      <c r="A9" s="9" t="s">
        <v>169</v>
      </c>
      <c r="B9" s="9" t="s">
        <v>170</v>
      </c>
      <c r="C9" s="9" t="s">
        <v>171</v>
      </c>
      <c r="D9" s="12" t="n">
        <v>0.307221654067133</v>
      </c>
      <c r="E9" s="48" t="n">
        <f aca="false">Controls!$B$19</f>
        <v>0.15</v>
      </c>
      <c r="F9" s="36" t="n">
        <f aca="false">D9*E9</f>
        <v>0.0460832481100699</v>
      </c>
      <c r="G9" s="48" t="n">
        <f aca="false">Controls!$B$21</f>
        <v>0.85</v>
      </c>
      <c r="H9" s="36" t="n">
        <f aca="false">D9*G9</f>
        <v>0.261138405957063</v>
      </c>
      <c r="I9" s="49" t="n">
        <v>0</v>
      </c>
      <c r="J9" s="49" t="n">
        <v>0</v>
      </c>
      <c r="K9" s="13" t="s">
        <v>60</v>
      </c>
      <c r="L9" s="4"/>
      <c r="M9" s="45"/>
      <c r="N9" s="45"/>
      <c r="O9" s="45"/>
      <c r="P9" s="45"/>
      <c r="Q9" s="45"/>
      <c r="R9" s="45"/>
      <c r="S9" s="45"/>
    </row>
    <row r="10" customFormat="false" ht="15" hidden="false" customHeight="false" outlineLevel="0" collapsed="false">
      <c r="A10" s="9" t="s">
        <v>173</v>
      </c>
      <c r="B10" s="9" t="s">
        <v>174</v>
      </c>
      <c r="C10" s="9" t="s">
        <v>175</v>
      </c>
      <c r="D10" s="12" t="n">
        <v>0.899412819320565</v>
      </c>
      <c r="E10" s="48" t="n">
        <f aca="false">Controls!$B$19</f>
        <v>0.15</v>
      </c>
      <c r="F10" s="36" t="n">
        <f aca="false">D10*E10</f>
        <v>0.134911922898085</v>
      </c>
      <c r="G10" s="48" t="n">
        <f aca="false">Controls!$B$21</f>
        <v>0.85</v>
      </c>
      <c r="H10" s="36" t="n">
        <f aca="false">D10*G10</f>
        <v>0.76450089642248</v>
      </c>
      <c r="I10" s="49" t="n">
        <v>0</v>
      </c>
      <c r="J10" s="49" t="n">
        <v>0</v>
      </c>
      <c r="K10" s="13" t="s">
        <v>60</v>
      </c>
      <c r="L10" s="4"/>
      <c r="M10" s="45"/>
      <c r="N10" s="45"/>
      <c r="O10" s="45"/>
      <c r="P10" s="45"/>
      <c r="Q10" s="45"/>
      <c r="R10" s="45"/>
      <c r="S10" s="45"/>
    </row>
    <row r="11" customFormat="false" ht="15" hidden="false" customHeight="false" outlineLevel="0" collapsed="false">
      <c r="A11" s="9" t="s">
        <v>177</v>
      </c>
      <c r="B11" s="9" t="s">
        <v>178</v>
      </c>
      <c r="C11" s="9" t="s">
        <v>179</v>
      </c>
      <c r="D11" s="12" t="n">
        <v>0.860712452941095</v>
      </c>
      <c r="E11" s="48" t="n">
        <f aca="false">Controls!$B$19</f>
        <v>0.15</v>
      </c>
      <c r="F11" s="36" t="n">
        <f aca="false">D11*E11</f>
        <v>0.129106867941164</v>
      </c>
      <c r="G11" s="48" t="n">
        <f aca="false">Controls!$B$21</f>
        <v>0.85</v>
      </c>
      <c r="H11" s="36" t="n">
        <f aca="false">D11*G11</f>
        <v>0.731605584999931</v>
      </c>
      <c r="I11" s="49" t="n">
        <v>0</v>
      </c>
      <c r="J11" s="49" t="n">
        <v>0</v>
      </c>
      <c r="K11" s="13" t="s">
        <v>60</v>
      </c>
      <c r="L11" s="4"/>
      <c r="M11" s="45"/>
      <c r="N11" s="45"/>
      <c r="O11" s="45"/>
      <c r="P11" s="45"/>
      <c r="Q11" s="45"/>
      <c r="R11" s="45"/>
      <c r="S11" s="45"/>
    </row>
    <row r="12" customFormat="false" ht="15" hidden="false" customHeight="false" outlineLevel="0" collapsed="false">
      <c r="A12" s="14" t="s">
        <v>182</v>
      </c>
      <c r="B12" s="14" t="s">
        <v>183</v>
      </c>
      <c r="C12" s="14" t="s">
        <v>184</v>
      </c>
      <c r="D12" s="39" t="n">
        <v>0.502597793135963</v>
      </c>
      <c r="E12" s="44" t="n">
        <f aca="false">Controls!$B$19</f>
        <v>0.15</v>
      </c>
      <c r="F12" s="40" t="n">
        <f aca="false">D12*E12</f>
        <v>0.0753896689703944</v>
      </c>
      <c r="G12" s="44" t="n">
        <f aca="false">Controls!$B$21</f>
        <v>0.85</v>
      </c>
      <c r="H12" s="40" t="n">
        <f aca="false">D12*G12</f>
        <v>0.427208124165569</v>
      </c>
      <c r="I12" s="50" t="n">
        <v>0</v>
      </c>
      <c r="J12" s="50" t="n">
        <v>0</v>
      </c>
      <c r="K12" s="16" t="s">
        <v>60</v>
      </c>
      <c r="L12" s="4"/>
      <c r="M12" s="45"/>
      <c r="N12" s="45"/>
      <c r="O12" s="45"/>
      <c r="P12" s="45"/>
      <c r="Q12" s="45"/>
      <c r="R12" s="45"/>
      <c r="S12" s="45"/>
    </row>
    <row r="13" customFormat="false" ht="23" hidden="false" customHeight="true" outlineLevel="0" collapsed="false">
      <c r="A13" s="17" t="s">
        <v>622</v>
      </c>
      <c r="B13" s="18" t="s">
        <v>623</v>
      </c>
      <c r="C13" s="18" t="s">
        <v>624</v>
      </c>
      <c r="D13" s="51" t="n">
        <f aca="false">SUM(D7:D12)</f>
        <v>3.58691281932057</v>
      </c>
      <c r="E13" s="52"/>
      <c r="F13" s="53" t="n">
        <f aca="false">SUM(F7:F12)</f>
        <v>0.538036922898085</v>
      </c>
      <c r="G13" s="52"/>
      <c r="H13" s="53" t="n">
        <f aca="false">SUM(H7:H12)</f>
        <v>3.04887589642248</v>
      </c>
      <c r="I13" s="54" t="n">
        <f aca="false">SUM(I7:I12)</f>
        <v>0</v>
      </c>
      <c r="J13" s="54" t="n">
        <f aca="false">SUM(J7:J12)</f>
        <v>0</v>
      </c>
      <c r="K13" s="55" t="s">
        <v>60</v>
      </c>
      <c r="L13" s="4"/>
      <c r="M13" s="45"/>
      <c r="N13" s="45"/>
      <c r="O13" s="45"/>
      <c r="P13" s="45"/>
      <c r="Q13" s="45"/>
      <c r="R13" s="45"/>
      <c r="S13" s="45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5"/>
      <c r="N14" s="45"/>
      <c r="O14" s="45"/>
      <c r="P14" s="45"/>
      <c r="Q14" s="45"/>
      <c r="R14" s="45"/>
      <c r="S14" s="4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5"/>
      <c r="N15" s="45"/>
      <c r="O15" s="45"/>
      <c r="P15" s="45"/>
      <c r="Q15" s="45"/>
      <c r="R15" s="45"/>
      <c r="S15" s="45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5"/>
      <c r="N16" s="45"/>
      <c r="O16" s="45"/>
      <c r="P16" s="45"/>
      <c r="Q16" s="45"/>
      <c r="R16" s="45"/>
      <c r="S16" s="4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5"/>
      <c r="N17" s="45"/>
      <c r="O17" s="45"/>
      <c r="P17" s="45"/>
      <c r="Q17" s="45"/>
      <c r="R17" s="45"/>
      <c r="S17" s="45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5"/>
      <c r="N18" s="45"/>
      <c r="O18" s="45"/>
      <c r="P18" s="45"/>
      <c r="Q18" s="45"/>
      <c r="R18" s="45"/>
      <c r="S18" s="45"/>
    </row>
  </sheetData>
  <mergeCells count="2">
    <mergeCell ref="A2:S2"/>
    <mergeCell ref="A4:S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6" min="5" style="0" width="27"/>
    <col collapsed="false" customWidth="true" hidden="false" outlineLevel="0" max="7" min="7" style="0" width="20"/>
    <col collapsed="false" customWidth="true" hidden="false" outlineLevel="0" max="8" min="8" style="0" width="15"/>
  </cols>
  <sheetData>
    <row r="2" customFormat="false" ht="24" hidden="false" customHeight="true" outlineLevel="0" collapsed="false">
      <c r="A2" s="1" t="s">
        <v>625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626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148</v>
      </c>
      <c r="B6" s="6" t="s">
        <v>149</v>
      </c>
      <c r="C6" s="6" t="s">
        <v>627</v>
      </c>
      <c r="D6" s="6" t="s">
        <v>628</v>
      </c>
      <c r="E6" s="6" t="s">
        <v>629</v>
      </c>
      <c r="F6" s="6" t="s">
        <v>630</v>
      </c>
      <c r="G6" s="6" t="s">
        <v>620</v>
      </c>
      <c r="H6" s="7" t="s">
        <v>5</v>
      </c>
    </row>
    <row r="7" customFormat="false" ht="15" hidden="false" customHeight="false" outlineLevel="0" collapsed="false">
      <c r="A7" s="8" t="s">
        <v>158</v>
      </c>
      <c r="B7" s="8" t="s">
        <v>159</v>
      </c>
      <c r="C7" s="8" t="s">
        <v>631</v>
      </c>
      <c r="D7" s="56" t="n">
        <v>0.3</v>
      </c>
      <c r="E7" s="32" t="n">
        <f aca="false">Finance!F7</f>
        <v>0.0750711927122775</v>
      </c>
      <c r="F7" s="32" t="n">
        <f aca="false">D7*E7</f>
        <v>0.0225213578136832</v>
      </c>
      <c r="G7" s="57" t="n">
        <v>0</v>
      </c>
      <c r="H7" s="33" t="s">
        <v>60</v>
      </c>
    </row>
    <row r="8" customFormat="false" ht="15" hidden="false" customHeight="false" outlineLevel="0" collapsed="false">
      <c r="A8" s="9" t="s">
        <v>158</v>
      </c>
      <c r="B8" s="9" t="s">
        <v>159</v>
      </c>
      <c r="C8" s="9" t="s">
        <v>632</v>
      </c>
      <c r="D8" s="11" t="n">
        <v>0.25</v>
      </c>
      <c r="E8" s="36" t="n">
        <f aca="false">Finance!F7</f>
        <v>0.0750711927122775</v>
      </c>
      <c r="F8" s="36" t="n">
        <f aca="false">D8*E8</f>
        <v>0.0187677981780694</v>
      </c>
      <c r="G8" s="58" t="n">
        <v>0</v>
      </c>
      <c r="H8" s="13" t="s">
        <v>60</v>
      </c>
    </row>
    <row r="9" customFormat="false" ht="15" hidden="false" customHeight="false" outlineLevel="0" collapsed="false">
      <c r="A9" s="9" t="s">
        <v>158</v>
      </c>
      <c r="B9" s="9" t="s">
        <v>159</v>
      </c>
      <c r="C9" s="9" t="s">
        <v>633</v>
      </c>
      <c r="D9" s="11" t="n">
        <v>0.2</v>
      </c>
      <c r="E9" s="36" t="n">
        <f aca="false">Finance!F7</f>
        <v>0.0750711927122775</v>
      </c>
      <c r="F9" s="36" t="n">
        <f aca="false">D9*E9</f>
        <v>0.0150142385424555</v>
      </c>
      <c r="G9" s="58" t="n">
        <v>0</v>
      </c>
      <c r="H9" s="13" t="s">
        <v>60</v>
      </c>
    </row>
    <row r="10" customFormat="false" ht="15" hidden="false" customHeight="false" outlineLevel="0" collapsed="false">
      <c r="A10" s="9" t="s">
        <v>158</v>
      </c>
      <c r="B10" s="9" t="s">
        <v>159</v>
      </c>
      <c r="C10" s="9" t="s">
        <v>634</v>
      </c>
      <c r="D10" s="11" t="n">
        <v>0.15</v>
      </c>
      <c r="E10" s="36" t="n">
        <f aca="false">Finance!F7</f>
        <v>0.0750711927122775</v>
      </c>
      <c r="F10" s="36" t="n">
        <f aca="false">D10*E10</f>
        <v>0.0112606789068416</v>
      </c>
      <c r="G10" s="58" t="n">
        <v>0</v>
      </c>
      <c r="H10" s="13" t="s">
        <v>60</v>
      </c>
    </row>
    <row r="11" customFormat="false" ht="15" hidden="false" customHeight="false" outlineLevel="0" collapsed="false">
      <c r="A11" s="9" t="s">
        <v>158</v>
      </c>
      <c r="B11" s="9" t="s">
        <v>159</v>
      </c>
      <c r="C11" s="9" t="s">
        <v>635</v>
      </c>
      <c r="D11" s="11" t="n">
        <v>0.1</v>
      </c>
      <c r="E11" s="36" t="n">
        <f aca="false">Finance!F7</f>
        <v>0.0750711927122775</v>
      </c>
      <c r="F11" s="36" t="n">
        <f aca="false">D11*E11</f>
        <v>0.00750711927122775</v>
      </c>
      <c r="G11" s="58" t="n">
        <v>0</v>
      </c>
      <c r="H11" s="13" t="s">
        <v>60</v>
      </c>
    </row>
    <row r="12" customFormat="false" ht="15" hidden="false" customHeight="false" outlineLevel="0" collapsed="false">
      <c r="A12" s="9" t="s">
        <v>164</v>
      </c>
      <c r="B12" s="9" t="s">
        <v>165</v>
      </c>
      <c r="C12" s="9" t="s">
        <v>631</v>
      </c>
      <c r="D12" s="11" t="n">
        <v>0.3</v>
      </c>
      <c r="E12" s="36" t="n">
        <f aca="false">Finance!F8</f>
        <v>0.077474022266094</v>
      </c>
      <c r="F12" s="36" t="n">
        <f aca="false">D12*E12</f>
        <v>0.0232422066798282</v>
      </c>
      <c r="G12" s="58" t="n">
        <v>0</v>
      </c>
      <c r="H12" s="13" t="s">
        <v>60</v>
      </c>
    </row>
    <row r="13" customFormat="false" ht="15" hidden="false" customHeight="false" outlineLevel="0" collapsed="false">
      <c r="A13" s="9" t="s">
        <v>164</v>
      </c>
      <c r="B13" s="9" t="s">
        <v>165</v>
      </c>
      <c r="C13" s="9" t="s">
        <v>632</v>
      </c>
      <c r="D13" s="11" t="n">
        <v>0.25</v>
      </c>
      <c r="E13" s="36" t="n">
        <f aca="false">Finance!F8</f>
        <v>0.077474022266094</v>
      </c>
      <c r="F13" s="36" t="n">
        <f aca="false">D13*E13</f>
        <v>0.0193685055665235</v>
      </c>
      <c r="G13" s="58" t="n">
        <v>0</v>
      </c>
      <c r="H13" s="13" t="s">
        <v>60</v>
      </c>
    </row>
    <row r="14" customFormat="false" ht="15" hidden="false" customHeight="false" outlineLevel="0" collapsed="false">
      <c r="A14" s="9" t="s">
        <v>164</v>
      </c>
      <c r="B14" s="9" t="s">
        <v>165</v>
      </c>
      <c r="C14" s="9" t="s">
        <v>633</v>
      </c>
      <c r="D14" s="11" t="n">
        <v>0.2</v>
      </c>
      <c r="E14" s="36" t="n">
        <f aca="false">Finance!F8</f>
        <v>0.077474022266094</v>
      </c>
      <c r="F14" s="36" t="n">
        <f aca="false">D14*E14</f>
        <v>0.0154948044532188</v>
      </c>
      <c r="G14" s="58" t="n">
        <v>0</v>
      </c>
      <c r="H14" s="13" t="s">
        <v>60</v>
      </c>
    </row>
    <row r="15" customFormat="false" ht="15" hidden="false" customHeight="false" outlineLevel="0" collapsed="false">
      <c r="A15" s="9" t="s">
        <v>164</v>
      </c>
      <c r="B15" s="9" t="s">
        <v>165</v>
      </c>
      <c r="C15" s="9" t="s">
        <v>634</v>
      </c>
      <c r="D15" s="11" t="n">
        <v>0.15</v>
      </c>
      <c r="E15" s="36" t="n">
        <f aca="false">Finance!F8</f>
        <v>0.077474022266094</v>
      </c>
      <c r="F15" s="36" t="n">
        <f aca="false">D15*E15</f>
        <v>0.0116211033399141</v>
      </c>
      <c r="G15" s="58" t="n">
        <v>0</v>
      </c>
      <c r="H15" s="13" t="s">
        <v>60</v>
      </c>
    </row>
    <row r="16" customFormat="false" ht="15" hidden="false" customHeight="false" outlineLevel="0" collapsed="false">
      <c r="A16" s="9" t="s">
        <v>164</v>
      </c>
      <c r="B16" s="9" t="s">
        <v>165</v>
      </c>
      <c r="C16" s="9" t="s">
        <v>635</v>
      </c>
      <c r="D16" s="11" t="n">
        <v>0.1</v>
      </c>
      <c r="E16" s="36" t="n">
        <f aca="false">Finance!F8</f>
        <v>0.077474022266094</v>
      </c>
      <c r="F16" s="36" t="n">
        <f aca="false">D16*E16</f>
        <v>0.0077474022266094</v>
      </c>
      <c r="G16" s="58" t="n">
        <v>0</v>
      </c>
      <c r="H16" s="13" t="s">
        <v>60</v>
      </c>
    </row>
    <row r="17" customFormat="false" ht="15" hidden="false" customHeight="false" outlineLevel="0" collapsed="false">
      <c r="A17" s="9" t="s">
        <v>169</v>
      </c>
      <c r="B17" s="9" t="s">
        <v>170</v>
      </c>
      <c r="C17" s="9" t="s">
        <v>631</v>
      </c>
      <c r="D17" s="11" t="n">
        <v>0.3</v>
      </c>
      <c r="E17" s="36" t="n">
        <f aca="false">Finance!F9</f>
        <v>0.0460832481100699</v>
      </c>
      <c r="F17" s="36" t="n">
        <f aca="false">D17*E17</f>
        <v>0.013824974433021</v>
      </c>
      <c r="G17" s="58" t="n">
        <v>0</v>
      </c>
      <c r="H17" s="13" t="s">
        <v>60</v>
      </c>
    </row>
    <row r="18" customFormat="false" ht="15" hidden="false" customHeight="false" outlineLevel="0" collapsed="false">
      <c r="A18" s="9" t="s">
        <v>169</v>
      </c>
      <c r="B18" s="9" t="s">
        <v>170</v>
      </c>
      <c r="C18" s="9" t="s">
        <v>632</v>
      </c>
      <c r="D18" s="11" t="n">
        <v>0.25</v>
      </c>
      <c r="E18" s="36" t="n">
        <f aca="false">Finance!F9</f>
        <v>0.0460832481100699</v>
      </c>
      <c r="F18" s="36" t="n">
        <f aca="false">D18*E18</f>
        <v>0.0115208120275175</v>
      </c>
      <c r="G18" s="58" t="n">
        <v>0</v>
      </c>
      <c r="H18" s="13" t="s">
        <v>60</v>
      </c>
    </row>
    <row r="19" customFormat="false" ht="15" hidden="false" customHeight="false" outlineLevel="0" collapsed="false">
      <c r="A19" s="9" t="s">
        <v>169</v>
      </c>
      <c r="B19" s="9" t="s">
        <v>170</v>
      </c>
      <c r="C19" s="9" t="s">
        <v>633</v>
      </c>
      <c r="D19" s="11" t="n">
        <v>0.2</v>
      </c>
      <c r="E19" s="36" t="n">
        <f aca="false">Finance!F9</f>
        <v>0.0460832481100699</v>
      </c>
      <c r="F19" s="36" t="n">
        <f aca="false">D19*E19</f>
        <v>0.00921664962201399</v>
      </c>
      <c r="G19" s="58" t="n">
        <v>0</v>
      </c>
      <c r="H19" s="13" t="s">
        <v>60</v>
      </c>
    </row>
    <row r="20" customFormat="false" ht="15" hidden="false" customHeight="false" outlineLevel="0" collapsed="false">
      <c r="A20" s="9" t="s">
        <v>169</v>
      </c>
      <c r="B20" s="9" t="s">
        <v>170</v>
      </c>
      <c r="C20" s="9" t="s">
        <v>634</v>
      </c>
      <c r="D20" s="11" t="n">
        <v>0.15</v>
      </c>
      <c r="E20" s="36" t="n">
        <f aca="false">Finance!F9</f>
        <v>0.0460832481100699</v>
      </c>
      <c r="F20" s="36" t="n">
        <f aca="false">D20*E20</f>
        <v>0.00691248721651049</v>
      </c>
      <c r="G20" s="58" t="n">
        <v>0</v>
      </c>
      <c r="H20" s="13" t="s">
        <v>60</v>
      </c>
    </row>
    <row r="21" customFormat="false" ht="15" hidden="false" customHeight="false" outlineLevel="0" collapsed="false">
      <c r="A21" s="9" t="s">
        <v>169</v>
      </c>
      <c r="B21" s="9" t="s">
        <v>170</v>
      </c>
      <c r="C21" s="9" t="s">
        <v>635</v>
      </c>
      <c r="D21" s="11" t="n">
        <v>0.1</v>
      </c>
      <c r="E21" s="36" t="n">
        <f aca="false">Finance!F9</f>
        <v>0.0460832481100699</v>
      </c>
      <c r="F21" s="36" t="n">
        <f aca="false">D21*E21</f>
        <v>0.004608324811007</v>
      </c>
      <c r="G21" s="58" t="n">
        <v>0</v>
      </c>
      <c r="H21" s="13" t="s">
        <v>60</v>
      </c>
    </row>
    <row r="22" customFormat="false" ht="15" hidden="false" customHeight="false" outlineLevel="0" collapsed="false">
      <c r="A22" s="9" t="s">
        <v>173</v>
      </c>
      <c r="B22" s="9" t="s">
        <v>174</v>
      </c>
      <c r="C22" s="9" t="s">
        <v>631</v>
      </c>
      <c r="D22" s="11" t="n">
        <v>0.3</v>
      </c>
      <c r="E22" s="36" t="n">
        <f aca="false">Finance!F10</f>
        <v>0.134911922898085</v>
      </c>
      <c r="F22" s="36" t="n">
        <f aca="false">D22*E22</f>
        <v>0.0404735768694254</v>
      </c>
      <c r="G22" s="58" t="n">
        <v>0</v>
      </c>
      <c r="H22" s="13" t="s">
        <v>60</v>
      </c>
    </row>
    <row r="23" customFormat="false" ht="15" hidden="false" customHeight="false" outlineLevel="0" collapsed="false">
      <c r="A23" s="9" t="s">
        <v>173</v>
      </c>
      <c r="B23" s="9" t="s">
        <v>174</v>
      </c>
      <c r="C23" s="9" t="s">
        <v>632</v>
      </c>
      <c r="D23" s="11" t="n">
        <v>0.25</v>
      </c>
      <c r="E23" s="36" t="n">
        <f aca="false">Finance!F10</f>
        <v>0.134911922898085</v>
      </c>
      <c r="F23" s="36" t="n">
        <f aca="false">D23*E23</f>
        <v>0.0337279807245212</v>
      </c>
      <c r="G23" s="58" t="n">
        <v>0</v>
      </c>
      <c r="H23" s="13" t="s">
        <v>60</v>
      </c>
    </row>
    <row r="24" customFormat="false" ht="15" hidden="false" customHeight="false" outlineLevel="0" collapsed="false">
      <c r="A24" s="9" t="s">
        <v>173</v>
      </c>
      <c r="B24" s="9" t="s">
        <v>174</v>
      </c>
      <c r="C24" s="9" t="s">
        <v>633</v>
      </c>
      <c r="D24" s="11" t="n">
        <v>0.2</v>
      </c>
      <c r="E24" s="36" t="n">
        <f aca="false">Finance!F10</f>
        <v>0.134911922898085</v>
      </c>
      <c r="F24" s="36" t="n">
        <f aca="false">D24*E24</f>
        <v>0.026982384579617</v>
      </c>
      <c r="G24" s="58" t="n">
        <v>0</v>
      </c>
      <c r="H24" s="13" t="s">
        <v>60</v>
      </c>
    </row>
    <row r="25" customFormat="false" ht="15" hidden="false" customHeight="false" outlineLevel="0" collapsed="false">
      <c r="A25" s="9" t="s">
        <v>173</v>
      </c>
      <c r="B25" s="9" t="s">
        <v>174</v>
      </c>
      <c r="C25" s="9" t="s">
        <v>634</v>
      </c>
      <c r="D25" s="11" t="n">
        <v>0.15</v>
      </c>
      <c r="E25" s="36" t="n">
        <f aca="false">Finance!F10</f>
        <v>0.134911922898085</v>
      </c>
      <c r="F25" s="36" t="n">
        <f aca="false">D25*E25</f>
        <v>0.0202367884347127</v>
      </c>
      <c r="G25" s="58" t="n">
        <v>0</v>
      </c>
      <c r="H25" s="13" t="s">
        <v>60</v>
      </c>
    </row>
    <row r="26" customFormat="false" ht="15" hidden="false" customHeight="false" outlineLevel="0" collapsed="false">
      <c r="A26" s="9" t="s">
        <v>173</v>
      </c>
      <c r="B26" s="9" t="s">
        <v>174</v>
      </c>
      <c r="C26" s="9" t="s">
        <v>635</v>
      </c>
      <c r="D26" s="11" t="n">
        <v>0.1</v>
      </c>
      <c r="E26" s="36" t="n">
        <f aca="false">Finance!F10</f>
        <v>0.134911922898085</v>
      </c>
      <c r="F26" s="36" t="n">
        <f aca="false">D26*E26</f>
        <v>0.0134911922898085</v>
      </c>
      <c r="G26" s="58" t="n">
        <v>0</v>
      </c>
      <c r="H26" s="13" t="s">
        <v>60</v>
      </c>
    </row>
    <row r="27" customFormat="false" ht="15" hidden="false" customHeight="false" outlineLevel="0" collapsed="false">
      <c r="A27" s="9" t="s">
        <v>177</v>
      </c>
      <c r="B27" s="9" t="s">
        <v>178</v>
      </c>
      <c r="C27" s="9" t="s">
        <v>631</v>
      </c>
      <c r="D27" s="11" t="n">
        <v>0.3</v>
      </c>
      <c r="E27" s="36" t="n">
        <f aca="false">Finance!F11</f>
        <v>0.129106867941164</v>
      </c>
      <c r="F27" s="36" t="n">
        <f aca="false">D27*E27</f>
        <v>0.0387320603823493</v>
      </c>
      <c r="G27" s="58" t="n">
        <v>0</v>
      </c>
      <c r="H27" s="13" t="s">
        <v>60</v>
      </c>
    </row>
    <row r="28" customFormat="false" ht="15" hidden="false" customHeight="false" outlineLevel="0" collapsed="false">
      <c r="A28" s="9" t="s">
        <v>177</v>
      </c>
      <c r="B28" s="9" t="s">
        <v>178</v>
      </c>
      <c r="C28" s="9" t="s">
        <v>632</v>
      </c>
      <c r="D28" s="11" t="n">
        <v>0.25</v>
      </c>
      <c r="E28" s="36" t="n">
        <f aca="false">Finance!F11</f>
        <v>0.129106867941164</v>
      </c>
      <c r="F28" s="36" t="n">
        <f aca="false">D28*E28</f>
        <v>0.0322767169852911</v>
      </c>
      <c r="G28" s="58" t="n">
        <v>0</v>
      </c>
      <c r="H28" s="13" t="s">
        <v>60</v>
      </c>
    </row>
    <row r="29" customFormat="false" ht="15" hidden="false" customHeight="false" outlineLevel="0" collapsed="false">
      <c r="A29" s="9" t="s">
        <v>177</v>
      </c>
      <c r="B29" s="9" t="s">
        <v>178</v>
      </c>
      <c r="C29" s="9" t="s">
        <v>633</v>
      </c>
      <c r="D29" s="11" t="n">
        <v>0.2</v>
      </c>
      <c r="E29" s="36" t="n">
        <f aca="false">Finance!F11</f>
        <v>0.129106867941164</v>
      </c>
      <c r="F29" s="36" t="n">
        <f aca="false">D29*E29</f>
        <v>0.0258213735882329</v>
      </c>
      <c r="G29" s="58" t="n">
        <v>0</v>
      </c>
      <c r="H29" s="13" t="s">
        <v>60</v>
      </c>
    </row>
    <row r="30" customFormat="false" ht="15" hidden="false" customHeight="false" outlineLevel="0" collapsed="false">
      <c r="A30" s="9" t="s">
        <v>177</v>
      </c>
      <c r="B30" s="9" t="s">
        <v>178</v>
      </c>
      <c r="C30" s="9" t="s">
        <v>634</v>
      </c>
      <c r="D30" s="11" t="n">
        <v>0.15</v>
      </c>
      <c r="E30" s="36" t="n">
        <f aca="false">Finance!F11</f>
        <v>0.129106867941164</v>
      </c>
      <c r="F30" s="36" t="n">
        <f aca="false">D30*E30</f>
        <v>0.0193660301911746</v>
      </c>
      <c r="G30" s="58" t="n">
        <v>0</v>
      </c>
      <c r="H30" s="13" t="s">
        <v>60</v>
      </c>
    </row>
    <row r="31" customFormat="false" ht="15" hidden="false" customHeight="false" outlineLevel="0" collapsed="false">
      <c r="A31" s="9" t="s">
        <v>177</v>
      </c>
      <c r="B31" s="9" t="s">
        <v>178</v>
      </c>
      <c r="C31" s="9" t="s">
        <v>635</v>
      </c>
      <c r="D31" s="11" t="n">
        <v>0.1</v>
      </c>
      <c r="E31" s="36" t="n">
        <f aca="false">Finance!F11</f>
        <v>0.129106867941164</v>
      </c>
      <c r="F31" s="36" t="n">
        <f aca="false">D31*E31</f>
        <v>0.0129106867941164</v>
      </c>
      <c r="G31" s="58" t="n">
        <v>0</v>
      </c>
      <c r="H31" s="13" t="s">
        <v>60</v>
      </c>
    </row>
    <row r="32" customFormat="false" ht="15" hidden="false" customHeight="false" outlineLevel="0" collapsed="false">
      <c r="A32" s="9" t="s">
        <v>182</v>
      </c>
      <c r="B32" s="9" t="s">
        <v>183</v>
      </c>
      <c r="C32" s="9" t="s">
        <v>631</v>
      </c>
      <c r="D32" s="11" t="n">
        <v>0.3</v>
      </c>
      <c r="E32" s="36" t="n">
        <f aca="false">Finance!F12</f>
        <v>0.0753896689703944</v>
      </c>
      <c r="F32" s="36" t="n">
        <f aca="false">D32*E32</f>
        <v>0.0226169006911183</v>
      </c>
      <c r="G32" s="58" t="n">
        <v>0</v>
      </c>
      <c r="H32" s="13" t="s">
        <v>60</v>
      </c>
    </row>
    <row r="33" customFormat="false" ht="15" hidden="false" customHeight="false" outlineLevel="0" collapsed="false">
      <c r="A33" s="9" t="s">
        <v>182</v>
      </c>
      <c r="B33" s="9" t="s">
        <v>183</v>
      </c>
      <c r="C33" s="9" t="s">
        <v>632</v>
      </c>
      <c r="D33" s="11" t="n">
        <v>0.25</v>
      </c>
      <c r="E33" s="36" t="n">
        <f aca="false">Finance!F12</f>
        <v>0.0753896689703944</v>
      </c>
      <c r="F33" s="36" t="n">
        <f aca="false">D33*E33</f>
        <v>0.0188474172425986</v>
      </c>
      <c r="G33" s="58" t="n">
        <v>0</v>
      </c>
      <c r="H33" s="13" t="s">
        <v>60</v>
      </c>
    </row>
    <row r="34" customFormat="false" ht="15" hidden="false" customHeight="false" outlineLevel="0" collapsed="false">
      <c r="A34" s="9" t="s">
        <v>182</v>
      </c>
      <c r="B34" s="9" t="s">
        <v>183</v>
      </c>
      <c r="C34" s="9" t="s">
        <v>633</v>
      </c>
      <c r="D34" s="11" t="n">
        <v>0.2</v>
      </c>
      <c r="E34" s="36" t="n">
        <f aca="false">Finance!F12</f>
        <v>0.0753896689703944</v>
      </c>
      <c r="F34" s="36" t="n">
        <f aca="false">D34*E34</f>
        <v>0.0150779337940789</v>
      </c>
      <c r="G34" s="58" t="n">
        <v>0</v>
      </c>
      <c r="H34" s="13" t="s">
        <v>60</v>
      </c>
    </row>
    <row r="35" customFormat="false" ht="15" hidden="false" customHeight="false" outlineLevel="0" collapsed="false">
      <c r="A35" s="9" t="s">
        <v>182</v>
      </c>
      <c r="B35" s="9" t="s">
        <v>183</v>
      </c>
      <c r="C35" s="9" t="s">
        <v>634</v>
      </c>
      <c r="D35" s="11" t="n">
        <v>0.15</v>
      </c>
      <c r="E35" s="36" t="n">
        <f aca="false">Finance!F12</f>
        <v>0.0753896689703944</v>
      </c>
      <c r="F35" s="36" t="n">
        <f aca="false">D35*E35</f>
        <v>0.0113084503455592</v>
      </c>
      <c r="G35" s="58" t="n">
        <v>0</v>
      </c>
      <c r="H35" s="13" t="s">
        <v>60</v>
      </c>
    </row>
    <row r="36" customFormat="false" ht="15" hidden="false" customHeight="false" outlineLevel="0" collapsed="false">
      <c r="A36" s="14" t="s">
        <v>182</v>
      </c>
      <c r="B36" s="14" t="s">
        <v>183</v>
      </c>
      <c r="C36" s="14" t="s">
        <v>635</v>
      </c>
      <c r="D36" s="59" t="n">
        <v>0.1</v>
      </c>
      <c r="E36" s="40" t="n">
        <f aca="false">Finance!F12</f>
        <v>0.0753896689703944</v>
      </c>
      <c r="F36" s="40" t="n">
        <f aca="false">D36*E36</f>
        <v>0.00753896689703944</v>
      </c>
      <c r="G36" s="60" t="n">
        <v>0</v>
      </c>
      <c r="H36" s="16" t="s">
        <v>60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7"/>
    <col collapsed="false" customWidth="true" hidden="false" outlineLevel="0" max="7" min="7" style="0" width="43"/>
    <col collapsed="false" customWidth="true" hidden="false" outlineLevel="0" max="8" min="8" style="0" width="23"/>
    <col collapsed="false" customWidth="true" hidden="false" outlineLevel="0" max="9" min="9" style="0" width="20"/>
    <col collapsed="false" customWidth="true" hidden="false" outlineLevel="0" max="10" min="10" style="0" width="34"/>
    <col collapsed="false" customWidth="true" hidden="false" outlineLevel="0" max="11" min="11" style="0" width="22"/>
  </cols>
  <sheetData>
    <row r="2" customFormat="false" ht="24" hidden="false" customHeight="true" outlineLevel="0" collapsed="false">
      <c r="A2" s="1" t="s">
        <v>636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637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638</v>
      </c>
      <c r="B6" s="6" t="s">
        <v>148</v>
      </c>
      <c r="C6" s="6" t="s">
        <v>149</v>
      </c>
      <c r="D6" s="6" t="s">
        <v>557</v>
      </c>
      <c r="E6" s="6" t="s">
        <v>639</v>
      </c>
      <c r="F6" s="6" t="s">
        <v>5</v>
      </c>
      <c r="G6" s="6" t="s">
        <v>640</v>
      </c>
      <c r="H6" s="6" t="s">
        <v>641</v>
      </c>
      <c r="I6" s="6" t="s">
        <v>642</v>
      </c>
      <c r="J6" s="6" t="s">
        <v>643</v>
      </c>
      <c r="K6" s="7" t="s">
        <v>644</v>
      </c>
    </row>
    <row r="7" customFormat="false" ht="15" hidden="false" customHeight="false" outlineLevel="0" collapsed="false">
      <c r="A7" s="8" t="s">
        <v>645</v>
      </c>
      <c r="B7" s="8" t="s">
        <v>158</v>
      </c>
      <c r="C7" s="8" t="s">
        <v>159</v>
      </c>
      <c r="D7" s="29" t="n">
        <v>1</v>
      </c>
      <c r="E7" s="8" t="s">
        <v>646</v>
      </c>
      <c r="F7" s="8" t="s">
        <v>20</v>
      </c>
      <c r="G7" s="8" t="s">
        <v>115</v>
      </c>
      <c r="H7" s="29" t="n">
        <v>1</v>
      </c>
      <c r="I7" s="41" t="n">
        <v>0</v>
      </c>
      <c r="J7" s="33" t="s">
        <v>647</v>
      </c>
      <c r="K7" s="33" t="s">
        <v>240</v>
      </c>
    </row>
    <row r="8" customFormat="false" ht="15" hidden="false" customHeight="false" outlineLevel="0" collapsed="false">
      <c r="A8" s="9" t="s">
        <v>648</v>
      </c>
      <c r="B8" s="9" t="s">
        <v>158</v>
      </c>
      <c r="C8" s="9" t="s">
        <v>159</v>
      </c>
      <c r="D8" s="34" t="n">
        <v>2</v>
      </c>
      <c r="E8" s="9" t="s">
        <v>649</v>
      </c>
      <c r="F8" s="9" t="s">
        <v>20</v>
      </c>
      <c r="G8" s="9" t="s">
        <v>115</v>
      </c>
      <c r="H8" s="34" t="n">
        <v>1</v>
      </c>
      <c r="I8" s="42" t="n">
        <v>0</v>
      </c>
      <c r="J8" s="13" t="s">
        <v>647</v>
      </c>
      <c r="K8" s="13" t="s">
        <v>240</v>
      </c>
    </row>
    <row r="9" customFormat="false" ht="15" hidden="false" customHeight="false" outlineLevel="0" collapsed="false">
      <c r="A9" s="9" t="s">
        <v>650</v>
      </c>
      <c r="B9" s="9" t="s">
        <v>158</v>
      </c>
      <c r="C9" s="9" t="s">
        <v>159</v>
      </c>
      <c r="D9" s="34" t="n">
        <v>3</v>
      </c>
      <c r="E9" s="9" t="s">
        <v>651</v>
      </c>
      <c r="F9" s="9" t="s">
        <v>20</v>
      </c>
      <c r="G9" s="9" t="s">
        <v>115</v>
      </c>
      <c r="H9" s="34" t="n">
        <v>1</v>
      </c>
      <c r="I9" s="42" t="n">
        <v>0</v>
      </c>
      <c r="J9" s="13" t="s">
        <v>647</v>
      </c>
      <c r="K9" s="13" t="s">
        <v>240</v>
      </c>
    </row>
    <row r="10" customFormat="false" ht="15" hidden="false" customHeight="false" outlineLevel="0" collapsed="false">
      <c r="A10" s="9" t="s">
        <v>652</v>
      </c>
      <c r="B10" s="9" t="s">
        <v>158</v>
      </c>
      <c r="C10" s="9" t="s">
        <v>159</v>
      </c>
      <c r="D10" s="34" t="n">
        <v>4</v>
      </c>
      <c r="E10" s="9" t="s">
        <v>653</v>
      </c>
      <c r="F10" s="9" t="s">
        <v>20</v>
      </c>
      <c r="G10" s="9" t="s">
        <v>115</v>
      </c>
      <c r="H10" s="34" t="n">
        <v>1</v>
      </c>
      <c r="I10" s="42" t="n">
        <v>0</v>
      </c>
      <c r="J10" s="13" t="s">
        <v>647</v>
      </c>
      <c r="K10" s="13" t="s">
        <v>240</v>
      </c>
    </row>
    <row r="11" customFormat="false" ht="15" hidden="false" customHeight="false" outlineLevel="0" collapsed="false">
      <c r="A11" s="9" t="s">
        <v>654</v>
      </c>
      <c r="B11" s="9" t="s">
        <v>158</v>
      </c>
      <c r="C11" s="9" t="s">
        <v>159</v>
      </c>
      <c r="D11" s="34" t="n">
        <v>5</v>
      </c>
      <c r="E11" s="9" t="s">
        <v>655</v>
      </c>
      <c r="F11" s="9" t="s">
        <v>20</v>
      </c>
      <c r="G11" s="9" t="s">
        <v>115</v>
      </c>
      <c r="H11" s="34" t="n">
        <v>1</v>
      </c>
      <c r="I11" s="42" t="n">
        <v>0</v>
      </c>
      <c r="J11" s="13" t="s">
        <v>647</v>
      </c>
      <c r="K11" s="13" t="s">
        <v>240</v>
      </c>
    </row>
    <row r="12" customFormat="false" ht="15" hidden="false" customHeight="false" outlineLevel="0" collapsed="false">
      <c r="A12" s="9" t="s">
        <v>656</v>
      </c>
      <c r="B12" s="9" t="s">
        <v>158</v>
      </c>
      <c r="C12" s="9" t="s">
        <v>159</v>
      </c>
      <c r="D12" s="34" t="n">
        <v>6</v>
      </c>
      <c r="E12" s="9" t="s">
        <v>657</v>
      </c>
      <c r="F12" s="9" t="s">
        <v>29</v>
      </c>
      <c r="G12" s="9" t="s">
        <v>658</v>
      </c>
      <c r="H12" s="34" t="n">
        <v>0</v>
      </c>
      <c r="I12" s="42" t="n">
        <v>0</v>
      </c>
      <c r="J12" s="13" t="s">
        <v>659</v>
      </c>
      <c r="K12" s="13" t="s">
        <v>240</v>
      </c>
    </row>
    <row r="13" customFormat="false" ht="15" hidden="false" customHeight="false" outlineLevel="0" collapsed="false">
      <c r="A13" s="9" t="s">
        <v>660</v>
      </c>
      <c r="B13" s="9" t="s">
        <v>158</v>
      </c>
      <c r="C13" s="9" t="s">
        <v>159</v>
      </c>
      <c r="D13" s="34" t="n">
        <v>7</v>
      </c>
      <c r="E13" s="9" t="s">
        <v>661</v>
      </c>
      <c r="F13" s="9" t="s">
        <v>29</v>
      </c>
      <c r="G13" s="9" t="s">
        <v>662</v>
      </c>
      <c r="H13" s="34" t="n">
        <v>0</v>
      </c>
      <c r="I13" s="42" t="n">
        <v>0</v>
      </c>
      <c r="J13" s="13" t="s">
        <v>647</v>
      </c>
      <c r="K13" s="13" t="s">
        <v>240</v>
      </c>
    </row>
    <row r="14" customFormat="false" ht="15" hidden="false" customHeight="false" outlineLevel="0" collapsed="false">
      <c r="A14" s="9" t="s">
        <v>663</v>
      </c>
      <c r="B14" s="9" t="s">
        <v>158</v>
      </c>
      <c r="C14" s="9" t="s">
        <v>159</v>
      </c>
      <c r="D14" s="34" t="n">
        <v>8</v>
      </c>
      <c r="E14" s="9" t="s">
        <v>664</v>
      </c>
      <c r="F14" s="9" t="s">
        <v>29</v>
      </c>
      <c r="G14" s="9" t="s">
        <v>662</v>
      </c>
      <c r="H14" s="34" t="n">
        <v>0</v>
      </c>
      <c r="I14" s="42" t="n">
        <v>0</v>
      </c>
      <c r="J14" s="13" t="s">
        <v>647</v>
      </c>
      <c r="K14" s="13" t="s">
        <v>240</v>
      </c>
    </row>
    <row r="15" customFormat="false" ht="15" hidden="false" customHeight="false" outlineLevel="0" collapsed="false">
      <c r="A15" s="9" t="s">
        <v>665</v>
      </c>
      <c r="B15" s="9" t="s">
        <v>158</v>
      </c>
      <c r="C15" s="9" t="s">
        <v>159</v>
      </c>
      <c r="D15" s="34" t="n">
        <v>9</v>
      </c>
      <c r="E15" s="9" t="s">
        <v>666</v>
      </c>
      <c r="F15" s="9" t="s">
        <v>29</v>
      </c>
      <c r="G15" s="9" t="s">
        <v>662</v>
      </c>
      <c r="H15" s="34" t="n">
        <v>0</v>
      </c>
      <c r="I15" s="42" t="n">
        <v>0</v>
      </c>
      <c r="J15" s="13" t="s">
        <v>647</v>
      </c>
      <c r="K15" s="13" t="s">
        <v>240</v>
      </c>
    </row>
    <row r="16" customFormat="false" ht="15" hidden="false" customHeight="false" outlineLevel="0" collapsed="false">
      <c r="A16" s="9" t="s">
        <v>667</v>
      </c>
      <c r="B16" s="9" t="s">
        <v>158</v>
      </c>
      <c r="C16" s="9" t="s">
        <v>159</v>
      </c>
      <c r="D16" s="34" t="n">
        <v>10</v>
      </c>
      <c r="E16" s="9" t="s">
        <v>668</v>
      </c>
      <c r="F16" s="9" t="s">
        <v>29</v>
      </c>
      <c r="G16" s="9" t="s">
        <v>662</v>
      </c>
      <c r="H16" s="34" t="n">
        <v>0</v>
      </c>
      <c r="I16" s="42" t="n">
        <v>0</v>
      </c>
      <c r="J16" s="13" t="s">
        <v>647</v>
      </c>
      <c r="K16" s="13" t="s">
        <v>240</v>
      </c>
    </row>
    <row r="17" customFormat="false" ht="15" hidden="false" customHeight="false" outlineLevel="0" collapsed="false">
      <c r="A17" s="9" t="s">
        <v>669</v>
      </c>
      <c r="B17" s="9" t="s">
        <v>158</v>
      </c>
      <c r="C17" s="9" t="s">
        <v>159</v>
      </c>
      <c r="D17" s="34" t="n">
        <v>11</v>
      </c>
      <c r="E17" s="9" t="s">
        <v>670</v>
      </c>
      <c r="F17" s="9" t="s">
        <v>29</v>
      </c>
      <c r="G17" s="9" t="s">
        <v>662</v>
      </c>
      <c r="H17" s="34" t="n">
        <v>0</v>
      </c>
      <c r="I17" s="42" t="n">
        <v>0</v>
      </c>
      <c r="J17" s="13" t="s">
        <v>647</v>
      </c>
      <c r="K17" s="13" t="s">
        <v>240</v>
      </c>
    </row>
    <row r="18" customFormat="false" ht="15" hidden="false" customHeight="false" outlineLevel="0" collapsed="false">
      <c r="A18" s="9" t="s">
        <v>671</v>
      </c>
      <c r="B18" s="9" t="s">
        <v>158</v>
      </c>
      <c r="C18" s="9" t="s">
        <v>159</v>
      </c>
      <c r="D18" s="34" t="n">
        <v>12</v>
      </c>
      <c r="E18" s="9" t="s">
        <v>672</v>
      </c>
      <c r="F18" s="9" t="s">
        <v>29</v>
      </c>
      <c r="G18" s="9" t="s">
        <v>662</v>
      </c>
      <c r="H18" s="34" t="n">
        <v>0</v>
      </c>
      <c r="I18" s="42" t="n">
        <v>0</v>
      </c>
      <c r="J18" s="13" t="s">
        <v>673</v>
      </c>
      <c r="K18" s="13" t="s">
        <v>60</v>
      </c>
    </row>
    <row r="19" customFormat="false" ht="15" hidden="false" customHeight="false" outlineLevel="0" collapsed="false">
      <c r="A19" s="9" t="s">
        <v>674</v>
      </c>
      <c r="B19" s="9" t="s">
        <v>164</v>
      </c>
      <c r="C19" s="9" t="s">
        <v>165</v>
      </c>
      <c r="D19" s="34" t="n">
        <v>1</v>
      </c>
      <c r="E19" s="9" t="s">
        <v>646</v>
      </c>
      <c r="F19" s="9" t="s">
        <v>20</v>
      </c>
      <c r="G19" s="9" t="s">
        <v>115</v>
      </c>
      <c r="H19" s="34" t="n">
        <v>1</v>
      </c>
      <c r="I19" s="42" t="n">
        <v>0</v>
      </c>
      <c r="J19" s="13" t="s">
        <v>647</v>
      </c>
      <c r="K19" s="13" t="s">
        <v>240</v>
      </c>
    </row>
    <row r="20" customFormat="false" ht="15" hidden="false" customHeight="false" outlineLevel="0" collapsed="false">
      <c r="A20" s="9" t="s">
        <v>675</v>
      </c>
      <c r="B20" s="9" t="s">
        <v>164</v>
      </c>
      <c r="C20" s="9" t="s">
        <v>165</v>
      </c>
      <c r="D20" s="34" t="n">
        <v>2</v>
      </c>
      <c r="E20" s="9" t="s">
        <v>649</v>
      </c>
      <c r="F20" s="9" t="s">
        <v>20</v>
      </c>
      <c r="G20" s="9" t="s">
        <v>115</v>
      </c>
      <c r="H20" s="34" t="n">
        <v>1</v>
      </c>
      <c r="I20" s="42" t="n">
        <v>0</v>
      </c>
      <c r="J20" s="13" t="s">
        <v>647</v>
      </c>
      <c r="K20" s="13" t="s">
        <v>240</v>
      </c>
    </row>
    <row r="21" customFormat="false" ht="15" hidden="false" customHeight="false" outlineLevel="0" collapsed="false">
      <c r="A21" s="9" t="s">
        <v>676</v>
      </c>
      <c r="B21" s="9" t="s">
        <v>164</v>
      </c>
      <c r="C21" s="9" t="s">
        <v>165</v>
      </c>
      <c r="D21" s="34" t="n">
        <v>3</v>
      </c>
      <c r="E21" s="9" t="s">
        <v>651</v>
      </c>
      <c r="F21" s="9" t="s">
        <v>20</v>
      </c>
      <c r="G21" s="9" t="s">
        <v>115</v>
      </c>
      <c r="H21" s="34" t="n">
        <v>1</v>
      </c>
      <c r="I21" s="42" t="n">
        <v>0</v>
      </c>
      <c r="J21" s="13" t="s">
        <v>647</v>
      </c>
      <c r="K21" s="13" t="s">
        <v>240</v>
      </c>
    </row>
    <row r="22" customFormat="false" ht="15" hidden="false" customHeight="false" outlineLevel="0" collapsed="false">
      <c r="A22" s="9" t="s">
        <v>677</v>
      </c>
      <c r="B22" s="9" t="s">
        <v>164</v>
      </c>
      <c r="C22" s="9" t="s">
        <v>165</v>
      </c>
      <c r="D22" s="34" t="n">
        <v>4</v>
      </c>
      <c r="E22" s="9" t="s">
        <v>653</v>
      </c>
      <c r="F22" s="9" t="s">
        <v>20</v>
      </c>
      <c r="G22" s="9" t="s">
        <v>115</v>
      </c>
      <c r="H22" s="34" t="n">
        <v>1</v>
      </c>
      <c r="I22" s="42" t="n">
        <v>0</v>
      </c>
      <c r="J22" s="13" t="s">
        <v>647</v>
      </c>
      <c r="K22" s="13" t="s">
        <v>240</v>
      </c>
    </row>
    <row r="23" customFormat="false" ht="15" hidden="false" customHeight="false" outlineLevel="0" collapsed="false">
      <c r="A23" s="9" t="s">
        <v>678</v>
      </c>
      <c r="B23" s="9" t="s">
        <v>164</v>
      </c>
      <c r="C23" s="9" t="s">
        <v>165</v>
      </c>
      <c r="D23" s="34" t="n">
        <v>5</v>
      </c>
      <c r="E23" s="9" t="s">
        <v>655</v>
      </c>
      <c r="F23" s="9" t="s">
        <v>20</v>
      </c>
      <c r="G23" s="9" t="s">
        <v>115</v>
      </c>
      <c r="H23" s="34" t="n">
        <v>1</v>
      </c>
      <c r="I23" s="42" t="n">
        <v>0</v>
      </c>
      <c r="J23" s="13" t="s">
        <v>647</v>
      </c>
      <c r="K23" s="13" t="s">
        <v>240</v>
      </c>
    </row>
    <row r="24" customFormat="false" ht="15" hidden="false" customHeight="false" outlineLevel="0" collapsed="false">
      <c r="A24" s="9" t="s">
        <v>679</v>
      </c>
      <c r="B24" s="9" t="s">
        <v>164</v>
      </c>
      <c r="C24" s="9" t="s">
        <v>165</v>
      </c>
      <c r="D24" s="34" t="n">
        <v>6</v>
      </c>
      <c r="E24" s="9" t="s">
        <v>657</v>
      </c>
      <c r="F24" s="9" t="s">
        <v>29</v>
      </c>
      <c r="G24" s="9" t="s">
        <v>658</v>
      </c>
      <c r="H24" s="34" t="n">
        <v>0</v>
      </c>
      <c r="I24" s="42" t="n">
        <v>0</v>
      </c>
      <c r="J24" s="13" t="s">
        <v>659</v>
      </c>
      <c r="K24" s="13" t="s">
        <v>240</v>
      </c>
    </row>
    <row r="25" customFormat="false" ht="15" hidden="false" customHeight="false" outlineLevel="0" collapsed="false">
      <c r="A25" s="9" t="s">
        <v>680</v>
      </c>
      <c r="B25" s="9" t="s">
        <v>164</v>
      </c>
      <c r="C25" s="9" t="s">
        <v>165</v>
      </c>
      <c r="D25" s="34" t="n">
        <v>7</v>
      </c>
      <c r="E25" s="9" t="s">
        <v>661</v>
      </c>
      <c r="F25" s="9" t="s">
        <v>29</v>
      </c>
      <c r="G25" s="9" t="s">
        <v>662</v>
      </c>
      <c r="H25" s="34" t="n">
        <v>0</v>
      </c>
      <c r="I25" s="42" t="n">
        <v>0</v>
      </c>
      <c r="J25" s="13" t="s">
        <v>647</v>
      </c>
      <c r="K25" s="13" t="s">
        <v>240</v>
      </c>
    </row>
    <row r="26" customFormat="false" ht="15" hidden="false" customHeight="false" outlineLevel="0" collapsed="false">
      <c r="A26" s="9" t="s">
        <v>681</v>
      </c>
      <c r="B26" s="9" t="s">
        <v>164</v>
      </c>
      <c r="C26" s="9" t="s">
        <v>165</v>
      </c>
      <c r="D26" s="34" t="n">
        <v>8</v>
      </c>
      <c r="E26" s="9" t="s">
        <v>664</v>
      </c>
      <c r="F26" s="9" t="s">
        <v>29</v>
      </c>
      <c r="G26" s="9" t="s">
        <v>662</v>
      </c>
      <c r="H26" s="34" t="n">
        <v>0</v>
      </c>
      <c r="I26" s="42" t="n">
        <v>0</v>
      </c>
      <c r="J26" s="13" t="s">
        <v>647</v>
      </c>
      <c r="K26" s="13" t="s">
        <v>240</v>
      </c>
    </row>
    <row r="27" customFormat="false" ht="15" hidden="false" customHeight="false" outlineLevel="0" collapsed="false">
      <c r="A27" s="9" t="s">
        <v>682</v>
      </c>
      <c r="B27" s="9" t="s">
        <v>164</v>
      </c>
      <c r="C27" s="9" t="s">
        <v>165</v>
      </c>
      <c r="D27" s="34" t="n">
        <v>9</v>
      </c>
      <c r="E27" s="9" t="s">
        <v>666</v>
      </c>
      <c r="F27" s="9" t="s">
        <v>29</v>
      </c>
      <c r="G27" s="9" t="s">
        <v>662</v>
      </c>
      <c r="H27" s="34" t="n">
        <v>0</v>
      </c>
      <c r="I27" s="42" t="n">
        <v>0</v>
      </c>
      <c r="J27" s="13" t="s">
        <v>647</v>
      </c>
      <c r="K27" s="13" t="s">
        <v>240</v>
      </c>
    </row>
    <row r="28" customFormat="false" ht="15" hidden="false" customHeight="false" outlineLevel="0" collapsed="false">
      <c r="A28" s="9" t="s">
        <v>683</v>
      </c>
      <c r="B28" s="9" t="s">
        <v>164</v>
      </c>
      <c r="C28" s="9" t="s">
        <v>165</v>
      </c>
      <c r="D28" s="34" t="n">
        <v>10</v>
      </c>
      <c r="E28" s="9" t="s">
        <v>668</v>
      </c>
      <c r="F28" s="9" t="s">
        <v>29</v>
      </c>
      <c r="G28" s="9" t="s">
        <v>662</v>
      </c>
      <c r="H28" s="34" t="n">
        <v>0</v>
      </c>
      <c r="I28" s="42" t="n">
        <v>0</v>
      </c>
      <c r="J28" s="13" t="s">
        <v>647</v>
      </c>
      <c r="K28" s="13" t="s">
        <v>240</v>
      </c>
    </row>
    <row r="29" customFormat="false" ht="15" hidden="false" customHeight="false" outlineLevel="0" collapsed="false">
      <c r="A29" s="9" t="s">
        <v>684</v>
      </c>
      <c r="B29" s="9" t="s">
        <v>164</v>
      </c>
      <c r="C29" s="9" t="s">
        <v>165</v>
      </c>
      <c r="D29" s="34" t="n">
        <v>11</v>
      </c>
      <c r="E29" s="9" t="s">
        <v>670</v>
      </c>
      <c r="F29" s="9" t="s">
        <v>29</v>
      </c>
      <c r="G29" s="9" t="s">
        <v>662</v>
      </c>
      <c r="H29" s="34" t="n">
        <v>0</v>
      </c>
      <c r="I29" s="42" t="n">
        <v>0</v>
      </c>
      <c r="J29" s="13" t="s">
        <v>647</v>
      </c>
      <c r="K29" s="13" t="s">
        <v>240</v>
      </c>
    </row>
    <row r="30" customFormat="false" ht="15" hidden="false" customHeight="false" outlineLevel="0" collapsed="false">
      <c r="A30" s="9" t="s">
        <v>685</v>
      </c>
      <c r="B30" s="9" t="s">
        <v>164</v>
      </c>
      <c r="C30" s="9" t="s">
        <v>165</v>
      </c>
      <c r="D30" s="34" t="n">
        <v>12</v>
      </c>
      <c r="E30" s="9" t="s">
        <v>672</v>
      </c>
      <c r="F30" s="9" t="s">
        <v>29</v>
      </c>
      <c r="G30" s="9" t="s">
        <v>662</v>
      </c>
      <c r="H30" s="34" t="n">
        <v>0</v>
      </c>
      <c r="I30" s="42" t="n">
        <v>0</v>
      </c>
      <c r="J30" s="13" t="s">
        <v>673</v>
      </c>
      <c r="K30" s="13" t="s">
        <v>60</v>
      </c>
    </row>
    <row r="31" customFormat="false" ht="15" hidden="false" customHeight="false" outlineLevel="0" collapsed="false">
      <c r="A31" s="9" t="s">
        <v>686</v>
      </c>
      <c r="B31" s="9" t="s">
        <v>169</v>
      </c>
      <c r="C31" s="9" t="s">
        <v>170</v>
      </c>
      <c r="D31" s="34" t="n">
        <v>1</v>
      </c>
      <c r="E31" s="9" t="s">
        <v>646</v>
      </c>
      <c r="F31" s="9" t="s">
        <v>20</v>
      </c>
      <c r="G31" s="9" t="s">
        <v>115</v>
      </c>
      <c r="H31" s="34" t="n">
        <v>1</v>
      </c>
      <c r="I31" s="42" t="n">
        <v>0</v>
      </c>
      <c r="J31" s="13" t="s">
        <v>647</v>
      </c>
      <c r="K31" s="13" t="s">
        <v>240</v>
      </c>
    </row>
    <row r="32" customFormat="false" ht="15" hidden="false" customHeight="false" outlineLevel="0" collapsed="false">
      <c r="A32" s="9" t="s">
        <v>687</v>
      </c>
      <c r="B32" s="9" t="s">
        <v>169</v>
      </c>
      <c r="C32" s="9" t="s">
        <v>170</v>
      </c>
      <c r="D32" s="34" t="n">
        <v>2</v>
      </c>
      <c r="E32" s="9" t="s">
        <v>649</v>
      </c>
      <c r="F32" s="9" t="s">
        <v>20</v>
      </c>
      <c r="G32" s="9" t="s">
        <v>115</v>
      </c>
      <c r="H32" s="34" t="n">
        <v>1</v>
      </c>
      <c r="I32" s="42" t="n">
        <v>0</v>
      </c>
      <c r="J32" s="13" t="s">
        <v>647</v>
      </c>
      <c r="K32" s="13" t="s">
        <v>240</v>
      </c>
    </row>
    <row r="33" customFormat="false" ht="15" hidden="false" customHeight="false" outlineLevel="0" collapsed="false">
      <c r="A33" s="9" t="s">
        <v>688</v>
      </c>
      <c r="B33" s="9" t="s">
        <v>169</v>
      </c>
      <c r="C33" s="9" t="s">
        <v>170</v>
      </c>
      <c r="D33" s="34" t="n">
        <v>3</v>
      </c>
      <c r="E33" s="9" t="s">
        <v>651</v>
      </c>
      <c r="F33" s="9" t="s">
        <v>20</v>
      </c>
      <c r="G33" s="9" t="s">
        <v>115</v>
      </c>
      <c r="H33" s="34" t="n">
        <v>1</v>
      </c>
      <c r="I33" s="42" t="n">
        <v>0</v>
      </c>
      <c r="J33" s="13" t="s">
        <v>647</v>
      </c>
      <c r="K33" s="13" t="s">
        <v>240</v>
      </c>
    </row>
    <row r="34" customFormat="false" ht="15" hidden="false" customHeight="false" outlineLevel="0" collapsed="false">
      <c r="A34" s="9" t="s">
        <v>689</v>
      </c>
      <c r="B34" s="9" t="s">
        <v>169</v>
      </c>
      <c r="C34" s="9" t="s">
        <v>170</v>
      </c>
      <c r="D34" s="34" t="n">
        <v>4</v>
      </c>
      <c r="E34" s="9" t="s">
        <v>653</v>
      </c>
      <c r="F34" s="9" t="s">
        <v>20</v>
      </c>
      <c r="G34" s="9" t="s">
        <v>115</v>
      </c>
      <c r="H34" s="34" t="n">
        <v>1</v>
      </c>
      <c r="I34" s="42" t="n">
        <v>0</v>
      </c>
      <c r="J34" s="13" t="s">
        <v>647</v>
      </c>
      <c r="K34" s="13" t="s">
        <v>240</v>
      </c>
    </row>
    <row r="35" customFormat="false" ht="15" hidden="false" customHeight="false" outlineLevel="0" collapsed="false">
      <c r="A35" s="9" t="s">
        <v>690</v>
      </c>
      <c r="B35" s="9" t="s">
        <v>169</v>
      </c>
      <c r="C35" s="9" t="s">
        <v>170</v>
      </c>
      <c r="D35" s="34" t="n">
        <v>5</v>
      </c>
      <c r="E35" s="9" t="s">
        <v>655</v>
      </c>
      <c r="F35" s="9" t="s">
        <v>20</v>
      </c>
      <c r="G35" s="9" t="s">
        <v>115</v>
      </c>
      <c r="H35" s="34" t="n">
        <v>1</v>
      </c>
      <c r="I35" s="42" t="n">
        <v>0</v>
      </c>
      <c r="J35" s="13" t="s">
        <v>647</v>
      </c>
      <c r="K35" s="13" t="s">
        <v>240</v>
      </c>
    </row>
    <row r="36" customFormat="false" ht="15" hidden="false" customHeight="false" outlineLevel="0" collapsed="false">
      <c r="A36" s="9" t="s">
        <v>691</v>
      </c>
      <c r="B36" s="9" t="s">
        <v>169</v>
      </c>
      <c r="C36" s="9" t="s">
        <v>170</v>
      </c>
      <c r="D36" s="34" t="n">
        <v>6</v>
      </c>
      <c r="E36" s="9" t="s">
        <v>657</v>
      </c>
      <c r="F36" s="9" t="s">
        <v>29</v>
      </c>
      <c r="G36" s="9" t="s">
        <v>658</v>
      </c>
      <c r="H36" s="34" t="n">
        <v>0</v>
      </c>
      <c r="I36" s="42" t="n">
        <v>0</v>
      </c>
      <c r="J36" s="13" t="s">
        <v>659</v>
      </c>
      <c r="K36" s="13" t="s">
        <v>240</v>
      </c>
    </row>
    <row r="37" customFormat="false" ht="15" hidden="false" customHeight="false" outlineLevel="0" collapsed="false">
      <c r="A37" s="9" t="s">
        <v>692</v>
      </c>
      <c r="B37" s="9" t="s">
        <v>169</v>
      </c>
      <c r="C37" s="9" t="s">
        <v>170</v>
      </c>
      <c r="D37" s="34" t="n">
        <v>7</v>
      </c>
      <c r="E37" s="9" t="s">
        <v>661</v>
      </c>
      <c r="F37" s="9" t="s">
        <v>29</v>
      </c>
      <c r="G37" s="9" t="s">
        <v>662</v>
      </c>
      <c r="H37" s="34" t="n">
        <v>0</v>
      </c>
      <c r="I37" s="42" t="n">
        <v>0</v>
      </c>
      <c r="J37" s="13" t="s">
        <v>647</v>
      </c>
      <c r="K37" s="13" t="s">
        <v>240</v>
      </c>
    </row>
    <row r="38" customFormat="false" ht="15" hidden="false" customHeight="false" outlineLevel="0" collapsed="false">
      <c r="A38" s="9" t="s">
        <v>693</v>
      </c>
      <c r="B38" s="9" t="s">
        <v>169</v>
      </c>
      <c r="C38" s="9" t="s">
        <v>170</v>
      </c>
      <c r="D38" s="34" t="n">
        <v>8</v>
      </c>
      <c r="E38" s="9" t="s">
        <v>664</v>
      </c>
      <c r="F38" s="9" t="s">
        <v>29</v>
      </c>
      <c r="G38" s="9" t="s">
        <v>662</v>
      </c>
      <c r="H38" s="34" t="n">
        <v>0</v>
      </c>
      <c r="I38" s="42" t="n">
        <v>0</v>
      </c>
      <c r="J38" s="13" t="s">
        <v>647</v>
      </c>
      <c r="K38" s="13" t="s">
        <v>240</v>
      </c>
    </row>
    <row r="39" customFormat="false" ht="15" hidden="false" customHeight="false" outlineLevel="0" collapsed="false">
      <c r="A39" s="9" t="s">
        <v>694</v>
      </c>
      <c r="B39" s="9" t="s">
        <v>169</v>
      </c>
      <c r="C39" s="9" t="s">
        <v>170</v>
      </c>
      <c r="D39" s="34" t="n">
        <v>9</v>
      </c>
      <c r="E39" s="9" t="s">
        <v>666</v>
      </c>
      <c r="F39" s="9" t="s">
        <v>29</v>
      </c>
      <c r="G39" s="9" t="s">
        <v>662</v>
      </c>
      <c r="H39" s="34" t="n">
        <v>0</v>
      </c>
      <c r="I39" s="42" t="n">
        <v>0</v>
      </c>
      <c r="J39" s="13" t="s">
        <v>647</v>
      </c>
      <c r="K39" s="13" t="s">
        <v>240</v>
      </c>
    </row>
    <row r="40" customFormat="false" ht="15" hidden="false" customHeight="false" outlineLevel="0" collapsed="false">
      <c r="A40" s="9" t="s">
        <v>695</v>
      </c>
      <c r="B40" s="9" t="s">
        <v>169</v>
      </c>
      <c r="C40" s="9" t="s">
        <v>170</v>
      </c>
      <c r="D40" s="34" t="n">
        <v>10</v>
      </c>
      <c r="E40" s="9" t="s">
        <v>668</v>
      </c>
      <c r="F40" s="9" t="s">
        <v>29</v>
      </c>
      <c r="G40" s="9" t="s">
        <v>662</v>
      </c>
      <c r="H40" s="34" t="n">
        <v>0</v>
      </c>
      <c r="I40" s="42" t="n">
        <v>0</v>
      </c>
      <c r="J40" s="13" t="s">
        <v>647</v>
      </c>
      <c r="K40" s="13" t="s">
        <v>240</v>
      </c>
    </row>
    <row r="41" customFormat="false" ht="15" hidden="false" customHeight="false" outlineLevel="0" collapsed="false">
      <c r="A41" s="9" t="s">
        <v>696</v>
      </c>
      <c r="B41" s="9" t="s">
        <v>169</v>
      </c>
      <c r="C41" s="9" t="s">
        <v>170</v>
      </c>
      <c r="D41" s="34" t="n">
        <v>11</v>
      </c>
      <c r="E41" s="9" t="s">
        <v>670</v>
      </c>
      <c r="F41" s="9" t="s">
        <v>29</v>
      </c>
      <c r="G41" s="9" t="s">
        <v>662</v>
      </c>
      <c r="H41" s="34" t="n">
        <v>0</v>
      </c>
      <c r="I41" s="42" t="n">
        <v>0</v>
      </c>
      <c r="J41" s="13" t="s">
        <v>647</v>
      </c>
      <c r="K41" s="13" t="s">
        <v>240</v>
      </c>
    </row>
    <row r="42" customFormat="false" ht="15" hidden="false" customHeight="false" outlineLevel="0" collapsed="false">
      <c r="A42" s="9" t="s">
        <v>697</v>
      </c>
      <c r="B42" s="9" t="s">
        <v>169</v>
      </c>
      <c r="C42" s="9" t="s">
        <v>170</v>
      </c>
      <c r="D42" s="34" t="n">
        <v>12</v>
      </c>
      <c r="E42" s="9" t="s">
        <v>672</v>
      </c>
      <c r="F42" s="9" t="s">
        <v>29</v>
      </c>
      <c r="G42" s="9" t="s">
        <v>662</v>
      </c>
      <c r="H42" s="34" t="n">
        <v>0</v>
      </c>
      <c r="I42" s="42" t="n">
        <v>0</v>
      </c>
      <c r="J42" s="13" t="s">
        <v>673</v>
      </c>
      <c r="K42" s="13" t="s">
        <v>60</v>
      </c>
    </row>
    <row r="43" customFormat="false" ht="15" hidden="false" customHeight="false" outlineLevel="0" collapsed="false">
      <c r="A43" s="9" t="s">
        <v>698</v>
      </c>
      <c r="B43" s="9" t="s">
        <v>173</v>
      </c>
      <c r="C43" s="9" t="s">
        <v>174</v>
      </c>
      <c r="D43" s="34" t="n">
        <v>1</v>
      </c>
      <c r="E43" s="9" t="s">
        <v>646</v>
      </c>
      <c r="F43" s="9" t="s">
        <v>20</v>
      </c>
      <c r="G43" s="9" t="s">
        <v>115</v>
      </c>
      <c r="H43" s="34" t="n">
        <v>1</v>
      </c>
      <c r="I43" s="42" t="n">
        <v>0</v>
      </c>
      <c r="J43" s="13" t="s">
        <v>647</v>
      </c>
      <c r="K43" s="13" t="s">
        <v>240</v>
      </c>
    </row>
    <row r="44" customFormat="false" ht="15" hidden="false" customHeight="false" outlineLevel="0" collapsed="false">
      <c r="A44" s="9" t="s">
        <v>699</v>
      </c>
      <c r="B44" s="9" t="s">
        <v>173</v>
      </c>
      <c r="C44" s="9" t="s">
        <v>174</v>
      </c>
      <c r="D44" s="34" t="n">
        <v>2</v>
      </c>
      <c r="E44" s="9" t="s">
        <v>649</v>
      </c>
      <c r="F44" s="9" t="s">
        <v>20</v>
      </c>
      <c r="G44" s="9" t="s">
        <v>115</v>
      </c>
      <c r="H44" s="34" t="n">
        <v>1</v>
      </c>
      <c r="I44" s="42" t="n">
        <v>0</v>
      </c>
      <c r="J44" s="13" t="s">
        <v>647</v>
      </c>
      <c r="K44" s="13" t="s">
        <v>240</v>
      </c>
    </row>
    <row r="45" customFormat="false" ht="15" hidden="false" customHeight="false" outlineLevel="0" collapsed="false">
      <c r="A45" s="9" t="s">
        <v>700</v>
      </c>
      <c r="B45" s="9" t="s">
        <v>173</v>
      </c>
      <c r="C45" s="9" t="s">
        <v>174</v>
      </c>
      <c r="D45" s="34" t="n">
        <v>3</v>
      </c>
      <c r="E45" s="9" t="s">
        <v>651</v>
      </c>
      <c r="F45" s="9" t="s">
        <v>20</v>
      </c>
      <c r="G45" s="9" t="s">
        <v>115</v>
      </c>
      <c r="H45" s="34" t="n">
        <v>1</v>
      </c>
      <c r="I45" s="42" t="n">
        <v>0</v>
      </c>
      <c r="J45" s="13" t="s">
        <v>647</v>
      </c>
      <c r="K45" s="13" t="s">
        <v>240</v>
      </c>
    </row>
    <row r="46" customFormat="false" ht="15" hidden="false" customHeight="false" outlineLevel="0" collapsed="false">
      <c r="A46" s="9" t="s">
        <v>701</v>
      </c>
      <c r="B46" s="9" t="s">
        <v>173</v>
      </c>
      <c r="C46" s="9" t="s">
        <v>174</v>
      </c>
      <c r="D46" s="34" t="n">
        <v>4</v>
      </c>
      <c r="E46" s="9" t="s">
        <v>653</v>
      </c>
      <c r="F46" s="9" t="s">
        <v>20</v>
      </c>
      <c r="G46" s="9" t="s">
        <v>115</v>
      </c>
      <c r="H46" s="34" t="n">
        <v>1</v>
      </c>
      <c r="I46" s="42" t="n">
        <v>0</v>
      </c>
      <c r="J46" s="13" t="s">
        <v>647</v>
      </c>
      <c r="K46" s="13" t="s">
        <v>240</v>
      </c>
    </row>
    <row r="47" customFormat="false" ht="15" hidden="false" customHeight="false" outlineLevel="0" collapsed="false">
      <c r="A47" s="9" t="s">
        <v>702</v>
      </c>
      <c r="B47" s="9" t="s">
        <v>173</v>
      </c>
      <c r="C47" s="9" t="s">
        <v>174</v>
      </c>
      <c r="D47" s="34" t="n">
        <v>5</v>
      </c>
      <c r="E47" s="9" t="s">
        <v>655</v>
      </c>
      <c r="F47" s="9" t="s">
        <v>20</v>
      </c>
      <c r="G47" s="9" t="s">
        <v>115</v>
      </c>
      <c r="H47" s="34" t="n">
        <v>1</v>
      </c>
      <c r="I47" s="42" t="n">
        <v>0</v>
      </c>
      <c r="J47" s="13" t="s">
        <v>647</v>
      </c>
      <c r="K47" s="13" t="s">
        <v>240</v>
      </c>
    </row>
    <row r="48" customFormat="false" ht="15" hidden="false" customHeight="false" outlineLevel="0" collapsed="false">
      <c r="A48" s="9" t="s">
        <v>703</v>
      </c>
      <c r="B48" s="9" t="s">
        <v>173</v>
      </c>
      <c r="C48" s="9" t="s">
        <v>174</v>
      </c>
      <c r="D48" s="34" t="n">
        <v>6</v>
      </c>
      <c r="E48" s="9" t="s">
        <v>657</v>
      </c>
      <c r="F48" s="9" t="s">
        <v>29</v>
      </c>
      <c r="G48" s="9" t="s">
        <v>658</v>
      </c>
      <c r="H48" s="34" t="n">
        <v>0</v>
      </c>
      <c r="I48" s="42" t="n">
        <v>0</v>
      </c>
      <c r="J48" s="13" t="s">
        <v>659</v>
      </c>
      <c r="K48" s="13" t="s">
        <v>240</v>
      </c>
    </row>
    <row r="49" customFormat="false" ht="15" hidden="false" customHeight="false" outlineLevel="0" collapsed="false">
      <c r="A49" s="9" t="s">
        <v>704</v>
      </c>
      <c r="B49" s="9" t="s">
        <v>173</v>
      </c>
      <c r="C49" s="9" t="s">
        <v>174</v>
      </c>
      <c r="D49" s="34" t="n">
        <v>7</v>
      </c>
      <c r="E49" s="9" t="s">
        <v>661</v>
      </c>
      <c r="F49" s="9" t="s">
        <v>29</v>
      </c>
      <c r="G49" s="9" t="s">
        <v>662</v>
      </c>
      <c r="H49" s="34" t="n">
        <v>0</v>
      </c>
      <c r="I49" s="42" t="n">
        <v>0</v>
      </c>
      <c r="J49" s="13" t="s">
        <v>647</v>
      </c>
      <c r="K49" s="13" t="s">
        <v>240</v>
      </c>
    </row>
    <row r="50" customFormat="false" ht="15" hidden="false" customHeight="false" outlineLevel="0" collapsed="false">
      <c r="A50" s="9" t="s">
        <v>705</v>
      </c>
      <c r="B50" s="9" t="s">
        <v>173</v>
      </c>
      <c r="C50" s="9" t="s">
        <v>174</v>
      </c>
      <c r="D50" s="34" t="n">
        <v>8</v>
      </c>
      <c r="E50" s="9" t="s">
        <v>664</v>
      </c>
      <c r="F50" s="9" t="s">
        <v>29</v>
      </c>
      <c r="G50" s="9" t="s">
        <v>662</v>
      </c>
      <c r="H50" s="34" t="n">
        <v>0</v>
      </c>
      <c r="I50" s="42" t="n">
        <v>0</v>
      </c>
      <c r="J50" s="13" t="s">
        <v>647</v>
      </c>
      <c r="K50" s="13" t="s">
        <v>240</v>
      </c>
    </row>
    <row r="51" customFormat="false" ht="15" hidden="false" customHeight="false" outlineLevel="0" collapsed="false">
      <c r="A51" s="9" t="s">
        <v>706</v>
      </c>
      <c r="B51" s="9" t="s">
        <v>173</v>
      </c>
      <c r="C51" s="9" t="s">
        <v>174</v>
      </c>
      <c r="D51" s="34" t="n">
        <v>9</v>
      </c>
      <c r="E51" s="9" t="s">
        <v>666</v>
      </c>
      <c r="F51" s="9" t="s">
        <v>29</v>
      </c>
      <c r="G51" s="9" t="s">
        <v>662</v>
      </c>
      <c r="H51" s="34" t="n">
        <v>0</v>
      </c>
      <c r="I51" s="42" t="n">
        <v>0</v>
      </c>
      <c r="J51" s="13" t="s">
        <v>647</v>
      </c>
      <c r="K51" s="13" t="s">
        <v>240</v>
      </c>
    </row>
    <row r="52" customFormat="false" ht="15" hidden="false" customHeight="false" outlineLevel="0" collapsed="false">
      <c r="A52" s="9" t="s">
        <v>707</v>
      </c>
      <c r="B52" s="9" t="s">
        <v>173</v>
      </c>
      <c r="C52" s="9" t="s">
        <v>174</v>
      </c>
      <c r="D52" s="34" t="n">
        <v>10</v>
      </c>
      <c r="E52" s="9" t="s">
        <v>668</v>
      </c>
      <c r="F52" s="9" t="s">
        <v>29</v>
      </c>
      <c r="G52" s="9" t="s">
        <v>662</v>
      </c>
      <c r="H52" s="34" t="n">
        <v>0</v>
      </c>
      <c r="I52" s="42" t="n">
        <v>0</v>
      </c>
      <c r="J52" s="13" t="s">
        <v>647</v>
      </c>
      <c r="K52" s="13" t="s">
        <v>240</v>
      </c>
    </row>
    <row r="53" customFormat="false" ht="15" hidden="false" customHeight="false" outlineLevel="0" collapsed="false">
      <c r="A53" s="9" t="s">
        <v>708</v>
      </c>
      <c r="B53" s="9" t="s">
        <v>173</v>
      </c>
      <c r="C53" s="9" t="s">
        <v>174</v>
      </c>
      <c r="D53" s="34" t="n">
        <v>11</v>
      </c>
      <c r="E53" s="9" t="s">
        <v>670</v>
      </c>
      <c r="F53" s="9" t="s">
        <v>29</v>
      </c>
      <c r="G53" s="9" t="s">
        <v>662</v>
      </c>
      <c r="H53" s="34" t="n">
        <v>0</v>
      </c>
      <c r="I53" s="42" t="n">
        <v>0</v>
      </c>
      <c r="J53" s="13" t="s">
        <v>647</v>
      </c>
      <c r="K53" s="13" t="s">
        <v>240</v>
      </c>
    </row>
    <row r="54" customFormat="false" ht="15" hidden="false" customHeight="false" outlineLevel="0" collapsed="false">
      <c r="A54" s="9" t="s">
        <v>709</v>
      </c>
      <c r="B54" s="9" t="s">
        <v>173</v>
      </c>
      <c r="C54" s="9" t="s">
        <v>174</v>
      </c>
      <c r="D54" s="34" t="n">
        <v>12</v>
      </c>
      <c r="E54" s="9" t="s">
        <v>672</v>
      </c>
      <c r="F54" s="9" t="s">
        <v>29</v>
      </c>
      <c r="G54" s="9" t="s">
        <v>662</v>
      </c>
      <c r="H54" s="34" t="n">
        <v>0</v>
      </c>
      <c r="I54" s="42" t="n">
        <v>0</v>
      </c>
      <c r="J54" s="13" t="s">
        <v>673</v>
      </c>
      <c r="K54" s="13" t="s">
        <v>60</v>
      </c>
    </row>
    <row r="55" customFormat="false" ht="15" hidden="false" customHeight="false" outlineLevel="0" collapsed="false">
      <c r="A55" s="9" t="s">
        <v>710</v>
      </c>
      <c r="B55" s="9" t="s">
        <v>177</v>
      </c>
      <c r="C55" s="9" t="s">
        <v>178</v>
      </c>
      <c r="D55" s="34" t="n">
        <v>1</v>
      </c>
      <c r="E55" s="9" t="s">
        <v>646</v>
      </c>
      <c r="F55" s="9" t="s">
        <v>20</v>
      </c>
      <c r="G55" s="9" t="s">
        <v>115</v>
      </c>
      <c r="H55" s="34" t="n">
        <v>1</v>
      </c>
      <c r="I55" s="42" t="n">
        <v>0</v>
      </c>
      <c r="J55" s="13" t="s">
        <v>647</v>
      </c>
      <c r="K55" s="13" t="s">
        <v>240</v>
      </c>
    </row>
    <row r="56" customFormat="false" ht="15" hidden="false" customHeight="false" outlineLevel="0" collapsed="false">
      <c r="A56" s="9" t="s">
        <v>711</v>
      </c>
      <c r="B56" s="9" t="s">
        <v>177</v>
      </c>
      <c r="C56" s="9" t="s">
        <v>178</v>
      </c>
      <c r="D56" s="34" t="n">
        <v>2</v>
      </c>
      <c r="E56" s="9" t="s">
        <v>649</v>
      </c>
      <c r="F56" s="9" t="s">
        <v>20</v>
      </c>
      <c r="G56" s="9" t="s">
        <v>115</v>
      </c>
      <c r="H56" s="34" t="n">
        <v>1</v>
      </c>
      <c r="I56" s="42" t="n">
        <v>0</v>
      </c>
      <c r="J56" s="13" t="s">
        <v>647</v>
      </c>
      <c r="K56" s="13" t="s">
        <v>240</v>
      </c>
    </row>
    <row r="57" customFormat="false" ht="15" hidden="false" customHeight="false" outlineLevel="0" collapsed="false">
      <c r="A57" s="9" t="s">
        <v>712</v>
      </c>
      <c r="B57" s="9" t="s">
        <v>177</v>
      </c>
      <c r="C57" s="9" t="s">
        <v>178</v>
      </c>
      <c r="D57" s="34" t="n">
        <v>3</v>
      </c>
      <c r="E57" s="9" t="s">
        <v>651</v>
      </c>
      <c r="F57" s="9" t="s">
        <v>20</v>
      </c>
      <c r="G57" s="9" t="s">
        <v>115</v>
      </c>
      <c r="H57" s="34" t="n">
        <v>1</v>
      </c>
      <c r="I57" s="42" t="n">
        <v>0</v>
      </c>
      <c r="J57" s="13" t="s">
        <v>647</v>
      </c>
      <c r="K57" s="13" t="s">
        <v>240</v>
      </c>
    </row>
    <row r="58" customFormat="false" ht="15" hidden="false" customHeight="false" outlineLevel="0" collapsed="false">
      <c r="A58" s="9" t="s">
        <v>713</v>
      </c>
      <c r="B58" s="9" t="s">
        <v>177</v>
      </c>
      <c r="C58" s="9" t="s">
        <v>178</v>
      </c>
      <c r="D58" s="34" t="n">
        <v>4</v>
      </c>
      <c r="E58" s="9" t="s">
        <v>653</v>
      </c>
      <c r="F58" s="9" t="s">
        <v>20</v>
      </c>
      <c r="G58" s="9" t="s">
        <v>115</v>
      </c>
      <c r="H58" s="34" t="n">
        <v>1</v>
      </c>
      <c r="I58" s="42" t="n">
        <v>0</v>
      </c>
      <c r="J58" s="13" t="s">
        <v>647</v>
      </c>
      <c r="K58" s="13" t="s">
        <v>240</v>
      </c>
    </row>
    <row r="59" customFormat="false" ht="15" hidden="false" customHeight="false" outlineLevel="0" collapsed="false">
      <c r="A59" s="9" t="s">
        <v>714</v>
      </c>
      <c r="B59" s="9" t="s">
        <v>177</v>
      </c>
      <c r="C59" s="9" t="s">
        <v>178</v>
      </c>
      <c r="D59" s="34" t="n">
        <v>5</v>
      </c>
      <c r="E59" s="9" t="s">
        <v>655</v>
      </c>
      <c r="F59" s="9" t="s">
        <v>20</v>
      </c>
      <c r="G59" s="9" t="s">
        <v>115</v>
      </c>
      <c r="H59" s="34" t="n">
        <v>1</v>
      </c>
      <c r="I59" s="42" t="n">
        <v>0</v>
      </c>
      <c r="J59" s="13" t="s">
        <v>647</v>
      </c>
      <c r="K59" s="13" t="s">
        <v>240</v>
      </c>
    </row>
    <row r="60" customFormat="false" ht="15" hidden="false" customHeight="false" outlineLevel="0" collapsed="false">
      <c r="A60" s="9" t="s">
        <v>715</v>
      </c>
      <c r="B60" s="9" t="s">
        <v>177</v>
      </c>
      <c r="C60" s="9" t="s">
        <v>178</v>
      </c>
      <c r="D60" s="34" t="n">
        <v>6</v>
      </c>
      <c r="E60" s="9" t="s">
        <v>657</v>
      </c>
      <c r="F60" s="9" t="s">
        <v>29</v>
      </c>
      <c r="G60" s="9" t="s">
        <v>658</v>
      </c>
      <c r="H60" s="34" t="n">
        <v>0</v>
      </c>
      <c r="I60" s="42" t="n">
        <v>0</v>
      </c>
      <c r="J60" s="13" t="s">
        <v>659</v>
      </c>
      <c r="K60" s="13" t="s">
        <v>240</v>
      </c>
    </row>
    <row r="61" customFormat="false" ht="15" hidden="false" customHeight="false" outlineLevel="0" collapsed="false">
      <c r="A61" s="9" t="s">
        <v>716</v>
      </c>
      <c r="B61" s="9" t="s">
        <v>177</v>
      </c>
      <c r="C61" s="9" t="s">
        <v>178</v>
      </c>
      <c r="D61" s="34" t="n">
        <v>7</v>
      </c>
      <c r="E61" s="9" t="s">
        <v>661</v>
      </c>
      <c r="F61" s="9" t="s">
        <v>29</v>
      </c>
      <c r="G61" s="9" t="s">
        <v>662</v>
      </c>
      <c r="H61" s="34" t="n">
        <v>0</v>
      </c>
      <c r="I61" s="42" t="n">
        <v>0</v>
      </c>
      <c r="J61" s="13" t="s">
        <v>647</v>
      </c>
      <c r="K61" s="13" t="s">
        <v>240</v>
      </c>
    </row>
    <row r="62" customFormat="false" ht="15" hidden="false" customHeight="false" outlineLevel="0" collapsed="false">
      <c r="A62" s="9" t="s">
        <v>717</v>
      </c>
      <c r="B62" s="9" t="s">
        <v>177</v>
      </c>
      <c r="C62" s="9" t="s">
        <v>178</v>
      </c>
      <c r="D62" s="34" t="n">
        <v>8</v>
      </c>
      <c r="E62" s="9" t="s">
        <v>664</v>
      </c>
      <c r="F62" s="9" t="s">
        <v>29</v>
      </c>
      <c r="G62" s="9" t="s">
        <v>662</v>
      </c>
      <c r="H62" s="34" t="n">
        <v>0</v>
      </c>
      <c r="I62" s="42" t="n">
        <v>0</v>
      </c>
      <c r="J62" s="13" t="s">
        <v>647</v>
      </c>
      <c r="K62" s="13" t="s">
        <v>240</v>
      </c>
    </row>
    <row r="63" customFormat="false" ht="15" hidden="false" customHeight="false" outlineLevel="0" collapsed="false">
      <c r="A63" s="9" t="s">
        <v>718</v>
      </c>
      <c r="B63" s="9" t="s">
        <v>177</v>
      </c>
      <c r="C63" s="9" t="s">
        <v>178</v>
      </c>
      <c r="D63" s="34" t="n">
        <v>9</v>
      </c>
      <c r="E63" s="9" t="s">
        <v>666</v>
      </c>
      <c r="F63" s="9" t="s">
        <v>29</v>
      </c>
      <c r="G63" s="9" t="s">
        <v>662</v>
      </c>
      <c r="H63" s="34" t="n">
        <v>0</v>
      </c>
      <c r="I63" s="42" t="n">
        <v>0</v>
      </c>
      <c r="J63" s="13" t="s">
        <v>647</v>
      </c>
      <c r="K63" s="13" t="s">
        <v>240</v>
      </c>
    </row>
    <row r="64" customFormat="false" ht="15" hidden="false" customHeight="false" outlineLevel="0" collapsed="false">
      <c r="A64" s="9" t="s">
        <v>719</v>
      </c>
      <c r="B64" s="9" t="s">
        <v>177</v>
      </c>
      <c r="C64" s="9" t="s">
        <v>178</v>
      </c>
      <c r="D64" s="34" t="n">
        <v>10</v>
      </c>
      <c r="E64" s="9" t="s">
        <v>668</v>
      </c>
      <c r="F64" s="9" t="s">
        <v>29</v>
      </c>
      <c r="G64" s="9" t="s">
        <v>662</v>
      </c>
      <c r="H64" s="34" t="n">
        <v>0</v>
      </c>
      <c r="I64" s="42" t="n">
        <v>0</v>
      </c>
      <c r="J64" s="13" t="s">
        <v>647</v>
      </c>
      <c r="K64" s="13" t="s">
        <v>240</v>
      </c>
    </row>
    <row r="65" customFormat="false" ht="15" hidden="false" customHeight="false" outlineLevel="0" collapsed="false">
      <c r="A65" s="9" t="s">
        <v>720</v>
      </c>
      <c r="B65" s="9" t="s">
        <v>177</v>
      </c>
      <c r="C65" s="9" t="s">
        <v>178</v>
      </c>
      <c r="D65" s="34" t="n">
        <v>11</v>
      </c>
      <c r="E65" s="9" t="s">
        <v>670</v>
      </c>
      <c r="F65" s="9" t="s">
        <v>29</v>
      </c>
      <c r="G65" s="9" t="s">
        <v>662</v>
      </c>
      <c r="H65" s="34" t="n">
        <v>0</v>
      </c>
      <c r="I65" s="42" t="n">
        <v>0</v>
      </c>
      <c r="J65" s="13" t="s">
        <v>647</v>
      </c>
      <c r="K65" s="13" t="s">
        <v>240</v>
      </c>
    </row>
    <row r="66" customFormat="false" ht="15" hidden="false" customHeight="false" outlineLevel="0" collapsed="false">
      <c r="A66" s="9" t="s">
        <v>721</v>
      </c>
      <c r="B66" s="9" t="s">
        <v>177</v>
      </c>
      <c r="C66" s="9" t="s">
        <v>178</v>
      </c>
      <c r="D66" s="34" t="n">
        <v>12</v>
      </c>
      <c r="E66" s="9" t="s">
        <v>672</v>
      </c>
      <c r="F66" s="9" t="s">
        <v>29</v>
      </c>
      <c r="G66" s="9" t="s">
        <v>662</v>
      </c>
      <c r="H66" s="34" t="n">
        <v>0</v>
      </c>
      <c r="I66" s="42" t="n">
        <v>0</v>
      </c>
      <c r="J66" s="13" t="s">
        <v>673</v>
      </c>
      <c r="K66" s="13" t="s">
        <v>60</v>
      </c>
    </row>
    <row r="67" customFormat="false" ht="15" hidden="false" customHeight="false" outlineLevel="0" collapsed="false">
      <c r="A67" s="9" t="s">
        <v>722</v>
      </c>
      <c r="B67" s="9" t="s">
        <v>182</v>
      </c>
      <c r="C67" s="9" t="s">
        <v>183</v>
      </c>
      <c r="D67" s="34" t="n">
        <v>1</v>
      </c>
      <c r="E67" s="9" t="s">
        <v>646</v>
      </c>
      <c r="F67" s="9" t="s">
        <v>20</v>
      </c>
      <c r="G67" s="9" t="s">
        <v>115</v>
      </c>
      <c r="H67" s="34" t="n">
        <v>1</v>
      </c>
      <c r="I67" s="42" t="n">
        <v>0</v>
      </c>
      <c r="J67" s="13" t="s">
        <v>647</v>
      </c>
      <c r="K67" s="13" t="s">
        <v>240</v>
      </c>
    </row>
    <row r="68" customFormat="false" ht="15" hidden="false" customHeight="false" outlineLevel="0" collapsed="false">
      <c r="A68" s="9" t="s">
        <v>723</v>
      </c>
      <c r="B68" s="9" t="s">
        <v>182</v>
      </c>
      <c r="C68" s="9" t="s">
        <v>183</v>
      </c>
      <c r="D68" s="34" t="n">
        <v>2</v>
      </c>
      <c r="E68" s="9" t="s">
        <v>649</v>
      </c>
      <c r="F68" s="9" t="s">
        <v>20</v>
      </c>
      <c r="G68" s="9" t="s">
        <v>115</v>
      </c>
      <c r="H68" s="34" t="n">
        <v>1</v>
      </c>
      <c r="I68" s="42" t="n">
        <v>0</v>
      </c>
      <c r="J68" s="13" t="s">
        <v>647</v>
      </c>
      <c r="K68" s="13" t="s">
        <v>240</v>
      </c>
    </row>
    <row r="69" customFormat="false" ht="15" hidden="false" customHeight="false" outlineLevel="0" collapsed="false">
      <c r="A69" s="9" t="s">
        <v>724</v>
      </c>
      <c r="B69" s="9" t="s">
        <v>182</v>
      </c>
      <c r="C69" s="9" t="s">
        <v>183</v>
      </c>
      <c r="D69" s="34" t="n">
        <v>3</v>
      </c>
      <c r="E69" s="9" t="s">
        <v>651</v>
      </c>
      <c r="F69" s="9" t="s">
        <v>20</v>
      </c>
      <c r="G69" s="9" t="s">
        <v>115</v>
      </c>
      <c r="H69" s="34" t="n">
        <v>1</v>
      </c>
      <c r="I69" s="42" t="n">
        <v>0</v>
      </c>
      <c r="J69" s="13" t="s">
        <v>647</v>
      </c>
      <c r="K69" s="13" t="s">
        <v>240</v>
      </c>
    </row>
    <row r="70" customFormat="false" ht="15" hidden="false" customHeight="false" outlineLevel="0" collapsed="false">
      <c r="A70" s="9" t="s">
        <v>725</v>
      </c>
      <c r="B70" s="9" t="s">
        <v>182</v>
      </c>
      <c r="C70" s="9" t="s">
        <v>183</v>
      </c>
      <c r="D70" s="34" t="n">
        <v>4</v>
      </c>
      <c r="E70" s="9" t="s">
        <v>653</v>
      </c>
      <c r="F70" s="9" t="s">
        <v>20</v>
      </c>
      <c r="G70" s="9" t="s">
        <v>115</v>
      </c>
      <c r="H70" s="34" t="n">
        <v>1</v>
      </c>
      <c r="I70" s="42" t="n">
        <v>0</v>
      </c>
      <c r="J70" s="13" t="s">
        <v>647</v>
      </c>
      <c r="K70" s="13" t="s">
        <v>240</v>
      </c>
    </row>
    <row r="71" customFormat="false" ht="15" hidden="false" customHeight="false" outlineLevel="0" collapsed="false">
      <c r="A71" s="9" t="s">
        <v>726</v>
      </c>
      <c r="B71" s="9" t="s">
        <v>182</v>
      </c>
      <c r="C71" s="9" t="s">
        <v>183</v>
      </c>
      <c r="D71" s="34" t="n">
        <v>5</v>
      </c>
      <c r="E71" s="9" t="s">
        <v>655</v>
      </c>
      <c r="F71" s="9" t="s">
        <v>20</v>
      </c>
      <c r="G71" s="9" t="s">
        <v>115</v>
      </c>
      <c r="H71" s="34" t="n">
        <v>1</v>
      </c>
      <c r="I71" s="42" t="n">
        <v>0</v>
      </c>
      <c r="J71" s="13" t="s">
        <v>647</v>
      </c>
      <c r="K71" s="13" t="s">
        <v>240</v>
      </c>
    </row>
    <row r="72" customFormat="false" ht="15" hidden="false" customHeight="false" outlineLevel="0" collapsed="false">
      <c r="A72" s="9" t="s">
        <v>727</v>
      </c>
      <c r="B72" s="9" t="s">
        <v>182</v>
      </c>
      <c r="C72" s="9" t="s">
        <v>183</v>
      </c>
      <c r="D72" s="34" t="n">
        <v>6</v>
      </c>
      <c r="E72" s="9" t="s">
        <v>657</v>
      </c>
      <c r="F72" s="9" t="s">
        <v>29</v>
      </c>
      <c r="G72" s="9" t="s">
        <v>658</v>
      </c>
      <c r="H72" s="34" t="n">
        <v>0</v>
      </c>
      <c r="I72" s="42" t="n">
        <v>0</v>
      </c>
      <c r="J72" s="13" t="s">
        <v>659</v>
      </c>
      <c r="K72" s="13" t="s">
        <v>240</v>
      </c>
    </row>
    <row r="73" customFormat="false" ht="15" hidden="false" customHeight="false" outlineLevel="0" collapsed="false">
      <c r="A73" s="9" t="s">
        <v>728</v>
      </c>
      <c r="B73" s="9" t="s">
        <v>182</v>
      </c>
      <c r="C73" s="9" t="s">
        <v>183</v>
      </c>
      <c r="D73" s="34" t="n">
        <v>7</v>
      </c>
      <c r="E73" s="9" t="s">
        <v>661</v>
      </c>
      <c r="F73" s="9" t="s">
        <v>29</v>
      </c>
      <c r="G73" s="9" t="s">
        <v>662</v>
      </c>
      <c r="H73" s="34" t="n">
        <v>0</v>
      </c>
      <c r="I73" s="42" t="n">
        <v>0</v>
      </c>
      <c r="J73" s="13" t="s">
        <v>647</v>
      </c>
      <c r="K73" s="13" t="s">
        <v>240</v>
      </c>
    </row>
    <row r="74" customFormat="false" ht="15" hidden="false" customHeight="false" outlineLevel="0" collapsed="false">
      <c r="A74" s="9" t="s">
        <v>729</v>
      </c>
      <c r="B74" s="9" t="s">
        <v>182</v>
      </c>
      <c r="C74" s="9" t="s">
        <v>183</v>
      </c>
      <c r="D74" s="34" t="n">
        <v>8</v>
      </c>
      <c r="E74" s="9" t="s">
        <v>664</v>
      </c>
      <c r="F74" s="9" t="s">
        <v>29</v>
      </c>
      <c r="G74" s="9" t="s">
        <v>662</v>
      </c>
      <c r="H74" s="34" t="n">
        <v>0</v>
      </c>
      <c r="I74" s="42" t="n">
        <v>0</v>
      </c>
      <c r="J74" s="13" t="s">
        <v>647</v>
      </c>
      <c r="K74" s="13" t="s">
        <v>240</v>
      </c>
    </row>
    <row r="75" customFormat="false" ht="15" hidden="false" customHeight="false" outlineLevel="0" collapsed="false">
      <c r="A75" s="9" t="s">
        <v>730</v>
      </c>
      <c r="B75" s="9" t="s">
        <v>182</v>
      </c>
      <c r="C75" s="9" t="s">
        <v>183</v>
      </c>
      <c r="D75" s="34" t="n">
        <v>9</v>
      </c>
      <c r="E75" s="9" t="s">
        <v>666</v>
      </c>
      <c r="F75" s="9" t="s">
        <v>29</v>
      </c>
      <c r="G75" s="9" t="s">
        <v>662</v>
      </c>
      <c r="H75" s="34" t="n">
        <v>0</v>
      </c>
      <c r="I75" s="42" t="n">
        <v>0</v>
      </c>
      <c r="J75" s="13" t="s">
        <v>647</v>
      </c>
      <c r="K75" s="13" t="s">
        <v>240</v>
      </c>
    </row>
    <row r="76" customFormat="false" ht="15" hidden="false" customHeight="false" outlineLevel="0" collapsed="false">
      <c r="A76" s="9" t="s">
        <v>731</v>
      </c>
      <c r="B76" s="9" t="s">
        <v>182</v>
      </c>
      <c r="C76" s="9" t="s">
        <v>183</v>
      </c>
      <c r="D76" s="34" t="n">
        <v>10</v>
      </c>
      <c r="E76" s="9" t="s">
        <v>668</v>
      </c>
      <c r="F76" s="9" t="s">
        <v>29</v>
      </c>
      <c r="G76" s="9" t="s">
        <v>662</v>
      </c>
      <c r="H76" s="34" t="n">
        <v>0</v>
      </c>
      <c r="I76" s="42" t="n">
        <v>0</v>
      </c>
      <c r="J76" s="13" t="s">
        <v>647</v>
      </c>
      <c r="K76" s="13" t="s">
        <v>240</v>
      </c>
    </row>
    <row r="77" customFormat="false" ht="15" hidden="false" customHeight="false" outlineLevel="0" collapsed="false">
      <c r="A77" s="9" t="s">
        <v>732</v>
      </c>
      <c r="B77" s="9" t="s">
        <v>182</v>
      </c>
      <c r="C77" s="9" t="s">
        <v>183</v>
      </c>
      <c r="D77" s="34" t="n">
        <v>11</v>
      </c>
      <c r="E77" s="9" t="s">
        <v>670</v>
      </c>
      <c r="F77" s="9" t="s">
        <v>29</v>
      </c>
      <c r="G77" s="9" t="s">
        <v>662</v>
      </c>
      <c r="H77" s="34" t="n">
        <v>0</v>
      </c>
      <c r="I77" s="42" t="n">
        <v>0</v>
      </c>
      <c r="J77" s="13" t="s">
        <v>647</v>
      </c>
      <c r="K77" s="13" t="s">
        <v>240</v>
      </c>
    </row>
    <row r="78" customFormat="false" ht="15" hidden="false" customHeight="false" outlineLevel="0" collapsed="false">
      <c r="A78" s="14" t="s">
        <v>733</v>
      </c>
      <c r="B78" s="14" t="s">
        <v>182</v>
      </c>
      <c r="C78" s="14" t="s">
        <v>183</v>
      </c>
      <c r="D78" s="37" t="n">
        <v>12</v>
      </c>
      <c r="E78" s="14" t="s">
        <v>672</v>
      </c>
      <c r="F78" s="14" t="s">
        <v>29</v>
      </c>
      <c r="G78" s="14" t="s">
        <v>662</v>
      </c>
      <c r="H78" s="37" t="n">
        <v>0</v>
      </c>
      <c r="I78" s="43" t="n">
        <v>0</v>
      </c>
      <c r="J78" s="16" t="s">
        <v>673</v>
      </c>
      <c r="K78" s="16" t="s">
        <v>60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35"/>
    <col collapsed="false" customWidth="true" hidden="false" outlineLevel="0" max="4" min="4" style="0" width="66"/>
  </cols>
  <sheetData>
    <row r="2" customFormat="false" ht="24" hidden="false" customHeight="true" outlineLevel="0" collapsed="false">
      <c r="A2" s="1" t="s">
        <v>734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735</v>
      </c>
      <c r="B4" s="3"/>
      <c r="C4" s="3"/>
      <c r="D4" s="3"/>
    </row>
    <row r="5" customFormat="false" ht="15" hidden="false" customHeight="false" outlineLevel="0" collapsed="false">
      <c r="A5" s="4"/>
      <c r="B5" s="4"/>
      <c r="C5" s="4"/>
      <c r="D5" s="4"/>
    </row>
    <row r="6" customFormat="false" ht="23" hidden="false" customHeight="true" outlineLevel="0" collapsed="false">
      <c r="A6" s="5" t="s">
        <v>736</v>
      </c>
      <c r="B6" s="6" t="s">
        <v>737</v>
      </c>
      <c r="C6" s="6" t="s">
        <v>738</v>
      </c>
      <c r="D6" s="7" t="s">
        <v>739</v>
      </c>
    </row>
    <row r="7" customFormat="false" ht="15" hidden="false" customHeight="false" outlineLevel="0" collapsed="false">
      <c r="A7" s="8" t="s">
        <v>740</v>
      </c>
      <c r="B7" s="8" t="s">
        <v>741</v>
      </c>
      <c r="C7" s="8" t="s">
        <v>742</v>
      </c>
      <c r="D7" s="8" t="s">
        <v>743</v>
      </c>
    </row>
    <row r="8" customFormat="false" ht="15" hidden="false" customHeight="false" outlineLevel="0" collapsed="false">
      <c r="A8" s="9" t="s">
        <v>744</v>
      </c>
      <c r="B8" s="9" t="s">
        <v>745</v>
      </c>
      <c r="C8" s="9" t="s">
        <v>746</v>
      </c>
      <c r="D8" s="9" t="s">
        <v>747</v>
      </c>
    </row>
    <row r="9" customFormat="false" ht="15" hidden="false" customHeight="false" outlineLevel="0" collapsed="false">
      <c r="A9" s="9" t="s">
        <v>748</v>
      </c>
      <c r="B9" s="9" t="s">
        <v>749</v>
      </c>
      <c r="C9" s="9" t="s">
        <v>750</v>
      </c>
      <c r="D9" s="9" t="s">
        <v>751</v>
      </c>
    </row>
    <row r="10" customFormat="false" ht="15" hidden="false" customHeight="false" outlineLevel="0" collapsed="false">
      <c r="A10" s="9" t="s">
        <v>752</v>
      </c>
      <c r="B10" s="9" t="s">
        <v>753</v>
      </c>
      <c r="C10" s="9" t="s">
        <v>754</v>
      </c>
      <c r="D10" s="9" t="s">
        <v>755</v>
      </c>
    </row>
    <row r="11" customFormat="false" ht="15" hidden="false" customHeight="false" outlineLevel="0" collapsed="false">
      <c r="A11" s="9" t="s">
        <v>756</v>
      </c>
      <c r="B11" s="9" t="s">
        <v>757</v>
      </c>
      <c r="C11" s="9" t="s">
        <v>758</v>
      </c>
      <c r="D11" s="9" t="s">
        <v>759</v>
      </c>
    </row>
    <row r="12" customFormat="false" ht="15" hidden="false" customHeight="false" outlineLevel="0" collapsed="false">
      <c r="A12" s="9" t="s">
        <v>760</v>
      </c>
      <c r="B12" s="9" t="s">
        <v>761</v>
      </c>
      <c r="C12" s="9" t="s">
        <v>762</v>
      </c>
      <c r="D12" s="9" t="s">
        <v>763</v>
      </c>
    </row>
    <row r="13" customFormat="false" ht="15" hidden="false" customHeight="false" outlineLevel="0" collapsed="false">
      <c r="A13" s="9" t="s">
        <v>764</v>
      </c>
      <c r="B13" s="9" t="s">
        <v>108</v>
      </c>
      <c r="C13" s="9" t="s">
        <v>765</v>
      </c>
      <c r="D13" s="9" t="s">
        <v>766</v>
      </c>
    </row>
    <row r="14" customFormat="false" ht="15" hidden="false" customHeight="false" outlineLevel="0" collapsed="false">
      <c r="A14" s="9" t="s">
        <v>767</v>
      </c>
      <c r="B14" s="9" t="s">
        <v>768</v>
      </c>
      <c r="C14" s="9" t="s">
        <v>769</v>
      </c>
      <c r="D14" s="9" t="s">
        <v>770</v>
      </c>
    </row>
    <row r="15" customFormat="false" ht="15" hidden="false" customHeight="false" outlineLevel="0" collapsed="false">
      <c r="A15" s="9" t="s">
        <v>771</v>
      </c>
      <c r="B15" s="9" t="s">
        <v>772</v>
      </c>
      <c r="C15" s="9" t="s">
        <v>773</v>
      </c>
      <c r="D15" s="9" t="s">
        <v>774</v>
      </c>
    </row>
    <row r="16" customFormat="false" ht="15" hidden="false" customHeight="false" outlineLevel="0" collapsed="false">
      <c r="A16" s="9" t="s">
        <v>775</v>
      </c>
      <c r="B16" s="9" t="s">
        <v>776</v>
      </c>
      <c r="C16" s="9" t="s">
        <v>777</v>
      </c>
      <c r="D16" s="9" t="s">
        <v>778</v>
      </c>
    </row>
    <row r="17" customFormat="false" ht="15" hidden="false" customHeight="false" outlineLevel="0" collapsed="false">
      <c r="A17" s="9" t="s">
        <v>779</v>
      </c>
      <c r="B17" s="9" t="s">
        <v>780</v>
      </c>
      <c r="C17" s="9" t="s">
        <v>781</v>
      </c>
      <c r="D17" s="9" t="s">
        <v>782</v>
      </c>
    </row>
    <row r="18" customFormat="false" ht="15" hidden="false" customHeight="false" outlineLevel="0" collapsed="false">
      <c r="A18" s="9" t="s">
        <v>783</v>
      </c>
      <c r="B18" s="9" t="s">
        <v>784</v>
      </c>
      <c r="C18" s="9" t="s">
        <v>785</v>
      </c>
      <c r="D18" s="9" t="s">
        <v>786</v>
      </c>
    </row>
    <row r="19" customFormat="false" ht="15" hidden="false" customHeight="false" outlineLevel="0" collapsed="false">
      <c r="A19" s="9" t="s">
        <v>787</v>
      </c>
      <c r="B19" s="9" t="s">
        <v>788</v>
      </c>
      <c r="C19" s="9" t="s">
        <v>789</v>
      </c>
      <c r="D19" s="9" t="s">
        <v>790</v>
      </c>
    </row>
    <row r="20" customFormat="false" ht="15" hidden="false" customHeight="false" outlineLevel="0" collapsed="false">
      <c r="A20" s="9" t="s">
        <v>791</v>
      </c>
      <c r="B20" s="9" t="s">
        <v>792</v>
      </c>
      <c r="C20" s="9" t="s">
        <v>793</v>
      </c>
      <c r="D20" s="9" t="s">
        <v>794</v>
      </c>
    </row>
    <row r="21" customFormat="false" ht="15" hidden="false" customHeight="false" outlineLevel="0" collapsed="false">
      <c r="A21" s="9" t="s">
        <v>795</v>
      </c>
      <c r="B21" s="9" t="s">
        <v>569</v>
      </c>
      <c r="C21" s="9" t="s">
        <v>796</v>
      </c>
      <c r="D21" s="9" t="s">
        <v>797</v>
      </c>
    </row>
    <row r="22" customFormat="false" ht="15" hidden="false" customHeight="false" outlineLevel="0" collapsed="false">
      <c r="A22" s="9" t="s">
        <v>798</v>
      </c>
      <c r="B22" s="9" t="s">
        <v>799</v>
      </c>
      <c r="C22" s="9" t="s">
        <v>800</v>
      </c>
      <c r="D22" s="9" t="s">
        <v>801</v>
      </c>
    </row>
    <row r="23" customFormat="false" ht="15" hidden="false" customHeight="false" outlineLevel="0" collapsed="false">
      <c r="A23" s="9" t="s">
        <v>802</v>
      </c>
      <c r="B23" s="9" t="s">
        <v>803</v>
      </c>
      <c r="C23" s="9" t="s">
        <v>804</v>
      </c>
      <c r="D23" s="9" t="s">
        <v>805</v>
      </c>
    </row>
    <row r="24" customFormat="false" ht="15" hidden="false" customHeight="false" outlineLevel="0" collapsed="false">
      <c r="A24" s="9" t="s">
        <v>806</v>
      </c>
      <c r="B24" s="9" t="s">
        <v>807</v>
      </c>
      <c r="C24" s="9" t="s">
        <v>808</v>
      </c>
      <c r="D24" s="9" t="s">
        <v>809</v>
      </c>
    </row>
    <row r="25" customFormat="false" ht="15" hidden="false" customHeight="false" outlineLevel="0" collapsed="false">
      <c r="A25" s="9" t="s">
        <v>810</v>
      </c>
      <c r="B25" s="9" t="s">
        <v>811</v>
      </c>
      <c r="C25" s="9" t="s">
        <v>812</v>
      </c>
      <c r="D25" s="9" t="s">
        <v>813</v>
      </c>
    </row>
    <row r="26" customFormat="false" ht="15" hidden="false" customHeight="false" outlineLevel="0" collapsed="false">
      <c r="A26" s="14" t="s">
        <v>814</v>
      </c>
      <c r="B26" s="14" t="s">
        <v>815</v>
      </c>
      <c r="C26" s="14" t="s">
        <v>816</v>
      </c>
      <c r="D26" s="14" t="s">
        <v>817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3"/>
    <col collapsed="false" customWidth="true" hidden="false" outlineLevel="0" max="3" min="3" style="0" width="51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</cols>
  <sheetData>
    <row r="2" customFormat="false" ht="24" hidden="false" customHeight="true" outlineLevel="0" collapsed="false">
      <c r="A2" s="1" t="s">
        <v>818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819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820</v>
      </c>
      <c r="B6" s="6" t="s">
        <v>821</v>
      </c>
      <c r="C6" s="6" t="s">
        <v>822</v>
      </c>
      <c r="D6" s="6" t="s">
        <v>823</v>
      </c>
      <c r="E6" s="6" t="s">
        <v>236</v>
      </c>
      <c r="F6" s="7" t="s">
        <v>5</v>
      </c>
    </row>
    <row r="7" customFormat="false" ht="15" hidden="false" customHeight="false" outlineLevel="0" collapsed="false">
      <c r="A7" s="8" t="s">
        <v>824</v>
      </c>
      <c r="B7" s="8" t="s">
        <v>825</v>
      </c>
      <c r="C7" s="8" t="s">
        <v>826</v>
      </c>
      <c r="D7" s="8" t="s">
        <v>827</v>
      </c>
      <c r="E7" s="8" t="s">
        <v>828</v>
      </c>
      <c r="F7" s="8" t="s">
        <v>829</v>
      </c>
    </row>
    <row r="8" customFormat="false" ht="15" hidden="false" customHeight="false" outlineLevel="0" collapsed="false">
      <c r="A8" s="9" t="s">
        <v>830</v>
      </c>
      <c r="B8" s="9" t="s">
        <v>831</v>
      </c>
      <c r="C8" s="9" t="s">
        <v>832</v>
      </c>
      <c r="D8" s="9" t="s">
        <v>833</v>
      </c>
      <c r="E8" s="9" t="s">
        <v>834</v>
      </c>
      <c r="F8" s="9" t="s">
        <v>829</v>
      </c>
    </row>
    <row r="9" customFormat="false" ht="15" hidden="false" customHeight="false" outlineLevel="0" collapsed="false">
      <c r="A9" s="9" t="s">
        <v>835</v>
      </c>
      <c r="B9" s="9" t="s">
        <v>836</v>
      </c>
      <c r="C9" s="9" t="s">
        <v>837</v>
      </c>
      <c r="D9" s="9" t="s">
        <v>838</v>
      </c>
      <c r="E9" s="9" t="s">
        <v>834</v>
      </c>
      <c r="F9" s="9" t="s">
        <v>829</v>
      </c>
    </row>
    <row r="10" customFormat="false" ht="15" hidden="false" customHeight="false" outlineLevel="0" collapsed="false">
      <c r="A10" s="9" t="s">
        <v>839</v>
      </c>
      <c r="B10" s="9" t="s">
        <v>840</v>
      </c>
      <c r="C10" s="9" t="s">
        <v>841</v>
      </c>
      <c r="D10" s="9" t="s">
        <v>842</v>
      </c>
      <c r="E10" s="9" t="s">
        <v>843</v>
      </c>
      <c r="F10" s="9" t="s">
        <v>829</v>
      </c>
    </row>
    <row r="11" customFormat="false" ht="15" hidden="false" customHeight="false" outlineLevel="0" collapsed="false">
      <c r="A11" s="9" t="s">
        <v>844</v>
      </c>
      <c r="B11" s="9" t="s">
        <v>845</v>
      </c>
      <c r="C11" s="9" t="s">
        <v>846</v>
      </c>
      <c r="D11" s="9" t="s">
        <v>847</v>
      </c>
      <c r="E11" s="9" t="s">
        <v>843</v>
      </c>
      <c r="F11" s="9" t="s">
        <v>829</v>
      </c>
    </row>
    <row r="12" customFormat="false" ht="15" hidden="false" customHeight="false" outlineLevel="0" collapsed="false">
      <c r="A12" s="9" t="s">
        <v>848</v>
      </c>
      <c r="B12" s="9" t="s">
        <v>849</v>
      </c>
      <c r="C12" s="9" t="s">
        <v>850</v>
      </c>
      <c r="D12" s="9" t="s">
        <v>851</v>
      </c>
      <c r="E12" s="9" t="s">
        <v>828</v>
      </c>
      <c r="F12" s="9" t="s">
        <v>829</v>
      </c>
    </row>
    <row r="13" customFormat="false" ht="15" hidden="false" customHeight="false" outlineLevel="0" collapsed="false">
      <c r="A13" s="9" t="s">
        <v>852</v>
      </c>
      <c r="B13" s="9" t="s">
        <v>853</v>
      </c>
      <c r="C13" s="9" t="s">
        <v>854</v>
      </c>
      <c r="D13" s="9" t="s">
        <v>855</v>
      </c>
      <c r="E13" s="9" t="s">
        <v>856</v>
      </c>
      <c r="F13" s="9" t="s">
        <v>829</v>
      </c>
    </row>
    <row r="14" customFormat="false" ht="15" hidden="false" customHeight="false" outlineLevel="0" collapsed="false">
      <c r="A14" s="9" t="s">
        <v>857</v>
      </c>
      <c r="B14" s="9" t="s">
        <v>858</v>
      </c>
      <c r="C14" s="9" t="s">
        <v>859</v>
      </c>
      <c r="D14" s="9" t="s">
        <v>860</v>
      </c>
      <c r="E14" s="9" t="s">
        <v>843</v>
      </c>
      <c r="F14" s="9" t="s">
        <v>829</v>
      </c>
    </row>
    <row r="15" customFormat="false" ht="15" hidden="false" customHeight="false" outlineLevel="0" collapsed="false">
      <c r="A15" s="9" t="s">
        <v>861</v>
      </c>
      <c r="B15" s="9" t="s">
        <v>862</v>
      </c>
      <c r="C15" s="9" t="s">
        <v>863</v>
      </c>
      <c r="D15" s="9" t="s">
        <v>864</v>
      </c>
      <c r="E15" s="9" t="s">
        <v>865</v>
      </c>
      <c r="F15" s="9" t="s">
        <v>829</v>
      </c>
    </row>
    <row r="16" customFormat="false" ht="15" hidden="false" customHeight="false" outlineLevel="0" collapsed="false">
      <c r="A16" s="9" t="s">
        <v>866</v>
      </c>
      <c r="B16" s="9" t="s">
        <v>867</v>
      </c>
      <c r="C16" s="9" t="s">
        <v>868</v>
      </c>
      <c r="D16" s="9" t="s">
        <v>869</v>
      </c>
      <c r="E16" s="9" t="s">
        <v>856</v>
      </c>
      <c r="F16" s="9" t="s">
        <v>829</v>
      </c>
    </row>
    <row r="17" customFormat="false" ht="15" hidden="false" customHeight="false" outlineLevel="0" collapsed="false">
      <c r="A17" s="9" t="s">
        <v>870</v>
      </c>
      <c r="B17" s="9" t="s">
        <v>871</v>
      </c>
      <c r="C17" s="9" t="s">
        <v>872</v>
      </c>
      <c r="D17" s="9" t="s">
        <v>873</v>
      </c>
      <c r="E17" s="9" t="s">
        <v>843</v>
      </c>
      <c r="F17" s="9" t="s">
        <v>829</v>
      </c>
    </row>
    <row r="18" customFormat="false" ht="15" hidden="false" customHeight="false" outlineLevel="0" collapsed="false">
      <c r="A18" s="9" t="s">
        <v>874</v>
      </c>
      <c r="B18" s="9" t="s">
        <v>875</v>
      </c>
      <c r="C18" s="9" t="s">
        <v>876</v>
      </c>
      <c r="D18" s="9" t="s">
        <v>877</v>
      </c>
      <c r="E18" s="9" t="s">
        <v>60</v>
      </c>
      <c r="F18" s="9" t="s">
        <v>829</v>
      </c>
    </row>
    <row r="19" customFormat="false" ht="15" hidden="false" customHeight="false" outlineLevel="0" collapsed="false">
      <c r="A19" s="9" t="s">
        <v>878</v>
      </c>
      <c r="B19" s="9" t="s">
        <v>879</v>
      </c>
      <c r="C19" s="9" t="s">
        <v>880</v>
      </c>
      <c r="D19" s="9" t="s">
        <v>881</v>
      </c>
      <c r="E19" s="9" t="s">
        <v>882</v>
      </c>
      <c r="F19" s="9" t="s">
        <v>829</v>
      </c>
    </row>
    <row r="20" customFormat="false" ht="15" hidden="false" customHeight="false" outlineLevel="0" collapsed="false">
      <c r="A20" s="9" t="s">
        <v>883</v>
      </c>
      <c r="B20" s="9" t="s">
        <v>884</v>
      </c>
      <c r="C20" s="9" t="s">
        <v>885</v>
      </c>
      <c r="D20" s="9" t="s">
        <v>886</v>
      </c>
      <c r="E20" s="9" t="s">
        <v>887</v>
      </c>
      <c r="F20" s="9" t="s">
        <v>829</v>
      </c>
    </row>
    <row r="21" customFormat="false" ht="15" hidden="false" customHeight="false" outlineLevel="0" collapsed="false">
      <c r="A21" s="9" t="s">
        <v>888</v>
      </c>
      <c r="B21" s="9" t="s">
        <v>889</v>
      </c>
      <c r="C21" s="9" t="s">
        <v>890</v>
      </c>
      <c r="D21" s="9" t="s">
        <v>891</v>
      </c>
      <c r="E21" s="9" t="s">
        <v>892</v>
      </c>
      <c r="F21" s="9" t="s">
        <v>829</v>
      </c>
    </row>
    <row r="22" customFormat="false" ht="15" hidden="false" customHeight="false" outlineLevel="0" collapsed="false">
      <c r="A22" s="14" t="s">
        <v>893</v>
      </c>
      <c r="B22" s="14" t="s">
        <v>894</v>
      </c>
      <c r="C22" s="14" t="s">
        <v>895</v>
      </c>
      <c r="D22" s="14" t="s">
        <v>896</v>
      </c>
      <c r="E22" s="14" t="s">
        <v>60</v>
      </c>
      <c r="F22" s="14" t="s">
        <v>829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7" min="6" style="0" width="20"/>
  </cols>
  <sheetData>
    <row r="2" customFormat="false" ht="24" hidden="false" customHeight="true" outlineLevel="0" collapsed="false">
      <c r="A2" s="1" t="s">
        <v>897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898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820</v>
      </c>
      <c r="B6" s="6" t="s">
        <v>899</v>
      </c>
      <c r="C6" s="6" t="s">
        <v>900</v>
      </c>
      <c r="D6" s="6" t="s">
        <v>901</v>
      </c>
      <c r="E6" s="6" t="s">
        <v>902</v>
      </c>
      <c r="F6" s="6" t="s">
        <v>903</v>
      </c>
      <c r="G6" s="7" t="s">
        <v>904</v>
      </c>
    </row>
    <row r="7" customFormat="false" ht="15" hidden="false" customHeight="false" outlineLevel="0" collapsed="false">
      <c r="A7" s="8" t="s">
        <v>905</v>
      </c>
      <c r="B7" s="8" t="s">
        <v>906</v>
      </c>
      <c r="C7" s="61" t="n">
        <v>6</v>
      </c>
      <c r="D7" s="61" t="n">
        <v>5</v>
      </c>
      <c r="E7" s="61" t="n">
        <v>1</v>
      </c>
      <c r="F7" s="62" t="s">
        <v>907</v>
      </c>
      <c r="G7" s="62" t="s">
        <v>907</v>
      </c>
    </row>
    <row r="8" customFormat="false" ht="15" hidden="false" customHeight="false" outlineLevel="0" collapsed="false">
      <c r="A8" s="9" t="s">
        <v>908</v>
      </c>
      <c r="B8" s="9" t="s">
        <v>909</v>
      </c>
      <c r="C8" s="10" t="n">
        <v>6</v>
      </c>
      <c r="D8" s="10" t="n">
        <v>5</v>
      </c>
      <c r="E8" s="10" t="n">
        <v>1</v>
      </c>
      <c r="F8" s="63" t="s">
        <v>907</v>
      </c>
      <c r="G8" s="63" t="s">
        <v>907</v>
      </c>
    </row>
    <row r="9" customFormat="false" ht="15" hidden="false" customHeight="false" outlineLevel="0" collapsed="false">
      <c r="A9" s="9" t="s">
        <v>910</v>
      </c>
      <c r="B9" s="9" t="s">
        <v>911</v>
      </c>
      <c r="C9" s="10" t="n">
        <v>4</v>
      </c>
      <c r="D9" s="10" t="n">
        <v>3</v>
      </c>
      <c r="E9" s="10" t="n">
        <v>1</v>
      </c>
      <c r="F9" s="63" t="s">
        <v>907</v>
      </c>
      <c r="G9" s="63" t="s">
        <v>907</v>
      </c>
    </row>
    <row r="10" customFormat="false" ht="15" hidden="false" customHeight="false" outlineLevel="0" collapsed="false">
      <c r="A10" s="9" t="s">
        <v>912</v>
      </c>
      <c r="B10" s="9" t="s">
        <v>913</v>
      </c>
      <c r="C10" s="10" t="n">
        <v>144</v>
      </c>
      <c r="D10" s="10" t="n">
        <v>143</v>
      </c>
      <c r="E10" s="10" t="n">
        <v>1</v>
      </c>
      <c r="F10" s="63" t="s">
        <v>907</v>
      </c>
      <c r="G10" s="63" t="s">
        <v>907</v>
      </c>
    </row>
    <row r="11" customFormat="false" ht="15" hidden="false" customHeight="false" outlineLevel="0" collapsed="false">
      <c r="A11" s="9" t="s">
        <v>914</v>
      </c>
      <c r="B11" s="9" t="s">
        <v>915</v>
      </c>
      <c r="C11" s="10" t="n">
        <v>8</v>
      </c>
      <c r="D11" s="10" t="n">
        <v>7</v>
      </c>
      <c r="E11" s="10" t="n">
        <v>1</v>
      </c>
      <c r="F11" s="63" t="s">
        <v>907</v>
      </c>
      <c r="G11" s="63" t="s">
        <v>907</v>
      </c>
    </row>
    <row r="12" customFormat="false" ht="15" hidden="false" customHeight="false" outlineLevel="0" collapsed="false">
      <c r="A12" s="9" t="s">
        <v>916</v>
      </c>
      <c r="B12" s="9" t="s">
        <v>917</v>
      </c>
      <c r="C12" s="10" t="n">
        <v>48</v>
      </c>
      <c r="D12" s="10" t="n">
        <v>47</v>
      </c>
      <c r="E12" s="10" t="n">
        <v>1</v>
      </c>
      <c r="F12" s="63" t="s">
        <v>907</v>
      </c>
      <c r="G12" s="63" t="s">
        <v>907</v>
      </c>
    </row>
    <row r="13" customFormat="false" ht="15" hidden="false" customHeight="false" outlineLevel="0" collapsed="false">
      <c r="A13" s="9" t="s">
        <v>918</v>
      </c>
      <c r="B13" s="9" t="s">
        <v>919</v>
      </c>
      <c r="C13" s="10" t="n">
        <v>12</v>
      </c>
      <c r="D13" s="10" t="n">
        <v>11</v>
      </c>
      <c r="E13" s="10" t="n">
        <v>1</v>
      </c>
      <c r="F13" s="63" t="s">
        <v>907</v>
      </c>
      <c r="G13" s="63" t="s">
        <v>907</v>
      </c>
    </row>
    <row r="14" customFormat="false" ht="15" hidden="false" customHeight="false" outlineLevel="0" collapsed="false">
      <c r="A14" s="9" t="s">
        <v>920</v>
      </c>
      <c r="B14" s="9" t="s">
        <v>921</v>
      </c>
      <c r="C14" s="10" t="n">
        <v>72</v>
      </c>
      <c r="D14" s="10" t="n">
        <v>71</v>
      </c>
      <c r="E14" s="10" t="n">
        <v>1</v>
      </c>
      <c r="F14" s="63" t="s">
        <v>907</v>
      </c>
      <c r="G14" s="63" t="s">
        <v>907</v>
      </c>
    </row>
    <row r="15" customFormat="false" ht="15" hidden="false" customHeight="false" outlineLevel="0" collapsed="false">
      <c r="A15" s="9" t="s">
        <v>922</v>
      </c>
      <c r="B15" s="9" t="s">
        <v>923</v>
      </c>
      <c r="C15" s="10" t="n">
        <v>6</v>
      </c>
      <c r="D15" s="10" t="n">
        <v>5</v>
      </c>
      <c r="E15" s="10" t="n">
        <v>1</v>
      </c>
      <c r="F15" s="63" t="s">
        <v>907</v>
      </c>
      <c r="G15" s="63" t="s">
        <v>907</v>
      </c>
    </row>
    <row r="16" customFormat="false" ht="15" hidden="false" customHeight="false" outlineLevel="0" collapsed="false">
      <c r="A16" s="9" t="s">
        <v>924</v>
      </c>
      <c r="B16" s="9" t="s">
        <v>925</v>
      </c>
      <c r="C16" s="10" t="n">
        <v>6</v>
      </c>
      <c r="D16" s="10" t="n">
        <v>5</v>
      </c>
      <c r="E16" s="10" t="n">
        <v>1</v>
      </c>
      <c r="F16" s="63" t="s">
        <v>907</v>
      </c>
      <c r="G16" s="63" t="s">
        <v>907</v>
      </c>
    </row>
    <row r="17" customFormat="false" ht="15" hidden="false" customHeight="false" outlineLevel="0" collapsed="false">
      <c r="A17" s="9" t="s">
        <v>926</v>
      </c>
      <c r="B17" s="9" t="s">
        <v>927</v>
      </c>
      <c r="C17" s="10" t="n">
        <v>12</v>
      </c>
      <c r="D17" s="10" t="n">
        <v>11</v>
      </c>
      <c r="E17" s="10" t="n">
        <v>1</v>
      </c>
      <c r="F17" s="63" t="s">
        <v>907</v>
      </c>
      <c r="G17" s="63" t="s">
        <v>907</v>
      </c>
    </row>
    <row r="18" customFormat="false" ht="15" hidden="false" customHeight="false" outlineLevel="0" collapsed="false">
      <c r="A18" s="9" t="s">
        <v>928</v>
      </c>
      <c r="B18" s="9" t="s">
        <v>929</v>
      </c>
      <c r="C18" s="10" t="n">
        <v>3.58691281932057</v>
      </c>
      <c r="D18" s="10" t="n">
        <v>4</v>
      </c>
      <c r="E18" s="10" t="n">
        <v>1</v>
      </c>
      <c r="F18" s="63" t="s">
        <v>907</v>
      </c>
      <c r="G18" s="63" t="s">
        <v>907</v>
      </c>
    </row>
    <row r="19" customFormat="false" ht="15" hidden="false" customHeight="false" outlineLevel="0" collapsed="false">
      <c r="A19" s="9" t="s">
        <v>930</v>
      </c>
      <c r="B19" s="9" t="s">
        <v>931</v>
      </c>
      <c r="C19" s="10" t="n">
        <v>0.15</v>
      </c>
      <c r="D19" s="10" t="n">
        <v>0.14</v>
      </c>
      <c r="E19" s="10" t="n">
        <v>3</v>
      </c>
      <c r="F19" s="63" t="s">
        <v>907</v>
      </c>
      <c r="G19" s="63" t="s">
        <v>907</v>
      </c>
    </row>
    <row r="20" customFormat="false" ht="15" hidden="false" customHeight="false" outlineLevel="0" collapsed="false">
      <c r="A20" s="9" t="s">
        <v>932</v>
      </c>
      <c r="B20" s="9" t="s">
        <v>933</v>
      </c>
      <c r="C20" s="10" t="n">
        <v>0.538036922898085</v>
      </c>
      <c r="D20" s="10" t="n">
        <v>0.5</v>
      </c>
      <c r="E20" s="10" t="n">
        <v>1</v>
      </c>
      <c r="F20" s="63" t="s">
        <v>907</v>
      </c>
      <c r="G20" s="63" t="s">
        <v>907</v>
      </c>
    </row>
    <row r="21" customFormat="false" ht="15" hidden="false" customHeight="false" outlineLevel="0" collapsed="false">
      <c r="A21" s="9" t="s">
        <v>934</v>
      </c>
      <c r="B21" s="9" t="s">
        <v>935</v>
      </c>
      <c r="C21" s="10" t="n">
        <v>0.85</v>
      </c>
      <c r="D21" s="10" t="n">
        <v>0.84</v>
      </c>
      <c r="E21" s="10" t="n">
        <v>2</v>
      </c>
      <c r="F21" s="63" t="s">
        <v>907</v>
      </c>
      <c r="G21" s="63" t="s">
        <v>907</v>
      </c>
    </row>
    <row r="22" customFormat="false" ht="15" hidden="false" customHeight="false" outlineLevel="0" collapsed="false">
      <c r="A22" s="9" t="s">
        <v>936</v>
      </c>
      <c r="B22" s="9" t="s">
        <v>937</v>
      </c>
      <c r="C22" s="10" t="n">
        <v>5</v>
      </c>
      <c r="D22" s="10" t="n">
        <v>4</v>
      </c>
      <c r="E22" s="10" t="n">
        <v>1</v>
      </c>
      <c r="F22" s="63" t="s">
        <v>907</v>
      </c>
      <c r="G22" s="63" t="s">
        <v>907</v>
      </c>
    </row>
    <row r="23" customFormat="false" ht="15" hidden="false" customHeight="false" outlineLevel="0" collapsed="false">
      <c r="A23" s="9" t="s">
        <v>938</v>
      </c>
      <c r="B23" s="9" t="s">
        <v>939</v>
      </c>
      <c r="C23" s="10" t="n">
        <v>30</v>
      </c>
      <c r="D23" s="10" t="n">
        <v>29</v>
      </c>
      <c r="E23" s="10" t="n">
        <v>1</v>
      </c>
      <c r="F23" s="63" t="s">
        <v>907</v>
      </c>
      <c r="G23" s="63" t="s">
        <v>907</v>
      </c>
    </row>
    <row r="24" customFormat="false" ht="15" hidden="false" customHeight="false" outlineLevel="0" collapsed="false">
      <c r="A24" s="9" t="s">
        <v>940</v>
      </c>
      <c r="B24" s="9" t="s">
        <v>941</v>
      </c>
      <c r="C24" s="10" t="n">
        <v>24</v>
      </c>
      <c r="D24" s="10" t="n">
        <v>23</v>
      </c>
      <c r="E24" s="10" t="n">
        <v>1</v>
      </c>
      <c r="F24" s="63" t="s">
        <v>907</v>
      </c>
      <c r="G24" s="63" t="s">
        <v>907</v>
      </c>
    </row>
    <row r="25" customFormat="false" ht="15" hidden="false" customHeight="false" outlineLevel="0" collapsed="false">
      <c r="A25" s="9" t="s">
        <v>942</v>
      </c>
      <c r="B25" s="9" t="s">
        <v>943</v>
      </c>
      <c r="C25" s="10" t="n">
        <v>182</v>
      </c>
      <c r="D25" s="10" t="n">
        <v>181</v>
      </c>
      <c r="E25" s="10" t="n">
        <v>1</v>
      </c>
      <c r="F25" s="63" t="s">
        <v>907</v>
      </c>
      <c r="G25" s="63" t="s">
        <v>907</v>
      </c>
    </row>
    <row r="26" customFormat="false" ht="15" hidden="false" customHeight="false" outlineLevel="0" collapsed="false">
      <c r="A26" s="14" t="s">
        <v>944</v>
      </c>
      <c r="B26" s="14" t="s">
        <v>945</v>
      </c>
      <c r="C26" s="15" t="n">
        <v>0</v>
      </c>
      <c r="D26" s="15" t="n">
        <v>1</v>
      </c>
      <c r="E26" s="15" t="n">
        <v>1</v>
      </c>
      <c r="F26" s="64" t="s">
        <v>907</v>
      </c>
      <c r="G26" s="64" t="s">
        <v>907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3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946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947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948</v>
      </c>
      <c r="B6" s="6" t="s">
        <v>84</v>
      </c>
      <c r="C6" s="6" t="s">
        <v>949</v>
      </c>
      <c r="D6" s="6" t="s">
        <v>950</v>
      </c>
      <c r="E6" s="7" t="s">
        <v>5</v>
      </c>
    </row>
    <row r="7" customFormat="false" ht="15" hidden="false" customHeight="false" outlineLevel="0" collapsed="false">
      <c r="A7" s="8" t="s">
        <v>951</v>
      </c>
      <c r="B7" s="65" t="n">
        <f aca="false">Controls!B7</f>
        <v>6</v>
      </c>
      <c r="C7" s="66" t="n">
        <v>6</v>
      </c>
      <c r="D7" s="65" t="n">
        <f aca="false">B7-C7</f>
        <v>0</v>
      </c>
      <c r="E7" s="20" t="str">
        <f aca="false">IF(ABS(D7)&lt;0.000001,"PASS","FAIL")</f>
        <v>PASS</v>
      </c>
    </row>
    <row r="8" customFormat="false" ht="15" hidden="false" customHeight="false" outlineLevel="0" collapsed="false">
      <c r="A8" s="9" t="s">
        <v>952</v>
      </c>
      <c r="B8" s="67" t="n">
        <f aca="false">Controls!B8</f>
        <v>6</v>
      </c>
      <c r="C8" s="68" t="n">
        <v>6</v>
      </c>
      <c r="D8" s="67" t="n">
        <f aca="false">B8-C8</f>
        <v>0</v>
      </c>
      <c r="E8" s="21" t="str">
        <f aca="false">IF(ABS(D8)&lt;0.000001,"PASS","FAIL")</f>
        <v>PASS</v>
      </c>
    </row>
    <row r="9" customFormat="false" ht="15" hidden="false" customHeight="false" outlineLevel="0" collapsed="false">
      <c r="A9" s="9" t="s">
        <v>953</v>
      </c>
      <c r="B9" s="67" t="n">
        <f aca="false">Controls!B9</f>
        <v>4</v>
      </c>
      <c r="C9" s="68" t="n">
        <v>4</v>
      </c>
      <c r="D9" s="67" t="n">
        <f aca="false">B9-C9</f>
        <v>0</v>
      </c>
      <c r="E9" s="21" t="str">
        <f aca="false">IF(ABS(D9)&lt;0.000001,"PASS","FAIL")</f>
        <v>PASS</v>
      </c>
    </row>
    <row r="10" customFormat="false" ht="15" hidden="false" customHeight="false" outlineLevel="0" collapsed="false">
      <c r="A10" s="9" t="s">
        <v>954</v>
      </c>
      <c r="B10" s="67" t="n">
        <f aca="false">Controls!B10</f>
        <v>144</v>
      </c>
      <c r="C10" s="68" t="n">
        <v>144</v>
      </c>
      <c r="D10" s="67" t="n">
        <f aca="false">B10-C10</f>
        <v>0</v>
      </c>
      <c r="E10" s="21" t="str">
        <f aca="false">IF(ABS(D10)&lt;0.000001,"PASS","FAIL")</f>
        <v>PASS</v>
      </c>
    </row>
    <row r="11" customFormat="false" ht="15" hidden="false" customHeight="false" outlineLevel="0" collapsed="false">
      <c r="A11" s="9" t="s">
        <v>955</v>
      </c>
      <c r="B11" s="67" t="n">
        <f aca="false">Controls!B11</f>
        <v>8</v>
      </c>
      <c r="C11" s="68" t="n">
        <v>8</v>
      </c>
      <c r="D11" s="67" t="n">
        <f aca="false">B11-C11</f>
        <v>0</v>
      </c>
      <c r="E11" s="21" t="str">
        <f aca="false">IF(ABS(D11)&lt;0.000001,"PASS","FAIL")</f>
        <v>PASS</v>
      </c>
    </row>
    <row r="12" customFormat="false" ht="15" hidden="false" customHeight="false" outlineLevel="0" collapsed="false">
      <c r="A12" s="9" t="s">
        <v>956</v>
      </c>
      <c r="B12" s="67" t="n">
        <f aca="false">Controls!B12</f>
        <v>48</v>
      </c>
      <c r="C12" s="68" t="n">
        <v>48</v>
      </c>
      <c r="D12" s="67" t="n">
        <f aca="false">B12-C12</f>
        <v>0</v>
      </c>
      <c r="E12" s="21" t="str">
        <f aca="false">IF(ABS(D12)&lt;0.000001,"PASS","FAIL")</f>
        <v>PASS</v>
      </c>
    </row>
    <row r="13" customFormat="false" ht="15" hidden="false" customHeight="false" outlineLevel="0" collapsed="false">
      <c r="A13" s="9" t="s">
        <v>957</v>
      </c>
      <c r="B13" s="67" t="n">
        <f aca="false">Controls!B13</f>
        <v>12</v>
      </c>
      <c r="C13" s="68" t="n">
        <v>12</v>
      </c>
      <c r="D13" s="67" t="n">
        <f aca="false">B13-C13</f>
        <v>0</v>
      </c>
      <c r="E13" s="21" t="str">
        <f aca="false">IF(ABS(D13)&lt;0.000001,"PASS","FAIL")</f>
        <v>PASS</v>
      </c>
    </row>
    <row r="14" customFormat="false" ht="15" hidden="false" customHeight="false" outlineLevel="0" collapsed="false">
      <c r="A14" s="9" t="s">
        <v>958</v>
      </c>
      <c r="B14" s="67" t="n">
        <f aca="false">Controls!B14</f>
        <v>72</v>
      </c>
      <c r="C14" s="68" t="n">
        <v>72</v>
      </c>
      <c r="D14" s="67" t="n">
        <f aca="false">B14-C14</f>
        <v>0</v>
      </c>
      <c r="E14" s="21" t="str">
        <f aca="false">IF(ABS(D14)&lt;0.000001,"PASS","FAIL")</f>
        <v>PASS</v>
      </c>
    </row>
    <row r="15" customFormat="false" ht="15" hidden="false" customHeight="false" outlineLevel="0" collapsed="false">
      <c r="A15" s="9" t="s">
        <v>959</v>
      </c>
      <c r="B15" s="67" t="n">
        <f aca="false">Controls!B15</f>
        <v>6</v>
      </c>
      <c r="C15" s="68" t="n">
        <v>6</v>
      </c>
      <c r="D15" s="67" t="n">
        <f aca="false">B15-C15</f>
        <v>0</v>
      </c>
      <c r="E15" s="21" t="str">
        <f aca="false">IF(ABS(D15)&lt;0.000001,"PASS","FAIL")</f>
        <v>PASS</v>
      </c>
    </row>
    <row r="16" customFormat="false" ht="15" hidden="false" customHeight="false" outlineLevel="0" collapsed="false">
      <c r="A16" s="9" t="s">
        <v>960</v>
      </c>
      <c r="B16" s="67" t="n">
        <f aca="false">Controls!B16</f>
        <v>6</v>
      </c>
      <c r="C16" s="68" t="n">
        <v>6</v>
      </c>
      <c r="D16" s="67" t="n">
        <f aca="false">B16-C16</f>
        <v>0</v>
      </c>
      <c r="E16" s="21" t="str">
        <f aca="false">IF(ABS(D16)&lt;0.000001,"PASS","FAIL")</f>
        <v>PASS</v>
      </c>
    </row>
    <row r="17" customFormat="false" ht="15" hidden="false" customHeight="false" outlineLevel="0" collapsed="false">
      <c r="A17" s="9" t="s">
        <v>961</v>
      </c>
      <c r="B17" s="67" t="n">
        <f aca="false">Controls!B17</f>
        <v>12</v>
      </c>
      <c r="C17" s="68" t="n">
        <v>12</v>
      </c>
      <c r="D17" s="67" t="n">
        <f aca="false">B17-C17</f>
        <v>0</v>
      </c>
      <c r="E17" s="21" t="str">
        <f aca="false">IF(ABS(D17)&lt;0.000001,"PASS","FAIL")</f>
        <v>PASS</v>
      </c>
    </row>
    <row r="18" customFormat="false" ht="15" hidden="false" customHeight="false" outlineLevel="0" collapsed="false">
      <c r="A18" s="9" t="s">
        <v>962</v>
      </c>
      <c r="B18" s="67" t="n">
        <f aca="false">Controls!B18</f>
        <v>3.58691281932057</v>
      </c>
      <c r="C18" s="68" t="n">
        <v>3.58691281932057</v>
      </c>
      <c r="D18" s="67" t="n">
        <f aca="false">B18-C18</f>
        <v>0</v>
      </c>
      <c r="E18" s="21" t="str">
        <f aca="false">IF(ABS(D18)&lt;0.000001,"PASS","FAIL")</f>
        <v>PASS</v>
      </c>
    </row>
    <row r="19" customFormat="false" ht="15" hidden="false" customHeight="false" outlineLevel="0" collapsed="false">
      <c r="A19" s="9" t="s">
        <v>963</v>
      </c>
      <c r="B19" s="67" t="n">
        <f aca="false">Controls!B19</f>
        <v>0.15</v>
      </c>
      <c r="C19" s="68" t="n">
        <v>0.15</v>
      </c>
      <c r="D19" s="67" t="n">
        <f aca="false">B19-C19</f>
        <v>0</v>
      </c>
      <c r="E19" s="21" t="str">
        <f aca="false">IF(ABS(D19)&lt;0.000001,"PASS","FAIL")</f>
        <v>PASS</v>
      </c>
    </row>
    <row r="20" customFormat="false" ht="15" hidden="false" customHeight="false" outlineLevel="0" collapsed="false">
      <c r="A20" s="9" t="s">
        <v>964</v>
      </c>
      <c r="B20" s="67" t="n">
        <f aca="false">Controls!B20</f>
        <v>0.538036922898085</v>
      </c>
      <c r="C20" s="68" t="n">
        <v>0.538036922898085</v>
      </c>
      <c r="D20" s="67" t="n">
        <f aca="false">B20-C20</f>
        <v>0</v>
      </c>
      <c r="E20" s="21" t="str">
        <f aca="false">IF(ABS(D20)&lt;0.000001,"PASS","FAIL")</f>
        <v>PASS</v>
      </c>
    </row>
    <row r="21" customFormat="false" ht="15" hidden="false" customHeight="false" outlineLevel="0" collapsed="false">
      <c r="A21" s="9" t="s">
        <v>965</v>
      </c>
      <c r="B21" s="67" t="n">
        <f aca="false">Controls!B21</f>
        <v>0.85</v>
      </c>
      <c r="C21" s="68" t="n">
        <v>0.85</v>
      </c>
      <c r="D21" s="67" t="n">
        <f aca="false">B21-C21</f>
        <v>0</v>
      </c>
      <c r="E21" s="21" t="str">
        <f aca="false">IF(ABS(D21)&lt;0.000001,"PASS","FAIL")</f>
        <v>PASS</v>
      </c>
    </row>
    <row r="22" customFormat="false" ht="15" hidden="false" customHeight="false" outlineLevel="0" collapsed="false">
      <c r="A22" s="9" t="s">
        <v>966</v>
      </c>
      <c r="B22" s="67" t="n">
        <f aca="false">Controls!B22</f>
        <v>5</v>
      </c>
      <c r="C22" s="68" t="n">
        <v>5</v>
      </c>
      <c r="D22" s="67" t="n">
        <f aca="false">B22-C22</f>
        <v>0</v>
      </c>
      <c r="E22" s="21" t="str">
        <f aca="false">IF(ABS(D22)&lt;0.000001,"PASS","FAIL")</f>
        <v>PASS</v>
      </c>
    </row>
    <row r="23" customFormat="false" ht="15" hidden="false" customHeight="false" outlineLevel="0" collapsed="false">
      <c r="A23" s="9" t="s">
        <v>967</v>
      </c>
      <c r="B23" s="67" t="n">
        <f aca="false">Controls!B23</f>
        <v>30</v>
      </c>
      <c r="C23" s="68" t="n">
        <v>30</v>
      </c>
      <c r="D23" s="67" t="n">
        <f aca="false">B23-C23</f>
        <v>0</v>
      </c>
      <c r="E23" s="21" t="str">
        <f aca="false">IF(ABS(D23)&lt;0.000001,"PASS","FAIL")</f>
        <v>PASS</v>
      </c>
    </row>
    <row r="24" customFormat="false" ht="15" hidden="false" customHeight="false" outlineLevel="0" collapsed="false">
      <c r="A24" s="9" t="s">
        <v>968</v>
      </c>
      <c r="B24" s="67" t="n">
        <f aca="false">Controls!B24</f>
        <v>24</v>
      </c>
      <c r="C24" s="68" t="n">
        <v>24</v>
      </c>
      <c r="D24" s="67" t="n">
        <f aca="false">B24-C24</f>
        <v>0</v>
      </c>
      <c r="E24" s="21" t="str">
        <f aca="false">IF(ABS(D24)&lt;0.000001,"PASS","FAIL")</f>
        <v>PASS</v>
      </c>
    </row>
    <row r="25" customFormat="false" ht="15" hidden="false" customHeight="false" outlineLevel="0" collapsed="false">
      <c r="A25" s="9" t="s">
        <v>969</v>
      </c>
      <c r="B25" s="67" t="n">
        <f aca="false">Controls!B25</f>
        <v>182</v>
      </c>
      <c r="C25" s="68" t="n">
        <v>182</v>
      </c>
      <c r="D25" s="67" t="n">
        <f aca="false">B25-C25</f>
        <v>0</v>
      </c>
      <c r="E25" s="21" t="str">
        <f aca="false">IF(ABS(D25)&lt;0.000001,"PASS","FAIL")</f>
        <v>PASS</v>
      </c>
    </row>
    <row r="26" customFormat="false" ht="15" hidden="false" customHeight="false" outlineLevel="0" collapsed="false">
      <c r="A26" s="9" t="s">
        <v>970</v>
      </c>
      <c r="B26" s="67" t="n">
        <f aca="false">Controls!B26</f>
        <v>36</v>
      </c>
      <c r="C26" s="68" t="n">
        <v>36</v>
      </c>
      <c r="D26" s="67" t="n">
        <f aca="false">B26-C26</f>
        <v>0</v>
      </c>
      <c r="E26" s="21" t="str">
        <f aca="false">IF(ABS(D26)&lt;0.000001,"PASS","FAIL")</f>
        <v>PASS</v>
      </c>
    </row>
    <row r="27" customFormat="false" ht="15" hidden="false" customHeight="false" outlineLevel="0" collapsed="false">
      <c r="A27" s="9" t="s">
        <v>971</v>
      </c>
      <c r="B27" s="67" t="n">
        <f aca="false">Controls!B27</f>
        <v>72</v>
      </c>
      <c r="C27" s="68" t="n">
        <v>72</v>
      </c>
      <c r="D27" s="67" t="n">
        <f aca="false">B27-C27</f>
        <v>0</v>
      </c>
      <c r="E27" s="21" t="str">
        <f aca="false">IF(ABS(D27)&lt;0.000001,"PASS","FAIL")</f>
        <v>PASS</v>
      </c>
    </row>
    <row r="28" customFormat="false" ht="15" hidden="false" customHeight="false" outlineLevel="0" collapsed="false">
      <c r="A28" s="9" t="s">
        <v>972</v>
      </c>
      <c r="B28" s="67" t="n">
        <f aca="false">Controls!B28</f>
        <v>6</v>
      </c>
      <c r="C28" s="68" t="n">
        <v>6</v>
      </c>
      <c r="D28" s="67" t="n">
        <f aca="false">B28-C28</f>
        <v>0</v>
      </c>
      <c r="E28" s="21" t="str">
        <f aca="false">IF(ABS(D28)&lt;0.000001,"PASS","FAIL")</f>
        <v>PASS</v>
      </c>
    </row>
    <row r="29" customFormat="false" ht="15" hidden="false" customHeight="false" outlineLevel="0" collapsed="false">
      <c r="A29" s="9" t="s">
        <v>973</v>
      </c>
      <c r="B29" s="67" t="n">
        <f aca="false">Controls!B29</f>
        <v>0</v>
      </c>
      <c r="C29" s="68" t="n">
        <v>0</v>
      </c>
      <c r="D29" s="67" t="n">
        <f aca="false">B29-C29</f>
        <v>0</v>
      </c>
      <c r="E29" s="21" t="str">
        <f aca="false">IF(ABS(D29)&lt;0.000001,"PASS","FAIL")</f>
        <v>PASS</v>
      </c>
    </row>
    <row r="30" customFormat="false" ht="15" hidden="false" customHeight="false" outlineLevel="0" collapsed="false">
      <c r="A30" s="9" t="s">
        <v>974</v>
      </c>
      <c r="B30" s="67" t="n">
        <f aca="false">Controls!B30</f>
        <v>0</v>
      </c>
      <c r="C30" s="68" t="n">
        <v>0</v>
      </c>
      <c r="D30" s="67" t="n">
        <f aca="false">B30-C30</f>
        <v>0</v>
      </c>
      <c r="E30" s="21" t="str">
        <f aca="false">IF(ABS(D30)&lt;0.000001,"PASS","FAIL")</f>
        <v>PASS</v>
      </c>
    </row>
    <row r="31" customFormat="false" ht="15" hidden="false" customHeight="false" outlineLevel="0" collapsed="false">
      <c r="A31" s="9" t="s">
        <v>975</v>
      </c>
      <c r="B31" s="67" t="n">
        <f aca="false">Controls!B31</f>
        <v>0</v>
      </c>
      <c r="C31" s="68" t="n">
        <v>0</v>
      </c>
      <c r="D31" s="67" t="n">
        <f aca="false">B31-C31</f>
        <v>0</v>
      </c>
      <c r="E31" s="21" t="str">
        <f aca="false">IF(ABS(D31)&lt;0.000001,"PASS","FAIL")</f>
        <v>PASS</v>
      </c>
    </row>
    <row r="32" customFormat="false" ht="15" hidden="false" customHeight="false" outlineLevel="0" collapsed="false">
      <c r="A32" s="9" t="s">
        <v>976</v>
      </c>
      <c r="B32" s="67" t="n">
        <f aca="false">Controls!B32</f>
        <v>0</v>
      </c>
      <c r="C32" s="68" t="n">
        <v>0</v>
      </c>
      <c r="D32" s="67" t="n">
        <f aca="false">B32-C32</f>
        <v>0</v>
      </c>
      <c r="E32" s="21" t="str">
        <f aca="false">IF(ABS(D32)&lt;0.000001,"PASS","FAIL")</f>
        <v>PASS</v>
      </c>
    </row>
    <row r="33" customFormat="false" ht="15" hidden="false" customHeight="false" outlineLevel="0" collapsed="false">
      <c r="A33" s="9" t="s">
        <v>977</v>
      </c>
      <c r="B33" s="67" t="n">
        <f aca="false">Controls!B33</f>
        <v>0</v>
      </c>
      <c r="C33" s="68" t="n">
        <v>0</v>
      </c>
      <c r="D33" s="67" t="n">
        <f aca="false">B33-C33</f>
        <v>0</v>
      </c>
      <c r="E33" s="21" t="str">
        <f aca="false">IF(ABS(D33)&lt;0.000001,"PASS","FAIL")</f>
        <v>PASS</v>
      </c>
    </row>
    <row r="34" customFormat="false" ht="15" hidden="false" customHeight="false" outlineLevel="0" collapsed="false">
      <c r="A34" s="9" t="s">
        <v>978</v>
      </c>
      <c r="B34" s="67" t="n">
        <f aca="false">Controls!B34</f>
        <v>0</v>
      </c>
      <c r="C34" s="68" t="n">
        <v>0</v>
      </c>
      <c r="D34" s="67" t="n">
        <f aca="false">B34-C34</f>
        <v>0</v>
      </c>
      <c r="E34" s="21" t="str">
        <f aca="false">IF(ABS(D34)&lt;0.000001,"PASS","FAIL")</f>
        <v>PASS</v>
      </c>
    </row>
    <row r="35" customFormat="false" ht="15" hidden="false" customHeight="false" outlineLevel="0" collapsed="false">
      <c r="A35" s="9" t="s">
        <v>979</v>
      </c>
      <c r="B35" s="67" t="n">
        <f aca="false">Controls!B35</f>
        <v>0</v>
      </c>
      <c r="C35" s="68" t="n">
        <v>0</v>
      </c>
      <c r="D35" s="67" t="n">
        <f aca="false">B35-C35</f>
        <v>0</v>
      </c>
      <c r="E35" s="21" t="str">
        <f aca="false">IF(ABS(D35)&lt;0.000001,"PASS","FAIL")</f>
        <v>PASS</v>
      </c>
    </row>
    <row r="36" customFormat="false" ht="15" hidden="false" customHeight="false" outlineLevel="0" collapsed="false">
      <c r="A36" s="9" t="s">
        <v>980</v>
      </c>
      <c r="B36" s="67" t="n">
        <f aca="false">Controls!B36</f>
        <v>0</v>
      </c>
      <c r="C36" s="68" t="n">
        <v>0</v>
      </c>
      <c r="D36" s="67" t="n">
        <f aca="false">B36-C36</f>
        <v>0</v>
      </c>
      <c r="E36" s="21" t="str">
        <f aca="false">IF(ABS(D36)&lt;0.000001,"PASS","FAIL")</f>
        <v>PASS</v>
      </c>
    </row>
    <row r="37" customFormat="false" ht="15" hidden="false" customHeight="false" outlineLevel="0" collapsed="false">
      <c r="A37" s="9" t="s">
        <v>981</v>
      </c>
      <c r="B37" s="67" t="n">
        <f aca="false">Controls!B37</f>
        <v>0</v>
      </c>
      <c r="C37" s="68" t="n">
        <v>0</v>
      </c>
      <c r="D37" s="67" t="n">
        <f aca="false">B37-C37</f>
        <v>0</v>
      </c>
      <c r="E37" s="21" t="str">
        <f aca="false">IF(ABS(D37)&lt;0.000001,"PASS","FAIL")</f>
        <v>PASS</v>
      </c>
    </row>
    <row r="38" customFormat="false" ht="15" hidden="false" customHeight="false" outlineLevel="0" collapsed="false">
      <c r="A38" s="9" t="s">
        <v>10</v>
      </c>
      <c r="B38" s="67" t="n">
        <f aca="false">COUNTIFS(Alternatives!P7:P12,"SELECT")</f>
        <v>1</v>
      </c>
      <c r="C38" s="68" t="n">
        <v>1</v>
      </c>
      <c r="D38" s="67" t="n">
        <f aca="false">B38-C38</f>
        <v>0</v>
      </c>
      <c r="E38" s="21" t="str">
        <f aca="false">IF(ABS(D38)&lt;0.000001,"PASS","FAIL")</f>
        <v>PASS</v>
      </c>
    </row>
    <row r="39" customFormat="false" ht="15" hidden="false" customHeight="false" outlineLevel="0" collapsed="false">
      <c r="A39" s="9" t="s">
        <v>982</v>
      </c>
      <c r="B39" s="67" t="n">
        <f aca="false">COUNTIFS(Alternatives!P7:P12,"REJECT")</f>
        <v>5</v>
      </c>
      <c r="C39" s="68" t="n">
        <v>5</v>
      </c>
      <c r="D39" s="67" t="n">
        <f aca="false">B39-C39</f>
        <v>0</v>
      </c>
      <c r="E39" s="21" t="str">
        <f aca="false">IF(ABS(D39)&lt;0.000001,"PASS","FAIL")</f>
        <v>PASS</v>
      </c>
    </row>
    <row r="40" customFormat="false" ht="15" hidden="false" customHeight="false" outlineLevel="0" collapsed="false">
      <c r="A40" s="9" t="s">
        <v>85</v>
      </c>
      <c r="B40" s="67" t="n">
        <f aca="false">COUNTA('Root Lanes'!A7:A12)</f>
        <v>6</v>
      </c>
      <c r="C40" s="68" t="n">
        <v>6</v>
      </c>
      <c r="D40" s="67" t="n">
        <f aca="false">B40-C40</f>
        <v>0</v>
      </c>
      <c r="E40" s="21" t="str">
        <f aca="false">IF(ABS(D40)&lt;0.000001,"PASS","FAIL")</f>
        <v>PASS</v>
      </c>
    </row>
    <row r="41" customFormat="false" ht="15" hidden="false" customHeight="false" outlineLevel="0" collapsed="false">
      <c r="A41" s="9" t="s">
        <v>983</v>
      </c>
      <c r="B41" s="67" t="n">
        <f aca="false">COUNTA('Section Grammar'!A7:A12)</f>
        <v>6</v>
      </c>
      <c r="C41" s="68" t="n">
        <v>6</v>
      </c>
      <c r="D41" s="67" t="n">
        <f aca="false">B41-C41</f>
        <v>0</v>
      </c>
      <c r="E41" s="21" t="str">
        <f aca="false">IF(ABS(D41)&lt;0.000001,"PASS","FAIL")</f>
        <v>PASS</v>
      </c>
    </row>
    <row r="42" customFormat="false" ht="15" hidden="false" customHeight="false" outlineLevel="0" collapsed="false">
      <c r="A42" s="9" t="s">
        <v>984</v>
      </c>
      <c r="B42" s="67" t="n">
        <f aca="false">COUNTA(Worlds!A7:A10)</f>
        <v>4</v>
      </c>
      <c r="C42" s="68" t="n">
        <v>4</v>
      </c>
      <c r="D42" s="67" t="n">
        <f aca="false">B42-C42</f>
        <v>0</v>
      </c>
      <c r="E42" s="21" t="str">
        <f aca="false">IF(ABS(D42)&lt;0.000001,"PASS","FAIL")</f>
        <v>PASS</v>
      </c>
    </row>
    <row r="43" customFormat="false" ht="15" hidden="false" customHeight="false" outlineLevel="0" collapsed="false">
      <c r="A43" s="9" t="s">
        <v>985</v>
      </c>
      <c r="B43" s="67" t="n">
        <f aca="false">COUNTA('Closure Matrix'!A7:A150)</f>
        <v>144</v>
      </c>
      <c r="C43" s="68" t="n">
        <v>144</v>
      </c>
      <c r="D43" s="67" t="n">
        <f aca="false">B43-C43</f>
        <v>0</v>
      </c>
      <c r="E43" s="21" t="str">
        <f aca="false">IF(ABS(D43)&lt;0.000001,"PASS","FAIL")</f>
        <v>PASS</v>
      </c>
    </row>
    <row r="44" customFormat="false" ht="15" hidden="false" customHeight="false" outlineLevel="0" collapsed="false">
      <c r="A44" s="9" t="s">
        <v>986</v>
      </c>
      <c r="B44" s="67" t="n">
        <f aca="false">COUNTIFS('Closure Matrix'!M7:M150,"OPEN")</f>
        <v>144</v>
      </c>
      <c r="C44" s="68" t="n">
        <v>144</v>
      </c>
      <c r="D44" s="67" t="n">
        <f aca="false">B44-C44</f>
        <v>0</v>
      </c>
      <c r="E44" s="21" t="str">
        <f aca="false">IF(ABS(D44)&lt;0.000001,"PASS","FAIL")</f>
        <v>PASS</v>
      </c>
    </row>
    <row r="45" customFormat="false" ht="15" hidden="false" customHeight="false" outlineLevel="0" collapsed="false">
      <c r="A45" s="9" t="s">
        <v>987</v>
      </c>
      <c r="B45" s="67" t="n">
        <f aca="false">COUNTIFS('Closure Matrix'!I7:I150,"SOURCE EMPTY")</f>
        <v>144</v>
      </c>
      <c r="C45" s="68" t="n">
        <v>144</v>
      </c>
      <c r="D45" s="67" t="n">
        <f aca="false">B45-C45</f>
        <v>0</v>
      </c>
      <c r="E45" s="21" t="str">
        <f aca="false">IF(ABS(D45)&lt;0.000001,"PASS","FAIL")</f>
        <v>PASS</v>
      </c>
    </row>
    <row r="46" customFormat="false" ht="15" hidden="false" customHeight="false" outlineLevel="0" collapsed="false">
      <c r="A46" s="9" t="s">
        <v>988</v>
      </c>
      <c r="B46" s="67" t="n">
        <f aca="false">COUNTIFS('Closure Matrix'!J7:J150,"SOURCE EMPTY")</f>
        <v>144</v>
      </c>
      <c r="C46" s="68" t="n">
        <v>144</v>
      </c>
      <c r="D46" s="67" t="n">
        <f aca="false">B46-C46</f>
        <v>0</v>
      </c>
      <c r="E46" s="21" t="str">
        <f aca="false">IF(ABS(D46)&lt;0.000001,"PASS","FAIL")</f>
        <v>PASS</v>
      </c>
    </row>
    <row r="47" customFormat="false" ht="15" hidden="false" customHeight="false" outlineLevel="0" collapsed="false">
      <c r="A47" s="9" t="s">
        <v>989</v>
      </c>
      <c r="B47" s="67" t="n">
        <f aca="false">SUM('Closure Matrix'!K7:K150)</f>
        <v>0</v>
      </c>
      <c r="C47" s="68" t="n">
        <v>0</v>
      </c>
      <c r="D47" s="67" t="n">
        <f aca="false">B47-C47</f>
        <v>0</v>
      </c>
      <c r="E47" s="21" t="str">
        <f aca="false">IF(ABS(D47)&lt;0.000001,"PASS","FAIL")</f>
        <v>PASS</v>
      </c>
    </row>
    <row r="48" customFormat="false" ht="15" hidden="false" customHeight="false" outlineLevel="0" collapsed="false">
      <c r="A48" s="9" t="s">
        <v>990</v>
      </c>
      <c r="B48" s="67" t="n">
        <f aca="false">SUM('Closure Matrix'!O7:O150)</f>
        <v>0</v>
      </c>
      <c r="C48" s="68" t="n">
        <v>0</v>
      </c>
      <c r="D48" s="67" t="n">
        <f aca="false">B48-C48</f>
        <v>0</v>
      </c>
      <c r="E48" s="21" t="str">
        <f aca="false">IF(ABS(D48)&lt;0.000001,"PASS","FAIL")</f>
        <v>PASS</v>
      </c>
    </row>
    <row r="49" customFormat="false" ht="15" hidden="false" customHeight="false" outlineLevel="0" collapsed="false">
      <c r="A49" s="9" t="s">
        <v>101</v>
      </c>
      <c r="B49" s="67" t="n">
        <f aca="false">COUNTA('Section Packets'!A7:A54)</f>
        <v>48</v>
      </c>
      <c r="C49" s="68" t="n">
        <v>48</v>
      </c>
      <c r="D49" s="67" t="n">
        <f aca="false">B49-C49</f>
        <v>0</v>
      </c>
      <c r="E49" s="21" t="str">
        <f aca="false">IF(ABS(D49)&lt;0.000001,"PASS","FAIL")</f>
        <v>PASS</v>
      </c>
    </row>
    <row r="50" customFormat="false" ht="15" hidden="false" customHeight="false" outlineLevel="0" collapsed="false">
      <c r="A50" s="9" t="s">
        <v>991</v>
      </c>
      <c r="B50" s="67" t="n">
        <f aca="false">COUNTIFS('Section Packets'!G7:G54,"CONSTITUTED")</f>
        <v>48</v>
      </c>
      <c r="C50" s="68" t="n">
        <v>48</v>
      </c>
      <c r="D50" s="67" t="n">
        <f aca="false">B50-C50</f>
        <v>0</v>
      </c>
      <c r="E50" s="21" t="str">
        <f aca="false">IF(ABS(D50)&lt;0.000001,"PASS","FAIL")</f>
        <v>PASS</v>
      </c>
    </row>
    <row r="51" customFormat="false" ht="15" hidden="false" customHeight="false" outlineLevel="0" collapsed="false">
      <c r="A51" s="9" t="s">
        <v>992</v>
      </c>
      <c r="B51" s="67" t="n">
        <f aca="false">SUM('Section Packets'!H7:H54)</f>
        <v>0</v>
      </c>
      <c r="C51" s="68" t="n">
        <v>0</v>
      </c>
      <c r="D51" s="67" t="n">
        <f aca="false">B51-C51</f>
        <v>0</v>
      </c>
      <c r="E51" s="21" t="str">
        <f aca="false">IF(ABS(D51)&lt;0.000001,"PASS","FAIL")</f>
        <v>PASS</v>
      </c>
    </row>
    <row r="52" customFormat="false" ht="15" hidden="false" customHeight="false" outlineLevel="0" collapsed="false">
      <c r="A52" s="9" t="s">
        <v>103</v>
      </c>
      <c r="B52" s="67" t="n">
        <f aca="false">COUNTA('Public Seams'!A7:A78)</f>
        <v>72</v>
      </c>
      <c r="C52" s="68" t="n">
        <v>72</v>
      </c>
      <c r="D52" s="67" t="n">
        <f aca="false">B52-C52</f>
        <v>0</v>
      </c>
      <c r="E52" s="21" t="str">
        <f aca="false">IF(ABS(D52)&lt;0.000001,"PASS","FAIL")</f>
        <v>PASS</v>
      </c>
    </row>
    <row r="53" customFormat="false" ht="15" hidden="false" customHeight="false" outlineLevel="0" collapsed="false">
      <c r="A53" s="9" t="s">
        <v>993</v>
      </c>
      <c r="B53" s="67" t="n">
        <f aca="false">COUNTIFS('Public Seams'!G7:G78,"PROHIBITED")</f>
        <v>72</v>
      </c>
      <c r="C53" s="68" t="n">
        <v>72</v>
      </c>
      <c r="D53" s="67" t="n">
        <f aca="false">B53-C53</f>
        <v>0</v>
      </c>
      <c r="E53" s="21" t="str">
        <f aca="false">IF(ABS(D53)&lt;0.000001,"PASS","FAIL")</f>
        <v>PASS</v>
      </c>
    </row>
    <row r="54" customFormat="false" ht="15" hidden="false" customHeight="false" outlineLevel="0" collapsed="false">
      <c r="A54" s="9" t="s">
        <v>994</v>
      </c>
      <c r="B54" s="67" t="n">
        <f aca="false">SUM('Public Seams'!I7:I78)</f>
        <v>0</v>
      </c>
      <c r="C54" s="68" t="n">
        <v>0</v>
      </c>
      <c r="D54" s="67" t="n">
        <f aca="false">B54-C54</f>
        <v>0</v>
      </c>
      <c r="E54" s="21" t="str">
        <f aca="false">IF(ABS(D54)&lt;0.000001,"PASS","FAIL")</f>
        <v>PASS</v>
      </c>
    </row>
    <row r="55" customFormat="false" ht="15" hidden="false" customHeight="false" outlineLevel="0" collapsed="false">
      <c r="A55" s="9" t="s">
        <v>112</v>
      </c>
      <c r="B55" s="67" t="n">
        <f aca="false">COUNTA('Concurrency Schedule'!A7:A30)</f>
        <v>24</v>
      </c>
      <c r="C55" s="68" t="n">
        <v>24</v>
      </c>
      <c r="D55" s="67" t="n">
        <f aca="false">B55-C55</f>
        <v>0</v>
      </c>
      <c r="E55" s="21" t="str">
        <f aca="false">IF(ABS(D55)&lt;0.000001,"PASS","FAIL")</f>
        <v>PASS</v>
      </c>
    </row>
    <row r="56" customFormat="false" ht="15" hidden="false" customHeight="false" outlineLevel="0" collapsed="false">
      <c r="A56" s="9" t="s">
        <v>995</v>
      </c>
      <c r="B56" s="67" t="n">
        <f aca="false">COUNTIFS('Concurrency Schedule'!D7:D30,1,'Concurrency Schedule'!F7:F30,0)</f>
        <v>6</v>
      </c>
      <c r="C56" s="68" t="n">
        <v>6</v>
      </c>
      <c r="D56" s="67" t="n">
        <f aca="false">B56-C56</f>
        <v>0</v>
      </c>
      <c r="E56" s="21" t="str">
        <f aca="false">IF(ABS(D56)&lt;0.000001,"PASS","FAIL")</f>
        <v>PASS</v>
      </c>
    </row>
    <row r="57" customFormat="false" ht="15" hidden="false" customHeight="false" outlineLevel="0" collapsed="false">
      <c r="A57" s="9" t="s">
        <v>86</v>
      </c>
      <c r="B57" s="67" t="n">
        <f aca="false">'Concurrency Schedule'!M7</f>
        <v>182</v>
      </c>
      <c r="C57" s="68" t="n">
        <v>182</v>
      </c>
      <c r="D57" s="67" t="n">
        <f aca="false">B57-C57</f>
        <v>0</v>
      </c>
      <c r="E57" s="21" t="str">
        <f aca="false">IF(ABS(D57)&lt;0.000001,"PASS","FAIL")</f>
        <v>PASS</v>
      </c>
    </row>
    <row r="58" customFormat="false" ht="15" hidden="false" customHeight="false" outlineLevel="0" collapsed="false">
      <c r="A58" s="9" t="s">
        <v>87</v>
      </c>
      <c r="B58" s="67" t="n">
        <f aca="false">'Concurrency Schedule'!M8</f>
        <v>36</v>
      </c>
      <c r="C58" s="68" t="n">
        <v>36</v>
      </c>
      <c r="D58" s="67" t="n">
        <f aca="false">B58-C58</f>
        <v>0</v>
      </c>
      <c r="E58" s="21" t="str">
        <f aca="false">IF(ABS(D58)&lt;0.000001,"PASS","FAIL")</f>
        <v>PASS</v>
      </c>
    </row>
    <row r="59" customFormat="false" ht="15" hidden="false" customHeight="false" outlineLevel="0" collapsed="false">
      <c r="A59" s="9" t="s">
        <v>53</v>
      </c>
      <c r="B59" s="67" t="n">
        <f aca="false">'Concurrency Schedule'!M9</f>
        <v>0.802197802197802</v>
      </c>
      <c r="C59" s="68" t="n">
        <v>0.802197802197802</v>
      </c>
      <c r="D59" s="67" t="n">
        <f aca="false">B59-C59</f>
        <v>0</v>
      </c>
      <c r="E59" s="21" t="str">
        <f aca="false">IF(ABS(D59)&lt;0.000001,"PASS","FAIL")</f>
        <v>PASS</v>
      </c>
    </row>
    <row r="60" customFormat="false" ht="15" hidden="false" customHeight="false" outlineLevel="0" collapsed="false">
      <c r="A60" s="9" t="s">
        <v>996</v>
      </c>
      <c r="B60" s="67" t="n">
        <f aca="false">COUNTA('Workforce Separation'!A7:A18)</f>
        <v>12</v>
      </c>
      <c r="C60" s="68" t="n">
        <v>12</v>
      </c>
      <c r="D60" s="67" t="n">
        <f aca="false">B60-C60</f>
        <v>0</v>
      </c>
      <c r="E60" s="21" t="str">
        <f aca="false">IF(ABS(D60)&lt;0.000001,"PASS","FAIL")</f>
        <v>PASS</v>
      </c>
    </row>
    <row r="61" customFormat="false" ht="15" hidden="false" customHeight="false" outlineLevel="0" collapsed="false">
      <c r="A61" s="9" t="s">
        <v>997</v>
      </c>
      <c r="B61" s="67" t="n">
        <f aca="false">SUM('Workforce Separation'!E7:E18)</f>
        <v>6</v>
      </c>
      <c r="C61" s="68" t="n">
        <v>6</v>
      </c>
      <c r="D61" s="67" t="n">
        <f aca="false">B61-C61</f>
        <v>0</v>
      </c>
      <c r="E61" s="21" t="str">
        <f aca="false">IF(ABS(D61)&lt;0.000001,"PASS","FAIL")</f>
        <v>PASS</v>
      </c>
    </row>
    <row r="62" customFormat="false" ht="15" hidden="false" customHeight="false" outlineLevel="0" collapsed="false">
      <c r="A62" s="9" t="s">
        <v>998</v>
      </c>
      <c r="B62" s="67" t="n">
        <f aca="false">SUM('Workforce Separation'!F7:F18)</f>
        <v>6</v>
      </c>
      <c r="C62" s="68" t="n">
        <v>6</v>
      </c>
      <c r="D62" s="67" t="n">
        <f aca="false">B62-C62</f>
        <v>0</v>
      </c>
      <c r="E62" s="21" t="str">
        <f aca="false">IF(ABS(D62)&lt;0.000001,"PASS","FAIL")</f>
        <v>PASS</v>
      </c>
    </row>
    <row r="63" customFormat="false" ht="15" hidden="false" customHeight="false" outlineLevel="0" collapsed="false">
      <c r="A63" s="9" t="s">
        <v>999</v>
      </c>
      <c r="B63" s="67" t="n">
        <f aca="false">SUM('Workforce Separation'!G7:G18)</f>
        <v>0</v>
      </c>
      <c r="C63" s="68" t="n">
        <v>0</v>
      </c>
      <c r="D63" s="67" t="n">
        <f aca="false">B63-C63</f>
        <v>0</v>
      </c>
      <c r="E63" s="21" t="str">
        <f aca="false">IF(ABS(D63)&lt;0.000001,"PASS","FAIL")</f>
        <v>PASS</v>
      </c>
    </row>
    <row r="64" customFormat="false" ht="15" hidden="false" customHeight="false" outlineLevel="0" collapsed="false">
      <c r="A64" s="9" t="s">
        <v>1000</v>
      </c>
      <c r="B64" s="67" t="n">
        <f aca="false">COUNTIFS('Workforce Separation'!H7:H18,"SOURCE EMPTY")</f>
        <v>12</v>
      </c>
      <c r="C64" s="68" t="n">
        <v>12</v>
      </c>
      <c r="D64" s="67" t="n">
        <f aca="false">B64-C64</f>
        <v>0</v>
      </c>
      <c r="E64" s="21" t="str">
        <f aca="false">IF(ABS(D64)&lt;0.000001,"PASS","FAIL")</f>
        <v>PASS</v>
      </c>
    </row>
    <row r="65" customFormat="false" ht="15" hidden="false" customHeight="false" outlineLevel="0" collapsed="false">
      <c r="A65" s="9" t="s">
        <v>1001</v>
      </c>
      <c r="B65" s="67" t="n">
        <f aca="false">Finance!D13</f>
        <v>3.58691281932057</v>
      </c>
      <c r="C65" s="68" t="n">
        <v>3.58691281932057</v>
      </c>
      <c r="D65" s="67" t="n">
        <f aca="false">B65-C65</f>
        <v>0</v>
      </c>
      <c r="E65" s="21" t="str">
        <f aca="false">IF(ABS(D65)&lt;0.000001,"PASS","FAIL")</f>
        <v>PASS</v>
      </c>
    </row>
    <row r="66" customFormat="false" ht="15" hidden="false" customHeight="false" outlineLevel="0" collapsed="false">
      <c r="A66" s="9" t="s">
        <v>1002</v>
      </c>
      <c r="B66" s="67" t="n">
        <f aca="false">Finance!F13</f>
        <v>0.538036922898085</v>
      </c>
      <c r="C66" s="68" t="n">
        <v>0.538036922898085</v>
      </c>
      <c r="D66" s="67" t="n">
        <f aca="false">B66-C66</f>
        <v>0</v>
      </c>
      <c r="E66" s="21" t="str">
        <f aca="false">IF(ABS(D66)&lt;0.000001,"PASS","FAIL")</f>
        <v>PASS</v>
      </c>
    </row>
    <row r="67" customFormat="false" ht="15" hidden="false" customHeight="false" outlineLevel="0" collapsed="false">
      <c r="A67" s="9" t="s">
        <v>1003</v>
      </c>
      <c r="B67" s="67" t="n">
        <f aca="false">Finance!H13</f>
        <v>3.04887589642248</v>
      </c>
      <c r="C67" s="68" t="n">
        <v>3.04887589642248</v>
      </c>
      <c r="D67" s="67" t="n">
        <f aca="false">B67-C67</f>
        <v>0</v>
      </c>
      <c r="E67" s="21" t="str">
        <f aca="false">IF(ABS(D67)&lt;0.000001,"PASS","FAIL")</f>
        <v>PASS</v>
      </c>
    </row>
    <row r="68" customFormat="false" ht="15" hidden="false" customHeight="false" outlineLevel="0" collapsed="false">
      <c r="A68" s="9" t="s">
        <v>1004</v>
      </c>
      <c r="B68" s="67" t="n">
        <f aca="false">Finance!I13</f>
        <v>0</v>
      </c>
      <c r="C68" s="68" t="n">
        <v>0</v>
      </c>
      <c r="D68" s="67" t="n">
        <f aca="false">B68-C68</f>
        <v>0</v>
      </c>
      <c r="E68" s="21" t="str">
        <f aca="false">IF(ABS(D68)&lt;0.000001,"PASS","FAIL")</f>
        <v>PASS</v>
      </c>
    </row>
    <row r="69" customFormat="false" ht="15" hidden="false" customHeight="false" outlineLevel="0" collapsed="false">
      <c r="A69" s="9" t="s">
        <v>1005</v>
      </c>
      <c r="B69" s="67" t="n">
        <f aca="false">Finance!J13</f>
        <v>0</v>
      </c>
      <c r="C69" s="68" t="n">
        <v>0</v>
      </c>
      <c r="D69" s="67" t="n">
        <f aca="false">B69-C69</f>
        <v>0</v>
      </c>
      <c r="E69" s="21" t="str">
        <f aca="false">IF(ABS(D69)&lt;0.000001,"PASS","FAIL")</f>
        <v>PASS</v>
      </c>
    </row>
    <row r="70" customFormat="false" ht="15" hidden="false" customHeight="false" outlineLevel="0" collapsed="false">
      <c r="A70" s="9" t="s">
        <v>111</v>
      </c>
      <c r="B70" s="67" t="n">
        <f aca="false">COUNTA('FRAME Allocation'!A7:A36)</f>
        <v>30</v>
      </c>
      <c r="C70" s="68" t="n">
        <v>30</v>
      </c>
      <c r="D70" s="67" t="n">
        <f aca="false">B70-C70</f>
        <v>0</v>
      </c>
      <c r="E70" s="21" t="str">
        <f aca="false">IF(ABS(D70)&lt;0.000001,"PASS","FAIL")</f>
        <v>PASS</v>
      </c>
    </row>
    <row r="71" customFormat="false" ht="15" hidden="false" customHeight="false" outlineLevel="0" collapsed="false">
      <c r="A71" s="9" t="s">
        <v>1006</v>
      </c>
      <c r="B71" s="67" t="n">
        <f aca="false">SUM('FRAME Allocation'!F7:F36)</f>
        <v>0.538036922898085</v>
      </c>
      <c r="C71" s="68" t="n">
        <v>0.538036922898085</v>
      </c>
      <c r="D71" s="67" t="n">
        <f aca="false">B71-C71</f>
        <v>0</v>
      </c>
      <c r="E71" s="21" t="str">
        <f aca="false">IF(ABS(D71)&lt;0.000001,"PASS","FAIL")</f>
        <v>PASS</v>
      </c>
    </row>
    <row r="72" customFormat="false" ht="15" hidden="false" customHeight="false" outlineLevel="0" collapsed="false">
      <c r="A72" s="9" t="s">
        <v>1007</v>
      </c>
      <c r="B72" s="67" t="n">
        <f aca="false">SUM('FRAME Allocation'!G7:G36)</f>
        <v>0</v>
      </c>
      <c r="C72" s="68" t="n">
        <v>0</v>
      </c>
      <c r="D72" s="67" t="n">
        <f aca="false">B72-C72</f>
        <v>0</v>
      </c>
      <c r="E72" s="21" t="str">
        <f aca="false">IF(ABS(D72)&lt;0.000001,"PASS","FAIL")</f>
        <v>PASS</v>
      </c>
    </row>
    <row r="73" customFormat="false" ht="15" hidden="false" customHeight="false" outlineLevel="0" collapsed="false">
      <c r="A73" s="9" t="s">
        <v>1008</v>
      </c>
      <c r="B73" s="67" t="n">
        <f aca="false">COUNTA('Release Gates'!A7:A78)</f>
        <v>72</v>
      </c>
      <c r="C73" s="68" t="n">
        <v>72</v>
      </c>
      <c r="D73" s="67" t="n">
        <f aca="false">B73-C73</f>
        <v>0</v>
      </c>
      <c r="E73" s="21" t="str">
        <f aca="false">IF(ABS(D73)&lt;0.000001,"PASS","FAIL")</f>
        <v>PASS</v>
      </c>
    </row>
    <row r="74" customFormat="false" ht="15" hidden="false" customHeight="false" outlineLevel="0" collapsed="false">
      <c r="A74" s="9" t="s">
        <v>1009</v>
      </c>
      <c r="B74" s="67" t="n">
        <f aca="false">COUNTIFS('Release Gates'!F7:F78,"CONSTITUTED")</f>
        <v>30</v>
      </c>
      <c r="C74" s="68" t="n">
        <v>30</v>
      </c>
      <c r="D74" s="67" t="n">
        <f aca="false">B74-C74</f>
        <v>0</v>
      </c>
      <c r="E74" s="21" t="str">
        <f aca="false">IF(ABS(D74)&lt;0.000001,"PASS","FAIL")</f>
        <v>PASS</v>
      </c>
    </row>
    <row r="75" customFormat="false" ht="15" hidden="false" customHeight="false" outlineLevel="0" collapsed="false">
      <c r="A75" s="9" t="s">
        <v>1010</v>
      </c>
      <c r="B75" s="67" t="n">
        <f aca="false">COUNTIFS('Release Gates'!F7:F78,"OPEN")</f>
        <v>42</v>
      </c>
      <c r="C75" s="68" t="n">
        <v>42</v>
      </c>
      <c r="D75" s="67" t="n">
        <f aca="false">B75-C75</f>
        <v>0</v>
      </c>
      <c r="E75" s="21" t="str">
        <f aca="false">IF(ABS(D75)&lt;0.000001,"PASS","FAIL")</f>
        <v>PASS</v>
      </c>
    </row>
    <row r="76" customFormat="false" ht="15" hidden="false" customHeight="false" outlineLevel="0" collapsed="false">
      <c r="A76" s="9" t="s">
        <v>1011</v>
      </c>
      <c r="B76" s="67" t="n">
        <f aca="false">COUNTIFS('Release Gates'!J7:J78,"GRAMMAR ONLY")</f>
        <v>6</v>
      </c>
      <c r="C76" s="68" t="n">
        <v>6</v>
      </c>
      <c r="D76" s="67" t="n">
        <f aca="false">B76-C76</f>
        <v>0</v>
      </c>
      <c r="E76" s="21" t="str">
        <f aca="false">IF(ABS(D76)&lt;0.000001,"PASS","FAIL")</f>
        <v>PASS</v>
      </c>
    </row>
    <row r="77" customFormat="false" ht="15" hidden="false" customHeight="false" outlineLevel="0" collapsed="false">
      <c r="A77" s="9" t="s">
        <v>1012</v>
      </c>
      <c r="B77" s="67" t="n">
        <f aca="false">SUM('Release Gates'!I7:I78)</f>
        <v>0</v>
      </c>
      <c r="C77" s="68" t="n">
        <v>0</v>
      </c>
      <c r="D77" s="67" t="n">
        <f aca="false">B77-C77</f>
        <v>0</v>
      </c>
      <c r="E77" s="21" t="str">
        <f aca="false">IF(ABS(D77)&lt;0.000001,"PASS","FAIL")</f>
        <v>PASS</v>
      </c>
    </row>
    <row r="78" customFormat="false" ht="15" hidden="false" customHeight="false" outlineLevel="0" collapsed="false">
      <c r="A78" s="9" t="s">
        <v>1013</v>
      </c>
      <c r="B78" s="67" t="n">
        <f aca="false">COUNTIFS('Release Gates'!K7:K78,"HELD")</f>
        <v>6</v>
      </c>
      <c r="C78" s="68" t="n">
        <v>6</v>
      </c>
      <c r="D78" s="67" t="n">
        <f aca="false">B78-C78</f>
        <v>0</v>
      </c>
      <c r="E78" s="21" t="str">
        <f aca="false">IF(ABS(D78)&lt;0.000001,"PASS","FAIL")</f>
        <v>PASS</v>
      </c>
    </row>
    <row r="79" customFormat="false" ht="15" hidden="false" customHeight="false" outlineLevel="0" collapsed="false">
      <c r="A79" s="9" t="s">
        <v>1014</v>
      </c>
      <c r="B79" s="67" t="n">
        <f aca="false">COUNTA(Nonconversions!A7:A26)</f>
        <v>20</v>
      </c>
      <c r="C79" s="68" t="n">
        <v>20</v>
      </c>
      <c r="D79" s="67" t="n">
        <f aca="false">B79-C79</f>
        <v>0</v>
      </c>
      <c r="E79" s="21" t="str">
        <f aca="false">IF(ABS(D79)&lt;0.000001,"PASS","FAIL")</f>
        <v>PASS</v>
      </c>
    </row>
    <row r="80" customFormat="false" ht="15" hidden="false" customHeight="false" outlineLevel="0" collapsed="false">
      <c r="A80" s="9" t="s">
        <v>1015</v>
      </c>
      <c r="B80" s="67" t="n">
        <f aca="false">COUNTA('Stress Tests'!A7:A22)</f>
        <v>16</v>
      </c>
      <c r="C80" s="68" t="n">
        <v>16</v>
      </c>
      <c r="D80" s="67" t="n">
        <f aca="false">B80-C80</f>
        <v>0</v>
      </c>
      <c r="E80" s="21" t="str">
        <f aca="false">IF(ABS(D80)&lt;0.000001,"PASS","FAIL")</f>
        <v>PASS</v>
      </c>
    </row>
    <row r="81" customFormat="false" ht="15" hidden="false" customHeight="false" outlineLevel="0" collapsed="false">
      <c r="A81" s="9" t="s">
        <v>1016</v>
      </c>
      <c r="B81" s="67" t="n">
        <f aca="false">COUNTIFS('Stress Tests'!F7:F22,"PASS")</f>
        <v>16</v>
      </c>
      <c r="C81" s="68" t="n">
        <v>16</v>
      </c>
      <c r="D81" s="67" t="n">
        <f aca="false">B81-C81</f>
        <v>0</v>
      </c>
      <c r="E81" s="21" t="str">
        <f aca="false">IF(ABS(D81)&lt;0.000001,"PASS","FAIL")</f>
        <v>PASS</v>
      </c>
    </row>
    <row r="82" customFormat="false" ht="15" hidden="false" customHeight="false" outlineLevel="0" collapsed="false">
      <c r="A82" s="9" t="s">
        <v>1017</v>
      </c>
      <c r="B82" s="67" t="n">
        <f aca="false">COUNTIFS('Closure Matrix'!C7:C150,"ET-A")</f>
        <v>24</v>
      </c>
      <c r="C82" s="68" t="n">
        <v>24</v>
      </c>
      <c r="D82" s="67" t="n">
        <f aca="false">B82-C82</f>
        <v>0</v>
      </c>
      <c r="E82" s="21" t="str">
        <f aca="false">IF(ABS(D82)&lt;0.000001,"PASS","FAIL")</f>
        <v>PASS</v>
      </c>
    </row>
    <row r="83" customFormat="false" ht="15" hidden="false" customHeight="false" outlineLevel="0" collapsed="false">
      <c r="A83" s="9" t="s">
        <v>1018</v>
      </c>
      <c r="B83" s="67" t="n">
        <f aca="false">COUNTIFS('Section Packets'!C7:C54,"ET-A")</f>
        <v>8</v>
      </c>
      <c r="C83" s="68" t="n">
        <v>8</v>
      </c>
      <c r="D83" s="67" t="n">
        <f aca="false">B83-C83</f>
        <v>0</v>
      </c>
      <c r="E83" s="21" t="str">
        <f aca="false">IF(ABS(D83)&lt;0.000001,"PASS","FAIL")</f>
        <v>PASS</v>
      </c>
    </row>
    <row r="84" customFormat="false" ht="15" hidden="false" customHeight="false" outlineLevel="0" collapsed="false">
      <c r="A84" s="9" t="s">
        <v>1019</v>
      </c>
      <c r="B84" s="67" t="n">
        <f aca="false">COUNTIFS('Public Seams'!C7:C78,"ET-A")</f>
        <v>12</v>
      </c>
      <c r="C84" s="68" t="n">
        <v>12</v>
      </c>
      <c r="D84" s="67" t="n">
        <f aca="false">B84-C84</f>
        <v>0</v>
      </c>
      <c r="E84" s="21" t="str">
        <f aca="false">IF(ABS(D84)&lt;0.000001,"PASS","FAIL")</f>
        <v>PASS</v>
      </c>
    </row>
    <row r="85" customFormat="false" ht="15" hidden="false" customHeight="false" outlineLevel="0" collapsed="false">
      <c r="A85" s="9" t="s">
        <v>1020</v>
      </c>
      <c r="B85" s="67" t="n">
        <f aca="false">SUMIFS('FRAME Allocation'!D7:D36,'FRAME Allocation'!B7:B36,"ET-A")</f>
        <v>1</v>
      </c>
      <c r="C85" s="68" t="n">
        <v>1</v>
      </c>
      <c r="D85" s="67" t="n">
        <f aca="false">B85-C85</f>
        <v>0</v>
      </c>
      <c r="E85" s="21" t="str">
        <f aca="false">IF(ABS(D85)&lt;0.000001,"PASS","FAIL")</f>
        <v>PASS</v>
      </c>
    </row>
    <row r="86" customFormat="false" ht="15" hidden="false" customHeight="false" outlineLevel="0" collapsed="false">
      <c r="A86" s="9" t="s">
        <v>1021</v>
      </c>
      <c r="B86" s="67" t="n">
        <f aca="false">COUNTIFS('Closure Matrix'!C7:C150,"CT-C")</f>
        <v>24</v>
      </c>
      <c r="C86" s="68" t="n">
        <v>24</v>
      </c>
      <c r="D86" s="67" t="n">
        <f aca="false">B86-C86</f>
        <v>0</v>
      </c>
      <c r="E86" s="21" t="str">
        <f aca="false">IF(ABS(D86)&lt;0.000001,"PASS","FAIL")</f>
        <v>PASS</v>
      </c>
    </row>
    <row r="87" customFormat="false" ht="15" hidden="false" customHeight="false" outlineLevel="0" collapsed="false">
      <c r="A87" s="9" t="s">
        <v>1022</v>
      </c>
      <c r="B87" s="67" t="n">
        <f aca="false">COUNTIFS('Section Packets'!C7:C54,"CT-C")</f>
        <v>8</v>
      </c>
      <c r="C87" s="68" t="n">
        <v>8</v>
      </c>
      <c r="D87" s="67" t="n">
        <f aca="false">B87-C87</f>
        <v>0</v>
      </c>
      <c r="E87" s="21" t="str">
        <f aca="false">IF(ABS(D87)&lt;0.000001,"PASS","FAIL")</f>
        <v>PASS</v>
      </c>
    </row>
    <row r="88" customFormat="false" ht="15" hidden="false" customHeight="false" outlineLevel="0" collapsed="false">
      <c r="A88" s="9" t="s">
        <v>1023</v>
      </c>
      <c r="B88" s="67" t="n">
        <f aca="false">COUNTIFS('Public Seams'!C7:C78,"CT-C")</f>
        <v>12</v>
      </c>
      <c r="C88" s="68" t="n">
        <v>12</v>
      </c>
      <c r="D88" s="67" t="n">
        <f aca="false">B88-C88</f>
        <v>0</v>
      </c>
      <c r="E88" s="21" t="str">
        <f aca="false">IF(ABS(D88)&lt;0.000001,"PASS","FAIL")</f>
        <v>PASS</v>
      </c>
    </row>
    <row r="89" customFormat="false" ht="15" hidden="false" customHeight="false" outlineLevel="0" collapsed="false">
      <c r="A89" s="9" t="s">
        <v>1024</v>
      </c>
      <c r="B89" s="67" t="n">
        <f aca="false">SUMIFS('FRAME Allocation'!D7:D36,'FRAME Allocation'!B7:B36,"CT-C")</f>
        <v>1</v>
      </c>
      <c r="C89" s="68" t="n">
        <v>1</v>
      </c>
      <c r="D89" s="67" t="n">
        <f aca="false">B89-C89</f>
        <v>0</v>
      </c>
      <c r="E89" s="21" t="str">
        <f aca="false">IF(ABS(D89)&lt;0.000001,"PASS","FAIL")</f>
        <v>PASS</v>
      </c>
    </row>
    <row r="90" customFormat="false" ht="15" hidden="false" customHeight="false" outlineLevel="0" collapsed="false">
      <c r="A90" s="9" t="s">
        <v>1025</v>
      </c>
      <c r="B90" s="67" t="n">
        <f aca="false">COUNTIFS('Closure Matrix'!C7:C150,"HC-A")</f>
        <v>24</v>
      </c>
      <c r="C90" s="68" t="n">
        <v>24</v>
      </c>
      <c r="D90" s="67" t="n">
        <f aca="false">B90-C90</f>
        <v>0</v>
      </c>
      <c r="E90" s="21" t="str">
        <f aca="false">IF(ABS(D90)&lt;0.000001,"PASS","FAIL")</f>
        <v>PASS</v>
      </c>
    </row>
    <row r="91" customFormat="false" ht="15" hidden="false" customHeight="false" outlineLevel="0" collapsed="false">
      <c r="A91" s="9" t="s">
        <v>1026</v>
      </c>
      <c r="B91" s="67" t="n">
        <f aca="false">COUNTIFS('Section Packets'!C7:C54,"HC-A")</f>
        <v>8</v>
      </c>
      <c r="C91" s="68" t="n">
        <v>8</v>
      </c>
      <c r="D91" s="67" t="n">
        <f aca="false">B91-C91</f>
        <v>0</v>
      </c>
      <c r="E91" s="21" t="str">
        <f aca="false">IF(ABS(D91)&lt;0.000001,"PASS","FAIL")</f>
        <v>PASS</v>
      </c>
    </row>
    <row r="92" customFormat="false" ht="15" hidden="false" customHeight="false" outlineLevel="0" collapsed="false">
      <c r="A92" s="9" t="s">
        <v>1027</v>
      </c>
      <c r="B92" s="67" t="n">
        <f aca="false">COUNTIFS('Public Seams'!C7:C78,"HC-A")</f>
        <v>12</v>
      </c>
      <c r="C92" s="68" t="n">
        <v>12</v>
      </c>
      <c r="D92" s="67" t="n">
        <f aca="false">B92-C92</f>
        <v>0</v>
      </c>
      <c r="E92" s="21" t="str">
        <f aca="false">IF(ABS(D92)&lt;0.000001,"PASS","FAIL")</f>
        <v>PASS</v>
      </c>
    </row>
    <row r="93" customFormat="false" ht="15" hidden="false" customHeight="false" outlineLevel="0" collapsed="false">
      <c r="A93" s="9" t="s">
        <v>1028</v>
      </c>
      <c r="B93" s="67" t="n">
        <f aca="false">SUMIFS('FRAME Allocation'!D7:D36,'FRAME Allocation'!B7:B36,"HC-A")</f>
        <v>1</v>
      </c>
      <c r="C93" s="68" t="n">
        <v>1</v>
      </c>
      <c r="D93" s="67" t="n">
        <f aca="false">B93-C93</f>
        <v>0</v>
      </c>
      <c r="E93" s="21" t="str">
        <f aca="false">IF(ABS(D93)&lt;0.000001,"PASS","FAIL")</f>
        <v>PASS</v>
      </c>
    </row>
    <row r="94" customFormat="false" ht="15" hidden="false" customHeight="false" outlineLevel="0" collapsed="false">
      <c r="A94" s="9" t="s">
        <v>1029</v>
      </c>
      <c r="B94" s="67" t="n">
        <f aca="false">COUNTIFS('Closure Matrix'!C7:C150,"LF-B")</f>
        <v>24</v>
      </c>
      <c r="C94" s="68" t="n">
        <v>24</v>
      </c>
      <c r="D94" s="67" t="n">
        <f aca="false">B94-C94</f>
        <v>0</v>
      </c>
      <c r="E94" s="21" t="str">
        <f aca="false">IF(ABS(D94)&lt;0.000001,"PASS","FAIL")</f>
        <v>PASS</v>
      </c>
    </row>
    <row r="95" customFormat="false" ht="15" hidden="false" customHeight="false" outlineLevel="0" collapsed="false">
      <c r="A95" s="9" t="s">
        <v>1030</v>
      </c>
      <c r="B95" s="67" t="n">
        <f aca="false">COUNTIFS('Section Packets'!C7:C54,"LF-B")</f>
        <v>8</v>
      </c>
      <c r="C95" s="68" t="n">
        <v>8</v>
      </c>
      <c r="D95" s="67" t="n">
        <f aca="false">B95-C95</f>
        <v>0</v>
      </c>
      <c r="E95" s="21" t="str">
        <f aca="false">IF(ABS(D95)&lt;0.000001,"PASS","FAIL")</f>
        <v>PASS</v>
      </c>
    </row>
    <row r="96" customFormat="false" ht="15" hidden="false" customHeight="false" outlineLevel="0" collapsed="false">
      <c r="A96" s="9" t="s">
        <v>1031</v>
      </c>
      <c r="B96" s="67" t="n">
        <f aca="false">COUNTIFS('Public Seams'!C7:C78,"LF-B")</f>
        <v>12</v>
      </c>
      <c r="C96" s="68" t="n">
        <v>12</v>
      </c>
      <c r="D96" s="67" t="n">
        <f aca="false">B96-C96</f>
        <v>0</v>
      </c>
      <c r="E96" s="21" t="str">
        <f aca="false">IF(ABS(D96)&lt;0.000001,"PASS","FAIL")</f>
        <v>PASS</v>
      </c>
    </row>
    <row r="97" customFormat="false" ht="15" hidden="false" customHeight="false" outlineLevel="0" collapsed="false">
      <c r="A97" s="9" t="s">
        <v>1032</v>
      </c>
      <c r="B97" s="67" t="n">
        <f aca="false">SUMIFS('FRAME Allocation'!D7:D36,'FRAME Allocation'!B7:B36,"LF-B")</f>
        <v>1</v>
      </c>
      <c r="C97" s="68" t="n">
        <v>1</v>
      </c>
      <c r="D97" s="67" t="n">
        <f aca="false">B97-C97</f>
        <v>0</v>
      </c>
      <c r="E97" s="21" t="str">
        <f aca="false">IF(ABS(D97)&lt;0.000001,"PASS","FAIL")</f>
        <v>PASS</v>
      </c>
    </row>
    <row r="98" customFormat="false" ht="15" hidden="false" customHeight="false" outlineLevel="0" collapsed="false">
      <c r="A98" s="9" t="s">
        <v>1033</v>
      </c>
      <c r="B98" s="67" t="n">
        <f aca="false">COUNTIFS('Closure Matrix'!C7:C150,"HU-A")</f>
        <v>24</v>
      </c>
      <c r="C98" s="68" t="n">
        <v>24</v>
      </c>
      <c r="D98" s="67" t="n">
        <f aca="false">B98-C98</f>
        <v>0</v>
      </c>
      <c r="E98" s="21" t="str">
        <f aca="false">IF(ABS(D98)&lt;0.000001,"PASS","FAIL")</f>
        <v>PASS</v>
      </c>
    </row>
    <row r="99" customFormat="false" ht="15" hidden="false" customHeight="false" outlineLevel="0" collapsed="false">
      <c r="A99" s="9" t="s">
        <v>1034</v>
      </c>
      <c r="B99" s="67" t="n">
        <f aca="false">COUNTIFS('Section Packets'!C7:C54,"HU-A")</f>
        <v>8</v>
      </c>
      <c r="C99" s="68" t="n">
        <v>8</v>
      </c>
      <c r="D99" s="67" t="n">
        <f aca="false">B99-C99</f>
        <v>0</v>
      </c>
      <c r="E99" s="21" t="str">
        <f aca="false">IF(ABS(D99)&lt;0.000001,"PASS","FAIL")</f>
        <v>PASS</v>
      </c>
    </row>
    <row r="100" customFormat="false" ht="15" hidden="false" customHeight="false" outlineLevel="0" collapsed="false">
      <c r="A100" s="9" t="s">
        <v>1035</v>
      </c>
      <c r="B100" s="67" t="n">
        <f aca="false">COUNTIFS('Public Seams'!C7:C78,"HU-A")</f>
        <v>12</v>
      </c>
      <c r="C100" s="68" t="n">
        <v>12</v>
      </c>
      <c r="D100" s="67" t="n">
        <f aca="false">B100-C100</f>
        <v>0</v>
      </c>
      <c r="E100" s="21" t="str">
        <f aca="false">IF(ABS(D100)&lt;0.000001,"PASS","FAIL")</f>
        <v>PASS</v>
      </c>
    </row>
    <row r="101" customFormat="false" ht="15" hidden="false" customHeight="false" outlineLevel="0" collapsed="false">
      <c r="A101" s="9" t="s">
        <v>1036</v>
      </c>
      <c r="B101" s="67" t="n">
        <f aca="false">SUMIFS('FRAME Allocation'!D7:D36,'FRAME Allocation'!B7:B36,"HU-A")</f>
        <v>1</v>
      </c>
      <c r="C101" s="68" t="n">
        <v>1</v>
      </c>
      <c r="D101" s="67" t="n">
        <f aca="false">B101-C101</f>
        <v>0</v>
      </c>
      <c r="E101" s="21" t="str">
        <f aca="false">IF(ABS(D101)&lt;0.000001,"PASS","FAIL")</f>
        <v>PASS</v>
      </c>
    </row>
    <row r="102" customFormat="false" ht="15" hidden="false" customHeight="false" outlineLevel="0" collapsed="false">
      <c r="A102" s="9" t="s">
        <v>1037</v>
      </c>
      <c r="B102" s="67" t="n">
        <f aca="false">COUNTIFS('Closure Matrix'!C7:C150,"RT-B")</f>
        <v>24</v>
      </c>
      <c r="C102" s="68" t="n">
        <v>24</v>
      </c>
      <c r="D102" s="67" t="n">
        <f aca="false">B102-C102</f>
        <v>0</v>
      </c>
      <c r="E102" s="21" t="str">
        <f aca="false">IF(ABS(D102)&lt;0.000001,"PASS","FAIL")</f>
        <v>PASS</v>
      </c>
    </row>
    <row r="103" customFormat="false" ht="15" hidden="false" customHeight="false" outlineLevel="0" collapsed="false">
      <c r="A103" s="9" t="s">
        <v>1038</v>
      </c>
      <c r="B103" s="67" t="n">
        <f aca="false">COUNTIFS('Section Packets'!C7:C54,"RT-B")</f>
        <v>8</v>
      </c>
      <c r="C103" s="68" t="n">
        <v>8</v>
      </c>
      <c r="D103" s="67" t="n">
        <f aca="false">B103-C103</f>
        <v>0</v>
      </c>
      <c r="E103" s="21" t="str">
        <f aca="false">IF(ABS(D103)&lt;0.000001,"PASS","FAIL")</f>
        <v>PASS</v>
      </c>
    </row>
    <row r="104" customFormat="false" ht="15" hidden="false" customHeight="false" outlineLevel="0" collapsed="false">
      <c r="A104" s="9" t="s">
        <v>1039</v>
      </c>
      <c r="B104" s="67" t="n">
        <f aca="false">COUNTIFS('Public Seams'!C7:C78,"RT-B")</f>
        <v>12</v>
      </c>
      <c r="C104" s="68" t="n">
        <v>12</v>
      </c>
      <c r="D104" s="67" t="n">
        <f aca="false">B104-C104</f>
        <v>0</v>
      </c>
      <c r="E104" s="21" t="str">
        <f aca="false">IF(ABS(D104)&lt;0.000001,"PASS","FAIL")</f>
        <v>PASS</v>
      </c>
    </row>
    <row r="105" customFormat="false" ht="15" hidden="false" customHeight="false" outlineLevel="0" collapsed="false">
      <c r="A105" s="14" t="s">
        <v>1040</v>
      </c>
      <c r="B105" s="69" t="n">
        <f aca="false">SUMIFS('FRAME Allocation'!D7:D36,'FRAME Allocation'!B7:B36,"RT-B")</f>
        <v>1</v>
      </c>
      <c r="C105" s="70" t="n">
        <v>1</v>
      </c>
      <c r="D105" s="69" t="n">
        <f aca="false">B105-C105</f>
        <v>0</v>
      </c>
      <c r="E105" s="22" t="str">
        <f aca="false">IF(ABS(D105)&lt;0.000001,"PASS","FAIL")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63"/>
    <col collapsed="false" customWidth="true" hidden="false" outlineLevel="0" max="4" min="4" style="0" width="23"/>
    <col collapsed="false" customWidth="true" hidden="false" outlineLevel="0" max="5" min="5" style="0" width="48"/>
  </cols>
  <sheetData>
    <row r="2" customFormat="false" ht="24" hidden="false" customHeight="true" outlineLevel="0" collapsed="false">
      <c r="A2" s="1" t="s">
        <v>1041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1042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1043</v>
      </c>
      <c r="B6" s="6" t="s">
        <v>1044</v>
      </c>
      <c r="C6" s="6" t="s">
        <v>1045</v>
      </c>
      <c r="D6" s="6" t="s">
        <v>1046</v>
      </c>
      <c r="E6" s="7" t="s">
        <v>1047</v>
      </c>
    </row>
    <row r="7" customFormat="false" ht="15" hidden="false" customHeight="false" outlineLevel="0" collapsed="false">
      <c r="A7" s="8" t="s">
        <v>115</v>
      </c>
      <c r="B7" s="8" t="s">
        <v>1048</v>
      </c>
      <c r="C7" s="8" t="s">
        <v>1049</v>
      </c>
      <c r="D7" s="8" t="s">
        <v>1050</v>
      </c>
      <c r="E7" s="8" t="s">
        <v>1051</v>
      </c>
    </row>
    <row r="8" customFormat="false" ht="15" hidden="false" customHeight="false" outlineLevel="0" collapsed="false">
      <c r="A8" s="9" t="s">
        <v>62</v>
      </c>
      <c r="B8" s="9" t="s">
        <v>1052</v>
      </c>
      <c r="C8" s="9" t="s">
        <v>1053</v>
      </c>
      <c r="D8" s="9" t="s">
        <v>1050</v>
      </c>
      <c r="E8" s="9" t="s">
        <v>1054</v>
      </c>
    </row>
    <row r="9" customFormat="false" ht="15" hidden="false" customHeight="false" outlineLevel="0" collapsed="false">
      <c r="A9" s="9" t="s">
        <v>1055</v>
      </c>
      <c r="B9" s="9" t="s">
        <v>1056</v>
      </c>
      <c r="C9" s="9" t="s">
        <v>1057</v>
      </c>
      <c r="D9" s="9" t="s">
        <v>1058</v>
      </c>
      <c r="E9" s="9" t="s">
        <v>1059</v>
      </c>
    </row>
    <row r="10" customFormat="false" ht="15" hidden="false" customHeight="false" outlineLevel="0" collapsed="false">
      <c r="A10" s="9" t="s">
        <v>1060</v>
      </c>
      <c r="B10" s="9" t="s">
        <v>1061</v>
      </c>
      <c r="C10" s="9" t="s">
        <v>1062</v>
      </c>
      <c r="D10" s="9" t="s">
        <v>1058</v>
      </c>
      <c r="E10" s="9" t="s">
        <v>1063</v>
      </c>
    </row>
    <row r="11" customFormat="false" ht="15" hidden="false" customHeight="false" outlineLevel="0" collapsed="false">
      <c r="A11" s="9" t="s">
        <v>1064</v>
      </c>
      <c r="B11" s="9" t="s">
        <v>1065</v>
      </c>
      <c r="C11" s="9" t="s">
        <v>1066</v>
      </c>
      <c r="D11" s="9" t="s">
        <v>1050</v>
      </c>
      <c r="E11" s="9" t="s">
        <v>1067</v>
      </c>
    </row>
    <row r="12" customFormat="false" ht="15" hidden="false" customHeight="false" outlineLevel="0" collapsed="false">
      <c r="A12" s="9" t="s">
        <v>1068</v>
      </c>
      <c r="B12" s="9" t="s">
        <v>1069</v>
      </c>
      <c r="C12" s="9" t="s">
        <v>1070</v>
      </c>
      <c r="D12" s="9" t="s">
        <v>1071</v>
      </c>
      <c r="E12" s="9" t="s">
        <v>1072</v>
      </c>
    </row>
    <row r="13" customFormat="false" ht="15" hidden="false" customHeight="false" outlineLevel="0" collapsed="false">
      <c r="A13" s="9" t="s">
        <v>1073</v>
      </c>
      <c r="B13" s="9" t="s">
        <v>1074</v>
      </c>
      <c r="C13" s="9" t="s">
        <v>1075</v>
      </c>
      <c r="D13" s="9" t="s">
        <v>1076</v>
      </c>
      <c r="E13" s="9" t="s">
        <v>1077</v>
      </c>
    </row>
    <row r="14" customFormat="false" ht="15" hidden="false" customHeight="false" outlineLevel="0" collapsed="false">
      <c r="A14" s="14" t="s">
        <v>1078</v>
      </c>
      <c r="B14" s="14" t="s">
        <v>1079</v>
      </c>
      <c r="C14" s="14" t="s">
        <v>1080</v>
      </c>
      <c r="D14" s="14" t="s">
        <v>1081</v>
      </c>
      <c r="E14" s="14" t="s">
        <v>1082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