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d3d2f5f15a4dc8" /></Relationships>
</file>

<file path=xl/workbook.xml><?xml version="1.0" encoding="utf-8"?>
<x:workbook xmlns:x="http://schemas.openxmlformats.org/spreadsheetml/2006/main">
  <x:sheets>
    <x:sheet xmlns:r="http://schemas.openxmlformats.org/officeDocument/2006/relationships" name="Summary" sheetId="1" r:id="R4e4aad0845ef487e"/>
    <x:sheet xmlns:r="http://schemas.openxmlformats.org/officeDocument/2006/relationships" name="Controls" sheetId="2" r:id="R19980b7cc8fa4016"/>
    <x:sheet xmlns:r="http://schemas.openxmlformats.org/officeDocument/2006/relationships" name="Mobilization Candidates" sheetId="3" r:id="R6343f2c2d8994c47"/>
    <x:sheet xmlns:r="http://schemas.openxmlformats.org/officeDocument/2006/relationships" name="Cohort Finance" sheetId="4" r:id="Rec4d50161409493d"/>
    <x:sheet xmlns:r="http://schemas.openxmlformats.org/officeDocument/2006/relationships" name="Form Warrants" sheetId="5" r:id="Raf9c92f1a5f4466a"/>
    <x:sheet xmlns:r="http://schemas.openxmlformats.org/officeDocument/2006/relationships" name="Release Gates" sheetId="6" r:id="R39e3a78569cc4cb9"/>
    <x:sheet xmlns:r="http://schemas.openxmlformats.org/officeDocument/2006/relationships" name="Package Obligations" sheetId="7" r:id="R9516751fbfd24c63"/>
    <x:sheet xmlns:r="http://schemas.openxmlformats.org/officeDocument/2006/relationships" name="Implementation Cells" sheetId="8" r:id="Rc1a1914b1f4c4797"/>
    <x:sheet xmlns:r="http://schemas.openxmlformats.org/officeDocument/2006/relationships" name="Authority Matrix" sheetId="9" r:id="R6fc6f7a794574ceb"/>
    <x:sheet xmlns:r="http://schemas.openxmlformats.org/officeDocument/2006/relationships" name="State Machine" sheetId="10" r:id="Rf888a8f8da344045"/>
    <x:sheet xmlns:r="http://schemas.openxmlformats.org/officeDocument/2006/relationships" name="Mutations" sheetId="11" r:id="Rd18d50abf7eb482d"/>
    <x:sheet xmlns:r="http://schemas.openxmlformats.org/officeDocument/2006/relationships" name="Audit" sheetId="12" r:id="R78e962873dae45e7"/>
    <x:sheet xmlns:r="http://schemas.openxmlformats.org/officeDocument/2006/relationships" name="Sources &amp; Limits" sheetId="13" r:id="Rad4c351a925e4b2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0.0%"/>
    <x:numFmt numFmtId="203" formatCode="#,##0.000"/>
  </x:numFmts>
  <x:fonts count="6">
    <x:font>
      <x:sz val="11"/>
      <x:name val="Carlito"/>
    </x:font>
    <x:font>
      <x:b/>
      <x:sz val="15"/>
      <x:color rgb="FF17365D"/>
      <x:name val="Arial"/>
    </x:font>
    <x:font>
      <x:b/>
      <x:sz val="10"/>
      <x:color rgb="FFFFFFFF"/>
      <x:name val="Arial"/>
    </x:font>
    <x:font>
      <x:sz val="10"/>
      <x:color rgb="FF263746"/>
      <x:name val="Arial"/>
    </x:font>
    <x:font>
      <x:sz val="10"/>
      <x:color rgb="FF0066CC"/>
      <x:name val="Arial"/>
    </x:font>
    <x:font>
      <x:sz val="11"/>
      <x:color rgb="FF263746"/>
      <x:name val="Arial"/>
    </x:font>
  </x:fonts>
  <x:fills count="5">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0F6B78"/>
      </x:patternFill>
    </x:fill>
  </x:fills>
  <x:borders count="8">
    <x:border/>
    <x:border>
      <x:bottom style="thin">
        <x:color rgb="FF17365D"/>
      </x:bottom>
    </x:border>
    <x:border>
      <x:right style="thin">
        <x:color rgb="FFFFFFFF"/>
      </x:right>
    </x:border>
    <x:border>
      <x:left style="thin">
        <x:color rgb="FFFFFFFF"/>
      </x:left>
      <x:right style="thin">
        <x:color rgb="FFFFFFFF"/>
      </x:right>
    </x:border>
    <x:border>
      <x:left style="thin">
        <x:color rgb="FFFFFFFF"/>
      </x:left>
    </x:border>
    <x:border>
      <x:bottom style="thin">
        <x:color rgb="FFD8E1EB"/>
      </x:bottom>
    </x:border>
    <x:border>
      <x:top style="thin">
        <x:color rgb="FFD8E1EB"/>
      </x:top>
      <x:bottom style="thin">
        <x:color rgb="FFD8E1EB"/>
      </x:bottom>
    </x:border>
    <x:border>
      <x:top style="thin">
        <x:color rgb="FFD8E1EB"/>
      </x:top>
    </x:border>
  </x:borders>
  <x:cellStyleXfs count="1">
    <x:xf numFmtId="0" fontId="0" fillId="0" borderId="0"/>
  </x:cellStyleXfs>
  <x:cellXfs count="85">
    <x:xf numFmtId="0" fontId="0" fillId="0" borderId="0" xfId="0"/>
    <x:xf numFmtId="0" fontId="1" fillId="0" borderId="0" xfId="0" applyNumberFormat="1" applyFont="1" applyFill="1" applyBorder="1"/>
    <x:xf numFmtId="0" fontId="0" fillId="0" borderId="1"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4" xfId="0" applyNumberFormat="1" applyFont="1" applyFill="1" applyBorder="1"/>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4" xfId="0" applyNumberFormat="1" applyFont="1" applyFill="1" applyBorder="1" applyAlignment="1">
      <x:alignment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4" xfId="0" applyNumberFormat="1" applyFont="1" applyFill="1" applyBorder="1" applyAlignment="1">
      <x:alignment horizont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3" fillId="0" borderId="0"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7" xfId="0" applyNumberFormat="1" applyFont="1" applyFill="1" applyBorder="1"/>
    <x:xf numFmtId="0" fontId="3" fillId="0" borderId="5"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7" xfId="0" applyNumberFormat="1" applyFont="1" applyFill="1" applyBorder="1" applyAlignment="1">
      <x:alignment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3" borderId="6" xfId="0" applyNumberFormat="1" applyFont="1" applyFill="1" applyBorder="1" applyAlignment="1">
      <x:alignment vertical="top" wrapText="1"/>
    </x:xf>
    <x:xf numFmtId="200" fontId="4" fillId="0" borderId="5" xfId="0" applyNumberFormat="1" applyFont="1" applyFill="1" applyBorder="1" applyAlignment="1">
      <x:alignment vertical="top" wrapText="1"/>
    </x:xf>
    <x:xf numFmtId="200" fontId="4" fillId="0" borderId="6" xfId="0" applyNumberFormat="1" applyFont="1" applyFill="1" applyBorder="1" applyAlignment="1">
      <x:alignment vertical="top" wrapText="1"/>
    </x:xf>
    <x:xf numFmtId="200" fontId="4" fillId="3" borderId="6" xfId="0" applyNumberFormat="1" applyFont="1" applyFill="1" applyBorder="1" applyAlignment="1">
      <x:alignment vertical="top" wrapText="1"/>
    </x:xf>
    <x:xf numFmtId="201" fontId="4" fillId="0" borderId="6" xfId="0" applyNumberFormat="1" applyFont="1" applyFill="1" applyBorder="1" applyAlignment="1">
      <x:alignment vertical="top" wrapText="1"/>
    </x:xf>
    <x:xf numFmtId="201" fontId="4" fillId="0" borderId="7" xfId="0" applyNumberFormat="1" applyFont="1" applyFill="1" applyBorder="1" applyAlignment="1">
      <x:alignment vertical="top" wrapText="1"/>
    </x:xf>
    <x:xf numFmtId="200" fontId="3" fillId="0" borderId="5" xfId="0" applyNumberFormat="1" applyFont="1" applyFill="1" applyBorder="1" applyAlignment="1">
      <x:alignment vertical="top" wrapText="1"/>
    </x:xf>
    <x:xf numFmtId="200" fontId="3" fillId="0" borderId="6" xfId="0" applyNumberFormat="1" applyFont="1" applyFill="1" applyBorder="1" applyAlignment="1">
      <x:alignment vertical="top" wrapText="1"/>
    </x:xf>
    <x:xf numFmtId="200" fontId="3" fillId="0" borderId="7" xfId="0" applyNumberFormat="1" applyFont="1" applyFill="1" applyBorder="1" applyAlignment="1">
      <x:alignment vertical="top" wrapText="1"/>
    </x:xf>
    <x:xf numFmtId="201" fontId="3" fillId="0" borderId="5" xfId="0" applyNumberFormat="1" applyFont="1" applyFill="1" applyBorder="1" applyAlignment="1">
      <x:alignment vertical="top" wrapText="1"/>
    </x:xf>
    <x:xf numFmtId="201" fontId="3" fillId="0" borderId="6" xfId="0" applyNumberFormat="1" applyFont="1" applyFill="1" applyBorder="1" applyAlignment="1">
      <x:alignment vertical="top" wrapText="1"/>
    </x:xf>
    <x:xf numFmtId="201" fontId="3" fillId="0" borderId="7" xfId="0" applyNumberFormat="1" applyFont="1" applyFill="1" applyBorder="1" applyAlignment="1">
      <x:alignment vertical="top" wrapText="1"/>
    </x:xf>
    <x:xf numFmtId="202" fontId="3" fillId="0" borderId="5" xfId="0" applyNumberFormat="1" applyFont="1" applyFill="1" applyBorder="1" applyAlignment="1">
      <x:alignment vertical="top" wrapText="1"/>
    </x:xf>
    <x:xf numFmtId="202" fontId="3" fillId="0" borderId="6" xfId="0" applyNumberFormat="1" applyFont="1" applyFill="1" applyBorder="1" applyAlignment="1">
      <x:alignment vertical="top" wrapText="1"/>
    </x:xf>
    <x:xf numFmtId="202" fontId="3" fillId="0" borderId="7" xfId="0" applyNumberFormat="1" applyFont="1" applyFill="1" applyBorder="1" applyAlignment="1">
      <x:alignment vertical="top" wrapText="1"/>
    </x:xf>
    <x:xf numFmtId="0" fontId="3" fillId="4" borderId="7" xfId="0" applyNumberFormat="1" applyFont="1" applyFill="1" applyBorder="1" applyAlignment="1">
      <x:alignment vertical="top" wrapText="1"/>
    </x:xf>
    <x:xf numFmtId="201" fontId="3" fillId="4" borderId="7" xfId="0" applyNumberFormat="1" applyFont="1" applyFill="1" applyBorder="1" applyAlignment="1">
      <x:alignment vertical="top" wrapText="1"/>
    </x:xf>
    <x:xf numFmtId="200" fontId="3" fillId="4" borderId="7" xfId="0" applyNumberFormat="1" applyFont="1" applyFill="1" applyBorder="1" applyAlignment="1">
      <x:alignment vertical="top" wrapText="1"/>
    </x:xf>
    <x:xf numFmtId="0" fontId="2" fillId="4" borderId="7" xfId="0" applyNumberFormat="1" applyFont="1" applyFill="1" applyBorder="1" applyAlignment="1">
      <x:alignment vertical="top" wrapText="1"/>
    </x:xf>
    <x:xf numFmtId="201" fontId="2" fillId="4" borderId="7" xfId="0" applyNumberFormat="1" applyFont="1" applyFill="1" applyBorder="1" applyAlignment="1">
      <x:alignment vertical="top" wrapText="1"/>
    </x:xf>
    <x:xf numFmtId="200" fontId="2" fillId="4" borderId="7" xfId="0" applyNumberFormat="1" applyFont="1" applyFill="1" applyBorder="1" applyAlignment="1">
      <x:alignment vertical="top"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top" wrapText="1"/>
    </x:xf>
    <x:xf numFmtId="203" fontId="3" fillId="0" borderId="5" xfId="0" applyNumberFormat="1" applyFont="1" applyFill="1" applyBorder="1" applyAlignment="1">
      <x:alignment vertical="top" wrapText="1"/>
    </x:xf>
    <x:xf numFmtId="203" fontId="3" fillId="0" borderId="6" xfId="0" applyNumberFormat="1" applyFont="1" applyFill="1" applyBorder="1" applyAlignment="1">
      <x:alignment vertical="top" wrapText="1"/>
    </x:xf>
    <x:xf numFmtId="203" fontId="3" fillId="0" borderId="7" xfId="0" applyNumberFormat="1" applyFont="1" applyFill="1" applyBorder="1" applyAlignment="1">
      <x:alignment vertical="top" wrapText="1"/>
    </x:xf>
    <x:xf numFmtId="0" fontId="1" fillId="0"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0" fontId="3" fillId="0" borderId="5" xfId="0" applyNumberFormat="1" applyFont="1" applyFill="1" applyBorder="1" applyAlignment="1">
      <x:alignment vertical="center" wrapText="1"/>
    </x:xf>
    <x:xf numFmtId="200" fontId="3" fillId="0" borderId="5"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201" fontId="3" fillId="0" borderId="5" xfId="0" applyNumberFormat="1" applyFont="1" applyFill="1" applyBorder="1" applyAlignment="1">
      <x:alignment vertical="center" wrapText="1"/>
    </x:xf>
    <x:xf numFmtId="0" fontId="3" fillId="0" borderId="6" xfId="0" applyNumberFormat="1" applyFont="1" applyFill="1" applyBorder="1" applyAlignment="1">
      <x:alignment vertical="center" wrapText="1"/>
    </x:xf>
    <x:xf numFmtId="200" fontId="3" fillId="0" borderId="6" xfId="0" applyNumberFormat="1" applyFont="1" applyFill="1" applyBorder="1" applyAlignment="1">
      <x:alignment vertical="center" wrapText="1"/>
    </x:xf>
    <x:xf numFmtId="201" fontId="3" fillId="0" borderId="6" xfId="0" applyNumberFormat="1" applyFont="1" applyFill="1" applyBorder="1" applyAlignment="1">
      <x:alignment vertical="center" wrapText="1"/>
    </x:xf>
    <x:xf numFmtId="0" fontId="3" fillId="0" borderId="7" xfId="0" applyNumberFormat="1" applyFont="1" applyFill="1" applyBorder="1" applyAlignment="1">
      <x:alignment vertical="center" wrapText="1"/>
    </x:xf>
    <x:xf numFmtId="201" fontId="3" fillId="0" borderId="7" xfId="0" applyNumberFormat="1" applyFont="1" applyFill="1" applyBorder="1" applyAlignment="1">
      <x:alignment vertical="center" wrapText="1"/>
    </x:xf>
    <x:xf numFmtId="200" fontId="3" fillId="0" borderId="7" xfId="0" applyNumberFormat="1" applyFont="1" applyFill="1" applyBorder="1" applyAlignment="1">
      <x:alignment vertical="center" wrapText="1"/>
    </x:xf>
    <x:xf numFmtId="200" fontId="4" fillId="0" borderId="5" xfId="0" applyNumberFormat="1" applyFont="1" applyFill="1" applyBorder="1" applyAlignment="1">
      <x:alignment vertical="center" wrapText="1"/>
    </x:xf>
    <x:xf numFmtId="200" fontId="4" fillId="0" borderId="6" xfId="0" applyNumberFormat="1" applyFont="1" applyFill="1" applyBorder="1" applyAlignment="1">
      <x:alignment vertical="center" wrapText="1"/>
    </x:xf>
    <x:xf numFmtId="200" fontId="4" fillId="3" borderId="6" xfId="0" applyNumberFormat="1" applyFont="1" applyFill="1" applyBorder="1" applyAlignment="1">
      <x:alignment vertical="center" wrapText="1"/>
    </x:xf>
    <x:xf numFmtId="201" fontId="4" fillId="0" borderId="6" xfId="0" applyNumberFormat="1" applyFont="1" applyFill="1" applyBorder="1" applyAlignment="1">
      <x:alignment vertical="center" wrapText="1"/>
    </x:xf>
    <x:xf numFmtId="201" fontId="4" fillId="0" borderId="7" xfId="0" applyNumberFormat="1" applyFont="1" applyFill="1" applyBorder="1" applyAlignment="1">
      <x:alignment vertical="center" wrapText="1"/>
    </x:xf>
    <x:xf numFmtId="202" fontId="3" fillId="0" borderId="5" xfId="0" applyNumberFormat="1" applyFont="1" applyFill="1" applyBorder="1" applyAlignment="1">
      <x:alignment vertical="center" wrapText="1"/>
    </x:xf>
    <x:xf numFmtId="202" fontId="3" fillId="0" borderId="6" xfId="0" applyNumberFormat="1" applyFont="1" applyFill="1" applyBorder="1" applyAlignment="1">
      <x:alignment vertical="center" wrapText="1"/>
    </x:xf>
    <x:xf numFmtId="0" fontId="2" fillId="4" borderId="7" xfId="0" applyNumberFormat="1" applyFont="1" applyFill="1" applyBorder="1" applyAlignment="1">
      <x:alignment vertical="center" wrapText="1"/>
    </x:xf>
    <x:xf numFmtId="201" fontId="2" fillId="4" borderId="7" xfId="0" applyNumberFormat="1" applyFont="1" applyFill="1" applyBorder="1" applyAlignment="1">
      <x:alignment vertical="center" wrapText="1"/>
    </x:xf>
    <x:xf numFmtId="200" fontId="2" fillId="4" borderId="7" xfId="0" applyNumberFormat="1" applyFont="1" applyFill="1" applyBorder="1" applyAlignment="1">
      <x:alignment vertical="center" wrapText="1"/>
    </x:xf>
    <x:xf numFmtId="202" fontId="3" fillId="0" borderId="7" xfId="0" applyNumberFormat="1" applyFont="1" applyFill="1" applyBorder="1" applyAlignment="1">
      <x:alignment vertical="center" wrapText="1"/>
    </x:xf>
    <x:xf numFmtId="203" fontId="3" fillId="0" borderId="5" xfId="0" applyNumberFormat="1" applyFont="1" applyFill="1" applyBorder="1" applyAlignment="1">
      <x:alignment vertical="center" wrapText="1"/>
    </x:xf>
    <x:xf numFmtId="203" fontId="3" fillId="0" borderId="6" xfId="0" applyNumberFormat="1" applyFont="1" applyFill="1" applyBorder="1" applyAlignment="1">
      <x:alignment vertical="center" wrapText="1"/>
    </x:xf>
    <x:xf numFmtId="203" fontId="3" fillId="0" borderId="7" xfId="0" applyNumberFormat="1" applyFont="1" applyFill="1" applyBorder="1" applyAlignment="1">
      <x:alignment vertical="center" wrapText="1"/>
    </x:xf>
  </x:cellXfs>
  <x:cellStyles count="1">
    <x:cellStyle name="Normal" xfId="0"/>
  </x:cellStyles>
  <x:dxfs count="8">
    <x:dxf>
      <x:font>
        <x:b/>
        <x:color rgb="FF9C0006"/>
      </x:font>
      <x:fill>
        <x:patternFill>
          <x:bgColor rgb="FFFCE8E6"/>
        </x:patternFill>
      </x:fill>
    </x:dxf>
    <x:dxf>
      <x:font>
        <x:b/>
        <x:color rgb="FF9C0006"/>
      </x:font>
      <x:fill>
        <x:patternFill>
          <x:bgColor rgb="FFFCE8E6"/>
        </x:patternFill>
      </x:fill>
    </x:dxf>
    <x:dxf>
      <x:font>
        <x:b/>
        <x:color rgb="FF9C0006"/>
      </x:font>
      <x:fill>
        <x:patternFill>
          <x:bgColor rgb="FFFCE8E6"/>
        </x:patternFill>
      </x:fill>
    </x:dxf>
    <x:dxf>
      <x:font>
        <x:b/>
        <x:color rgb="FF9C0006"/>
      </x:font>
      <x:fill>
        <x:patternFill>
          <x:bgColor rgb="FFFCE8E6"/>
        </x:patternFill>
      </x:fill>
    </x:dxf>
    <x:dxf>
      <x:font>
        <x:b/>
        <x:color rgb="FF9C0006"/>
      </x:font>
      <x:fill>
        <x:patternFill>
          <x:bgColor rgb="FFFCE8E6"/>
        </x:patternFill>
      </x:fill>
    </x:dxf>
    <x:dxf>
      <x:font>
        <x:b/>
        <x:color rgb="FF9C0006"/>
      </x:font>
      <x:fill>
        <x:patternFill>
          <x:bgColor rgb="FFFCE8E6"/>
        </x:patternFill>
      </x:fill>
    </x:dxf>
    <x:dxf>
      <x:font>
        <x:b/>
        <x:color rgb="FF9C0006"/>
      </x:font>
      <x:fill>
        <x:patternFill>
          <x:bgColor rgb="FFFCE8E6"/>
        </x:patternFill>
      </x:fill>
    </x:dxf>
    <x:dxf>
      <x:font>
        <x:b/>
        <x:color rgb="FF9C0006"/>
      </x:font>
      <x:fill>
        <x:patternFill>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d078b4f8bf44693" /><Relationship Type="http://schemas.openxmlformats.org/officeDocument/2006/relationships/theme" Target="/xl/theme/theme1.xml" Id="R776fd576264d4111" /><Relationship Type="http://schemas.openxmlformats.org/officeDocument/2006/relationships/sharedStrings" Target="/xl/sharedStrings.xml" Id="Ra118a8522ab74112" /><Relationship Type="http://schemas.openxmlformats.org/officeDocument/2006/relationships/worksheet" Target="/xl/worksheets/sheet1.xml" Id="R4e4aad0845ef487e" /><Relationship Type="http://schemas.openxmlformats.org/officeDocument/2006/relationships/worksheet" Target="/xl/worksheets/sheet2.xml" Id="R19980b7cc8fa4016" /><Relationship Type="http://schemas.openxmlformats.org/officeDocument/2006/relationships/worksheet" Target="/xl/worksheets/sheet3.xml" Id="R6343f2c2d8994c47" /><Relationship Type="http://schemas.openxmlformats.org/officeDocument/2006/relationships/worksheet" Target="/xl/worksheets/sheet4.xml" Id="Rec4d50161409493d" /><Relationship Type="http://schemas.openxmlformats.org/officeDocument/2006/relationships/worksheet" Target="/xl/worksheets/sheet5.xml" Id="Raf9c92f1a5f4466a" /><Relationship Type="http://schemas.openxmlformats.org/officeDocument/2006/relationships/worksheet" Target="/xl/worksheets/sheet6.xml" Id="R39e3a78569cc4cb9" /><Relationship Type="http://schemas.openxmlformats.org/officeDocument/2006/relationships/worksheet" Target="/xl/worksheets/sheet7.xml" Id="R9516751fbfd24c63" /><Relationship Type="http://schemas.openxmlformats.org/officeDocument/2006/relationships/worksheet" Target="/xl/worksheets/sheet8.xml" Id="Rc1a1914b1f4c4797" /><Relationship Type="http://schemas.openxmlformats.org/officeDocument/2006/relationships/worksheet" Target="/xl/worksheets/sheet9.xml" Id="R6fc6f7a794574ceb" /><Relationship Type="http://schemas.openxmlformats.org/officeDocument/2006/relationships/worksheet" Target="/xl/worksheets/sheet10.xml" Id="Rf888a8f8da344045" /><Relationship Type="http://schemas.openxmlformats.org/officeDocument/2006/relationships/worksheet" Target="/xl/worksheets/sheet11.xml" Id="Rd18d50abf7eb482d" /><Relationship Type="http://schemas.openxmlformats.org/officeDocument/2006/relationships/worksheet" Target="/xl/worksheets/sheet12.xml" Id="R78e962873dae45e7" /><Relationship Type="http://schemas.openxmlformats.org/officeDocument/2006/relationships/worksheet" Target="/xl/worksheets/sheet13.xml" Id="Rad4c351a925e4b2d" /></Relationships>
</file>

<file path=xl/drawings/_rels/drawing1.xml.rels>&#65279;<?xml version="1.0" encoding="utf-8"?><Relationships xmlns="http://schemas.openxmlformats.org/package/2006/relationships"><Relationship Type="http://schemas.openxmlformats.org/officeDocument/2006/relationships/chart" Target="/xl/drawings/charts/chart1.xml" Id="Rebfa5d83f8ab497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Cohort finance (USD B)</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Reserved USD B</c:v>
          </c:tx>
          <c:cat>
            <c:strRef>
              <c:f>'Summary'!$M$5:$M$7</c:f>
              <c:strCache>
                <c:ptCount val="0"/>
              </c:strCache>
            </c:strRef>
          </c:cat>
          <c:val>
            <c:numRef>
              <c:f>'Summary'!$N$5:$N$7</c:f>
              <c:numCache>
                <c:formatCode>0.000</c:formatCode>
                <c:ptCount val="0"/>
              </c:numCache>
            </c:numRef>
          </c:val>
        </c:ser>
        <c:ser>
          <c:idx val="1"/>
          <c:order val="1"/>
          <c:tx>
            <c:v>Obligated USD B</c:v>
          </c:tx>
          <c:cat>
            <c:strRef>
              <c:f>'Summary'!$M$5:$M$7</c:f>
              <c:strCache>
                <c:ptCount val="0"/>
              </c:strCache>
            </c:strRef>
          </c:cat>
          <c:val>
            <c:numRef>
              <c:f>'Summary'!$O$5:$O$7</c:f>
              <c:numCache>
                <c:formatCode>0.000</c:formatCode>
                <c:ptCount val="0"/>
              </c:numCache>
            </c:numRef>
          </c:val>
        </c:ser>
        <c:ser>
          <c:idx val="2"/>
          <c:order val="2"/>
          <c:tx>
            <c:v>Protected USD B</c:v>
          </c:tx>
          <c:cat>
            <c:strRef>
              <c:f>'Summary'!$M$5:$M$7</c:f>
              <c:strCache>
                <c:ptCount val="0"/>
              </c:strCache>
            </c:strRef>
          </c:cat>
          <c:val>
            <c:numRef>
              <c:f>'Summary'!$P$5:$P$7</c:f>
              <c:numCache>
                <c:formatCode>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11</xdr:col>
      <xdr:colOff>0</xdr:colOff>
      <xdr:row>9</xdr:row>
      <xdr:rowOff>0</xdr:rowOff>
    </xdr:from>
    <xdr:to>
      <xdr:col>18</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bfa5d83f8ab4973"/>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2cf8815b35f4d29" /></Relationships>
</file>

<file path=xl/worksheets/sheet1.xml><?xml version="1.0" encoding="utf-8"?>
<x:worksheet xmlns:x="http://schemas.openxmlformats.org/spreadsheetml/2006/main">
  <x:sheetViews>
    <x:sheetView showGridLines="0" workbookViewId="0"/>
  </x:sheetViews>
  <x:sheetFormatPr defaultRowHeight="15"/>
  <x:cols>
    <x:col min="1" max="1" width="43" hidden="0" customWidth="1"/>
    <x:col min="2" max="2" width="20" hidden="0" customWidth="1"/>
    <x:col min="3" max="3" width="28" hidden="0" customWidth="1"/>
    <x:col min="4" max="4" width="4"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4" hidden="0" customWidth="1"/>
    <x:col min="12" max="12" width="4" hidden="0" customWidth="1"/>
    <x:col min="13" max="13" width="15" hidden="0" customWidth="1"/>
    <x:col min="14" max="14" width="20" hidden="0" customWidth="1"/>
    <x:col min="15" max="15" width="21" hidden="0" customWidth="1"/>
    <x:col min="16" max="16" width="21" hidden="0" customWidth="1"/>
    <x:col min="17" max="17" width="4" hidden="0" customWidth="1"/>
    <x:col min="18" max="18" width="4" hidden="0" customWidth="1"/>
  </x:cols>
  <x:sheetData>
    <x:row r="2">
      <x:c r="A2" s="58" t="str">
        <x:v>Cohort-one execution warrant</x:v>
      </x:c>
      <x:c r="B2" s="59"/>
      <x:c r="C2" s="59"/>
      <x:c r="D2" s="59"/>
      <x:c r="E2" s="59"/>
      <x:c r="F2" s="59"/>
      <x:c r="G2" s="59"/>
      <x:c r="H2" s="59"/>
      <x:c r="I2" s="59"/>
      <x:c r="J2" s="59"/>
      <x:c r="K2" s="59"/>
      <x:c r="L2" s="59"/>
      <x:c r="M2" s="59"/>
      <x:c r="N2" s="59"/>
      <x:c r="O2" s="59"/>
      <x:c r="P2" s="59"/>
      <x:c r="Q2" s="59"/>
      <x:c r="R2" s="59"/>
    </x:row>
    <x:row r="3">
      <x:c r="A3" s="60"/>
      <x:c r="B3" s="60"/>
      <x:c r="C3" s="60"/>
      <x:c r="D3" s="60"/>
      <x:c r="E3" s="60"/>
      <x:c r="F3" s="60"/>
      <x:c r="G3" s="60"/>
      <x:c r="H3" s="60"/>
      <x:c r="I3" s="60"/>
      <x:c r="J3" s="60"/>
      <x:c r="K3" s="60"/>
      <x:c r="L3" s="60"/>
      <x:c r="M3" s="60"/>
      <x:c r="N3" s="60"/>
      <x:c r="O3" s="60"/>
      <x:c r="P3" s="60"/>
      <x:c r="Q3" s="60"/>
      <x:c r="R3" s="60"/>
    </x:row>
    <x:row r="4" ht="32" customHeight="1">
      <x:c r="A4" s="14" t="str">
        <x:v>Decision measure</x:v>
      </x:c>
      <x:c r="B4" s="15" t="str">
        <x:v>Value</x:v>
      </x:c>
      <x:c r="C4" s="16" t="str">
        <x:v>State</x:v>
      </x:c>
      <x:c r="D4" s="59"/>
      <x:c r="E4" s="59"/>
      <x:c r="F4" s="59"/>
      <x:c r="G4" s="59"/>
      <x:c r="H4" s="59"/>
      <x:c r="I4" s="59"/>
      <x:c r="J4" s="59"/>
      <x:c r="K4" s="59"/>
      <x:c r="L4" s="59"/>
      <x:c r="M4" s="14" t="str">
        <x:v>Cohort</x:v>
      </x:c>
      <x:c r="N4" s="15" t="str">
        <x:v>Reserved USD B</x:v>
      </x:c>
      <x:c r="O4" s="15" t="str">
        <x:v>Obligated USD B</x:v>
      </x:c>
      <x:c r="P4" s="16" t="str">
        <x:v>Protected USD B</x:v>
      </x:c>
      <x:c r="Q4" s="59"/>
      <x:c r="R4" s="59"/>
    </x:row>
    <x:row r="5">
      <x:c r="A5" s="61" t="str">
        <x:v>selected mobilization gates</x:v>
      </x:c>
      <x:c r="B5" s="62" t="n">
        <x:f>SUMIFS('Mobilization Candidates'!M5:M9,'Mobilization Candidates'!N5:N9,1)</x:f>
        <x:v>10</x:v>
      </x:c>
      <x:c r="C5" s="61" t="str">
        <x:v>ALL TEN</x:v>
      </x:c>
      <x:c r="D5" s="59"/>
      <x:c r="E5" s="63" t="str">
        <x:v>DECISION
Cohort Execution Warrant 1 obligates all thirty FRAME packages for the six cohort-one forms at the same instant. The obligation is USD 179M. The remaining USD 359M stays legally encumbered for cohorts 2 and 3 and cannot be reprogrammed. Six independent implementation cells receive notice to proceed; twelve sibling cells remain isolated and reserved. Package acceptance is separate from building and disbursement. Payment, accepted observations, survival and selection remain zero. Mobilization therefore creates funded design work without choosing a form or manufacturing evidence.</x:v>
      </x:c>
      <x:c r="F5" s="59"/>
      <x:c r="G5" s="59"/>
      <x:c r="H5" s="59"/>
      <x:c r="I5" s="59"/>
      <x:c r="J5" s="59"/>
      <x:c r="K5" s="59"/>
      <x:c r="L5" s="59"/>
      <x:c r="M5" s="61" t="n">
        <x:v>1</x:v>
      </x:c>
      <x:c r="N5" s="64" t="n">
        <x:f>SUMIFS('Form Warrants'!$H$5:$H$22,'Form Warrants'!$E$5:$E$22,M5)</x:f>
        <x:v>0.17934564096602829</x:v>
      </x:c>
      <x:c r="O5" s="64" t="n">
        <x:f>SUMIFS('Form Warrants'!$K$5:$K$22,'Form Warrants'!$E$5:$E$22,M5)</x:f>
        <x:v>0.17934564096602829</x:v>
      </x:c>
      <x:c r="P5" s="64" t="n">
        <x:f>N5-O5</x:f>
        <x:v>0</x:v>
      </x:c>
      <x:c r="Q5" s="59"/>
      <x:c r="R5" s="59"/>
    </x:row>
    <x:row r="6">
      <x:c r="A6" s="65" t="str">
        <x:v>legal learning warrants</x:v>
      </x:c>
      <x:c r="B6" s="66" t="n">
        <x:f>SUM('Form Warrants'!F5:F22)</x:f>
        <x:v>18</x:v>
      </x:c>
      <x:c r="C6" s="65" t="str">
        <x:v>ALL ISSUED</x:v>
      </x:c>
      <x:c r="D6" s="59"/>
      <x:c r="E6" s="59"/>
      <x:c r="F6" s="59"/>
      <x:c r="G6" s="59"/>
      <x:c r="H6" s="59"/>
      <x:c r="I6" s="59"/>
      <x:c r="J6" s="59"/>
      <x:c r="K6" s="59"/>
      <x:c r="L6" s="59"/>
      <x:c r="M6" s="65" t="n">
        <x:v>2</x:v>
      </x:c>
      <x:c r="N6" s="67" t="n">
        <x:f>SUMIFS('Form Warrants'!$H$5:$H$22,'Form Warrants'!$E$5:$E$22,M6)</x:f>
        <x:v>0.17934564096602829</x:v>
      </x:c>
      <x:c r="O6" s="67" t="n">
        <x:f>SUMIFS('Form Warrants'!$K$5:$K$22,'Form Warrants'!$E$5:$E$22,M6)</x:f>
        <x:v>0</x:v>
      </x:c>
      <x:c r="P6" s="67" t="n">
        <x:f>N6-O6</x:f>
        <x:v>0.17934564096602829</x:v>
      </x:c>
      <x:c r="Q6" s="59"/>
      <x:c r="R6" s="59"/>
    </x:row>
    <x:row r="7">
      <x:c r="A7" s="65" t="str">
        <x:v>active form warrants</x:v>
      </x:c>
      <x:c r="B7" s="66" t="n">
        <x:f>COUNTIFS('Form Warrants'!R5:R22,"OBLIGATED / EXECUTABLE")</x:f>
        <x:v>6</x:v>
      </x:c>
      <x:c r="C7" s="65" t="str">
        <x:v>COHORT 1</x:v>
      </x:c>
      <x:c r="D7" s="59"/>
      <x:c r="E7" s="59"/>
      <x:c r="F7" s="59"/>
      <x:c r="G7" s="59"/>
      <x:c r="H7" s="59"/>
      <x:c r="I7" s="59"/>
      <x:c r="J7" s="59"/>
      <x:c r="K7" s="59"/>
      <x:c r="L7" s="59"/>
      <x:c r="M7" s="68" t="n">
        <x:v>3</x:v>
      </x:c>
      <x:c r="N7" s="69" t="n">
        <x:f>SUMIFS('Form Warrants'!$H$5:$H$22,'Form Warrants'!$E$5:$E$22,M7)</x:f>
        <x:v>0.17934564096602829</x:v>
      </x:c>
      <x:c r="O7" s="69" t="n">
        <x:f>SUMIFS('Form Warrants'!$K$5:$K$22,'Form Warrants'!$E$5:$E$22,M7)</x:f>
        <x:v>0</x:v>
      </x:c>
      <x:c r="P7" s="69" t="n">
        <x:f>N7-O7</x:f>
        <x:v>0.17934564096602829</x:v>
      </x:c>
      <x:c r="Q7" s="59"/>
      <x:c r="R7" s="59"/>
    </x:row>
    <x:row r="8">
      <x:c r="A8" s="65" t="str">
        <x:v>held form warrants</x:v>
      </x:c>
      <x:c r="B8" s="66" t="n">
        <x:f>COUNTIFS('Form Warrants'!R5:R22,"ISSUED / RESERVED")</x:f>
        <x:v>12</x:v>
      </x:c>
      <x:c r="C8" s="65" t="str">
        <x:v>COHORTS 2–3</x:v>
      </x:c>
      <x:c r="D8" s="59"/>
      <x:c r="E8" s="59"/>
      <x:c r="F8" s="59"/>
      <x:c r="G8" s="59"/>
      <x:c r="H8" s="59"/>
      <x:c r="I8" s="59"/>
      <x:c r="J8" s="59"/>
      <x:c r="K8" s="59"/>
      <x:c r="L8" s="59"/>
      <x:c r="M8" s="59"/>
      <x:c r="N8" s="59"/>
      <x:c r="O8" s="59"/>
      <x:c r="P8" s="59"/>
      <x:c r="Q8" s="59"/>
      <x:c r="R8" s="59"/>
    </x:row>
    <x:row r="9">
      <x:c r="A9" s="65" t="str">
        <x:v>release-gate records</x:v>
      </x:c>
      <x:c r="B9" s="66" t="n">
        <x:f>COUNTA('Release Gates'!A5:A76)</x:f>
        <x:v>72</x:v>
      </x:c>
      <x:c r="C9" s="65" t="str">
        <x:v>TWELVE PER ACTIVE FORM</x:v>
      </x:c>
      <x:c r="D9" s="59"/>
      <x:c r="E9" s="59"/>
      <x:c r="F9" s="59"/>
      <x:c r="G9" s="59"/>
      <x:c r="H9" s="59"/>
      <x:c r="I9" s="59"/>
      <x:c r="J9" s="59"/>
      <x:c r="K9" s="59"/>
      <x:c r="L9" s="59"/>
      <x:c r="M9" s="59"/>
      <x:c r="N9" s="59"/>
      <x:c r="O9" s="59"/>
      <x:c r="P9" s="59"/>
      <x:c r="Q9" s="59"/>
      <x:c r="R9" s="59"/>
    </x:row>
    <x:row r="10">
      <x:c r="A10" s="65" t="str">
        <x:v>mobilized implementation cells</x:v>
      </x:c>
      <x:c r="B10" s="66" t="n">
        <x:f>SUM('Implementation Cells'!L5:L22)</x:f>
        <x:v>6</x:v>
      </x:c>
      <x:c r="C10" s="65" t="str">
        <x:v>ONE PER ACTIVE FORM</x:v>
      </x:c>
      <x:c r="D10" s="59"/>
      <x:c r="E10" s="59"/>
      <x:c r="F10" s="59"/>
      <x:c r="G10" s="59"/>
      <x:c r="H10" s="59"/>
      <x:c r="I10" s="59"/>
      <x:c r="J10" s="59"/>
      <x:c r="K10" s="59"/>
      <x:c r="L10" s="59"/>
      <x:c r="M10" s="59"/>
      <x:c r="N10" s="59"/>
      <x:c r="O10" s="59"/>
      <x:c r="P10" s="59"/>
      <x:c r="Q10" s="59"/>
      <x:c r="R10" s="59"/>
    </x:row>
    <x:row r="11">
      <x:c r="A11" s="65" t="str">
        <x:v>active package obligations</x:v>
      </x:c>
      <x:c r="B11" s="66" t="n">
        <x:f>COUNTIFS('Package Obligations'!U5:U94,"OBLIGATED / ACTIVE")</x:f>
        <x:v>30</x:v>
      </x:c>
      <x:c r="C11" s="65" t="str">
        <x:v>FIVE PER ACTIVE FORM</x:v>
      </x:c>
      <x:c r="D11" s="59"/>
      <x:c r="E11" s="59"/>
      <x:c r="F11" s="59"/>
      <x:c r="G11" s="59"/>
      <x:c r="H11" s="59"/>
      <x:c r="I11" s="59"/>
      <x:c r="J11" s="59"/>
      <x:c r="K11" s="59"/>
      <x:c r="L11" s="59"/>
      <x:c r="M11" s="59"/>
      <x:c r="N11" s="59"/>
      <x:c r="O11" s="59"/>
      <x:c r="P11" s="59"/>
      <x:c r="Q11" s="59"/>
      <x:c r="R11" s="59"/>
    </x:row>
    <x:row r="12">
      <x:c r="A12" s="65" t="str">
        <x:v>held package records</x:v>
      </x:c>
      <x:c r="B12" s="66" t="n">
        <x:f>COUNTIFS('Package Obligations'!U5:U94,"RESERVED / HELD")</x:f>
        <x:v>60</x:v>
      </x:c>
      <x:c r="C12" s="65" t="str">
        <x:v>PROTECTED</x:v>
      </x:c>
      <x:c r="D12" s="59"/>
      <x:c r="E12" s="59"/>
      <x:c r="F12" s="59"/>
      <x:c r="G12" s="59"/>
      <x:c r="H12" s="59"/>
      <x:c r="I12" s="59"/>
      <x:c r="J12" s="59"/>
      <x:c r="K12" s="59"/>
      <x:c r="L12" s="59"/>
      <x:c r="M12" s="59"/>
      <x:c r="N12" s="59"/>
      <x:c r="O12" s="59"/>
      <x:c r="P12" s="59"/>
      <x:c r="Q12" s="59"/>
      <x:c r="R12" s="59"/>
    </x:row>
    <x:row r="13">
      <x:c r="A13" s="65" t="str">
        <x:v>FRAME ceiling USD B</x:v>
      </x:c>
      <x:c r="B13" s="67" t="n">
        <x:f>'Cohort Finance'!F11</x:f>
        <x:v>0.5380369228980849</x:v>
      </x:c>
      <x:c r="C13" s="65" t="str">
        <x:v>FULL RESERVE</x:v>
      </x:c>
      <x:c r="D13" s="59"/>
      <x:c r="E13" s="59"/>
      <x:c r="F13" s="59"/>
      <x:c r="G13" s="59"/>
      <x:c r="H13" s="59"/>
      <x:c r="I13" s="59"/>
      <x:c r="J13" s="59"/>
      <x:c r="K13" s="59"/>
      <x:c r="L13" s="59"/>
      <x:c r="M13" s="59"/>
      <x:c r="N13" s="59"/>
      <x:c r="O13" s="59"/>
      <x:c r="P13" s="59"/>
      <x:c r="Q13" s="59"/>
      <x:c r="R13" s="59"/>
    </x:row>
    <x:row r="14">
      <x:c r="A14" s="65" t="str">
        <x:v>cohort-one obligation USD B</x:v>
      </x:c>
      <x:c r="B14" s="67" t="n">
        <x:f>'Cohort Finance'!H11</x:f>
        <x:v>0.17934564096602829</x:v>
      </x:c>
      <x:c r="C14" s="65" t="str">
        <x:v>OBLIGATED</x:v>
      </x:c>
      <x:c r="D14" s="59"/>
      <x:c r="E14" s="59"/>
      <x:c r="F14" s="59"/>
      <x:c r="G14" s="59"/>
      <x:c r="H14" s="59"/>
      <x:c r="I14" s="59"/>
      <x:c r="J14" s="59"/>
      <x:c r="K14" s="59"/>
      <x:c r="L14" s="59"/>
      <x:c r="M14" s="59"/>
      <x:c r="N14" s="59"/>
      <x:c r="O14" s="59"/>
      <x:c r="P14" s="59"/>
      <x:c r="Q14" s="59"/>
      <x:c r="R14" s="59"/>
    </x:row>
    <x:row r="15">
      <x:c r="A15" s="65" t="str">
        <x:v>protected later reserve USD B</x:v>
      </x:c>
      <x:c r="B15" s="67" t="n">
        <x:f>'Cohort Finance'!I11+'Cohort Finance'!J11</x:f>
        <x:v>0.35869128193205657</x:v>
      </x:c>
      <x:c r="C15" s="65" t="str">
        <x:v>ENCUMBERED</x:v>
      </x:c>
      <x:c r="D15" s="59"/>
      <x:c r="E15" s="59"/>
      <x:c r="F15" s="59"/>
      <x:c r="G15" s="59"/>
      <x:c r="H15" s="59"/>
      <x:c r="I15" s="59"/>
      <x:c r="J15" s="59"/>
      <x:c r="K15" s="59"/>
      <x:c r="L15" s="59"/>
      <x:c r="M15" s="59"/>
      <x:c r="N15" s="59"/>
      <x:c r="O15" s="59"/>
      <x:c r="P15" s="59"/>
      <x:c r="Q15" s="59"/>
      <x:c r="R15" s="59"/>
    </x:row>
    <x:row r="16">
      <x:c r="A16" s="65" t="str">
        <x:v>paid USD B</x:v>
      </x:c>
      <x:c r="B16" s="67" t="n">
        <x:f>'Cohort Finance'!L11</x:f>
        <x:v>0</x:v>
      </x:c>
      <x:c r="C16" s="65" t="str">
        <x:v>ZERO</x:v>
      </x:c>
      <x:c r="D16" s="59"/>
      <x:c r="E16" s="59"/>
      <x:c r="F16" s="59"/>
      <x:c r="G16" s="59"/>
      <x:c r="H16" s="59"/>
      <x:c r="I16" s="59"/>
      <x:c r="J16" s="59"/>
      <x:c r="K16" s="59"/>
      <x:c r="L16" s="59"/>
      <x:c r="M16" s="59"/>
      <x:c r="N16" s="59"/>
      <x:c r="O16" s="59"/>
      <x:c r="P16" s="59"/>
      <x:c r="Q16" s="59"/>
      <x:c r="R16" s="59"/>
    </x:row>
    <x:row r="17">
      <x:c r="A17" s="65" t="str">
        <x:v>accepted package artifacts</x:v>
      </x:c>
      <x:c r="B17" s="66" t="n">
        <x:f>'Cohort Finance'!M11</x:f>
        <x:v>0</x:v>
      </x:c>
      <x:c r="C17" s="65" t="str">
        <x:v>ZERO</x:v>
      </x:c>
      <x:c r="D17" s="59"/>
      <x:c r="E17" s="59"/>
      <x:c r="F17" s="59"/>
      <x:c r="G17" s="59"/>
      <x:c r="H17" s="59"/>
      <x:c r="I17" s="59"/>
      <x:c r="J17" s="59"/>
      <x:c r="K17" s="59"/>
      <x:c r="L17" s="59"/>
      <x:c r="M17" s="59"/>
      <x:c r="N17" s="59"/>
      <x:c r="O17" s="59"/>
      <x:c r="P17" s="59"/>
      <x:c r="Q17" s="59"/>
      <x:c r="R17" s="59"/>
    </x:row>
    <x:row r="18">
      <x:c r="A18" s="65" t="str">
        <x:v>accepted observations</x:v>
      </x:c>
      <x:c r="B18" s="66" t="n">
        <x:f>'Cohort Finance'!N11</x:f>
        <x:v>0</x:v>
      </x:c>
      <x:c r="C18" s="65" t="str">
        <x:v>ZERO</x:v>
      </x:c>
      <x:c r="D18" s="59"/>
      <x:c r="E18" s="59"/>
      <x:c r="F18" s="59"/>
      <x:c r="G18" s="59"/>
      <x:c r="H18" s="59"/>
      <x:c r="I18" s="59"/>
      <x:c r="J18" s="59"/>
      <x:c r="K18" s="59"/>
      <x:c r="L18" s="59"/>
      <x:c r="M18" s="59"/>
      <x:c r="N18" s="59"/>
      <x:c r="O18" s="59"/>
      <x:c r="P18" s="59"/>
      <x:c r="Q18" s="59"/>
      <x:c r="R18" s="59"/>
    </x:row>
    <x:row r="19">
      <x:c r="A19" s="68" t="str">
        <x:v>selected forms</x:v>
      </x:c>
      <x:c r="B19" s="70" t="n">
        <x:f>Controls!B20</x:f>
        <x:v>0</x:v>
      </x:c>
      <x:c r="C19" s="68" t="str">
        <x:v>ZERO</x:v>
      </x:c>
      <x:c r="D19" s="59"/>
      <x:c r="E19" s="59"/>
      <x:c r="F19" s="59"/>
      <x:c r="G19" s="59"/>
      <x:c r="H19" s="59"/>
      <x:c r="I19" s="59"/>
      <x:c r="J19" s="59"/>
      <x:c r="K19" s="59"/>
      <x:c r="L19" s="59"/>
      <x:c r="M19" s="59"/>
      <x:c r="N19" s="59"/>
      <x:c r="O19" s="59"/>
      <x:c r="P19" s="59"/>
      <x:c r="Q19" s="59"/>
      <x:c r="R19" s="59"/>
    </x:row>
  </x:sheetData>
  <x:mergeCells>
    <x:mergeCell ref="A2:R2"/>
    <x:mergeCell ref="E5:J15"/>
  </x:mergeCells>
  <x:pageMargins left="0.7" right="0.7" top="0.75" bottom="0.75" header="0.3" footer="0.3"/>
  <x:drawing xmlns:r="http://schemas.openxmlformats.org/officeDocument/2006/relationships" r:id="R42cf8815b35f4d29"/>
</x:worksheet>
</file>

<file path=xl/worksheets/sheet2.xml><?xml version="1.0" encoding="utf-8"?>
<x:worksheet xmlns:x="http://schemas.openxmlformats.org/spreadsheetml/2006/main">
  <x:sheetViews>
    <x:sheetView showGridLines="0" workbookViewId="0"/>
  </x:sheetViews>
  <x:sheetFormatPr defaultRowHeight="15"/>
  <x:cols>
    <x:col min="1" max="1" width="44" hidden="0" customWidth="1"/>
    <x:col min="2" max="2" width="23" hidden="0" customWidth="1"/>
    <x:col min="3" max="3" width="18" hidden="0" customWidth="1"/>
    <x:col min="4" max="4" width="38" hidden="0" customWidth="1"/>
  </x:cols>
  <x:sheetData>
    <x:row r="2">
      <x:c r="A2" s="58" t="str">
        <x:v>Cohort-one execution inputs</x:v>
      </x:c>
      <x:c r="B2" s="59"/>
      <x:c r="C2" s="59"/>
      <x:c r="D2" s="59"/>
    </x:row>
    <x:row r="3">
      <x:c r="A3" s="60"/>
      <x:c r="B3" s="60"/>
      <x:c r="C3" s="60"/>
      <x:c r="D3" s="60"/>
    </x:row>
    <x:row r="4">
      <x:c r="A4" s="59"/>
      <x:c r="B4" s="59"/>
      <x:c r="C4" s="59"/>
      <x:c r="D4" s="59"/>
    </x:row>
    <x:row r="5" ht="32" customHeight="1">
      <x:c r="A5" s="14" t="str">
        <x:v>Control</x:v>
      </x:c>
      <x:c r="B5" s="15" t="str">
        <x:v>Value</x:v>
      </x:c>
      <x:c r="C5" s="15" t="str">
        <x:v>Unit</x:v>
      </x:c>
      <x:c r="D5" s="16" t="str">
        <x:v>Authority</x:v>
      </x:c>
    </x:row>
    <x:row r="6">
      <x:c r="A6" s="61" t="str">
        <x:v>roots</x:v>
      </x:c>
      <x:c r="B6" s="71" t="n">
        <x:v>6</x:v>
      </x:c>
      <x:c r="C6" s="61" t="str">
        <x:v>count</x:v>
      </x:c>
      <x:c r="D6" s="61" t="str">
        <x:v>Pass 211</x:v>
      </x:c>
    </x:row>
    <x:row r="7">
      <x:c r="A7" s="65" t="str">
        <x:v>forms</x:v>
      </x:c>
      <x:c r="B7" s="72" t="n">
        <x:v>18</x:v>
      </x:c>
      <x:c r="C7" s="65" t="str">
        <x:v>count</x:v>
      </x:c>
      <x:c r="D7" s="65" t="str">
        <x:v>Pass 223</x:v>
      </x:c>
    </x:row>
    <x:row r="8">
      <x:c r="A8" s="65" t="str">
        <x:v>cohorts</x:v>
      </x:c>
      <x:c r="B8" s="72" t="n">
        <x:v>3</x:v>
      </x:c>
      <x:c r="C8" s="65" t="str">
        <x:v>count</x:v>
      </x:c>
      <x:c r="D8" s="65" t="str">
        <x:v>Pass 227</x:v>
      </x:c>
    </x:row>
    <x:row r="9">
      <x:c r="A9" s="65" t="str">
        <x:v>selected mobilization</x:v>
      </x:c>
      <x:c r="B9" s="73" t="str">
        <x:v>M4</x:v>
      </x:c>
      <x:c r="C9" s="65" t="str">
        <x:v>ID</x:v>
      </x:c>
      <x:c r="D9" s="65" t="str">
        <x:v>Pass 229</x:v>
      </x:c>
    </x:row>
    <x:row r="10">
      <x:c r="A10" s="65" t="str">
        <x:v>active cohort</x:v>
      </x:c>
      <x:c r="B10" s="73" t="n">
        <x:v>1</x:v>
      </x:c>
      <x:c r="C10" s="65" t="str">
        <x:v>ID</x:v>
      </x:c>
      <x:c r="D10" s="65" t="str">
        <x:v>Pass 229</x:v>
      </x:c>
    </x:row>
    <x:row r="11">
      <x:c r="A11" s="65" t="str">
        <x:v>active forms</x:v>
      </x:c>
      <x:c r="B11" s="72" t="n">
        <x:v>6</x:v>
      </x:c>
      <x:c r="C11" s="65" t="str">
        <x:v>count</x:v>
      </x:c>
      <x:c r="D11" s="65" t="str">
        <x:v>Pass 229</x:v>
      </x:c>
    </x:row>
    <x:row r="12">
      <x:c r="A12" s="65" t="str">
        <x:v>total work packages</x:v>
      </x:c>
      <x:c r="B12" s="72" t="n">
        <x:v>90</x:v>
      </x:c>
      <x:c r="C12" s="65" t="str">
        <x:v>count</x:v>
      </x:c>
      <x:c r="D12" s="65" t="str">
        <x:v>Pass 226</x:v>
      </x:c>
    </x:row>
    <x:row r="13">
      <x:c r="A13" s="65" t="str">
        <x:v>active work packages</x:v>
      </x:c>
      <x:c r="B13" s="72" t="n">
        <x:v>30</x:v>
      </x:c>
      <x:c r="C13" s="65" t="str">
        <x:v>count</x:v>
      </x:c>
      <x:c r="D13" s="65" t="str">
        <x:v>Pass 229</x:v>
      </x:c>
    </x:row>
    <x:row r="14">
      <x:c r="A14" s="65" t="str">
        <x:v>base cohort duration</x:v>
      </x:c>
      <x:c r="B14" s="72" t="n">
        <x:v>24</x:v>
      </x:c>
      <x:c r="C14" s="65" t="str">
        <x:v>weeks</x:v>
      </x:c>
      <x:c r="D14" s="65" t="str">
        <x:v>planning hypothesis</x:v>
      </x:c>
    </x:row>
    <x:row r="15">
      <x:c r="A15" s="65" t="str">
        <x:v>FRAME ceiling</x:v>
      </x:c>
      <x:c r="B15" s="74" t="n">
        <x:v>0.5380369228980849</x:v>
      </x:c>
      <x:c r="C15" s="65" t="str">
        <x:v>USD B</x:v>
      </x:c>
      <x:c r="D15" s="65" t="str">
        <x:v>Pass 226</x:v>
      </x:c>
    </x:row>
    <x:row r="16">
      <x:c r="A16" s="65" t="str">
        <x:v>cohort-one obligation</x:v>
      </x:c>
      <x:c r="B16" s="74" t="n">
        <x:v>0.1793456409660283</x:v>
      </x:c>
      <x:c r="C16" s="65" t="str">
        <x:v>USD B</x:v>
      </x:c>
      <x:c r="D16" s="65" t="str">
        <x:v>Pass 229</x:v>
      </x:c>
    </x:row>
    <x:row r="17">
      <x:c r="A17" s="65" t="str">
        <x:v>actual payments</x:v>
      </x:c>
      <x:c r="B17" s="74" t="n">
        <x:v>0</x:v>
      </x:c>
      <x:c r="C17" s="65" t="str">
        <x:v>USD B</x:v>
      </x:c>
      <x:c r="D17" s="65" t="str">
        <x:v>source empty</x:v>
      </x:c>
    </x:row>
    <x:row r="18">
      <x:c r="A18" s="65" t="str">
        <x:v>accepted package artifacts</x:v>
      </x:c>
      <x:c r="B18" s="74" t="n">
        <x:v>0</x:v>
      </x:c>
      <x:c r="C18" s="65" t="str">
        <x:v>count</x:v>
      </x:c>
      <x:c r="D18" s="65" t="str">
        <x:v>source empty</x:v>
      </x:c>
    </x:row>
    <x:row r="19">
      <x:c r="A19" s="65" t="str">
        <x:v>accepted observations</x:v>
      </x:c>
      <x:c r="B19" s="74" t="n">
        <x:v>0</x:v>
      </x:c>
      <x:c r="C19" s="65" t="str">
        <x:v>count</x:v>
      </x:c>
      <x:c r="D19" s="65" t="str">
        <x:v>source empty</x:v>
      </x:c>
    </x:row>
    <x:row r="20">
      <x:c r="A20" s="65" t="str">
        <x:v>selected forms</x:v>
      </x:c>
      <x:c r="B20" s="74" t="n">
        <x:v>0</x:v>
      </x:c>
      <x:c r="C20" s="65" t="str">
        <x:v>count</x:v>
      </x:c>
      <x:c r="D20" s="65" t="str">
        <x:v>held</x:v>
      </x:c>
    </x:row>
    <x:row r="21">
      <x:c r="A21" s="65" t="str">
        <x:v>safety equalization authority</x:v>
      </x:c>
      <x:c r="B21" s="74" t="n">
        <x:v>0</x:v>
      </x:c>
      <x:c r="C21" s="65" t="str">
        <x:v>USD B</x:v>
      </x:c>
      <x:c r="D21" s="65" t="str">
        <x:v>held</x:v>
      </x:c>
    </x:row>
    <x:row r="22">
      <x:c r="A22" s="68" t="str">
        <x:v>branch kills</x:v>
      </x:c>
      <x:c r="B22" s="75" t="n">
        <x:v>0</x:v>
      </x:c>
      <x:c r="C22" s="68" t="str">
        <x:v>count</x:v>
      </x:c>
      <x:c r="D22" s="68" t="str">
        <x:v>Pass 229 decision</x:v>
      </x:c>
    </x:row>
  </x:sheetData>
  <x:mergeCells>
    <x:mergeCell ref="A2:D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46" hidden="0" customWidth="1"/>
    <x:col min="3" max="3" width="16" hidden="0" customWidth="1"/>
    <x:col min="4" max="4" width="25" hidden="0" customWidth="1"/>
    <x:col min="5" max="5" width="22" hidden="0" customWidth="1"/>
    <x:col min="6" max="6" width="21" hidden="0" customWidth="1"/>
    <x:col min="7" max="7" width="20" hidden="0" customWidth="1"/>
    <x:col min="8" max="8" width="24" hidden="0" customWidth="1"/>
    <x:col min="9" max="9" width="24" hidden="0" customWidth="1"/>
    <x:col min="10" max="10" width="16" hidden="0" customWidth="1"/>
    <x:col min="11" max="11" width="18" hidden="0" customWidth="1"/>
    <x:col min="12" max="12" width="24" hidden="0" customWidth="1"/>
    <x:col min="13" max="13" width="16" hidden="0" customWidth="1"/>
    <x:col min="14" max="14" width="14" hidden="0" customWidth="1"/>
    <x:col min="15" max="15" width="23" hidden="0" customWidth="1"/>
    <x:col min="16" max="16" width="52" hidden="0" customWidth="1"/>
  </x:cols>
  <x:sheetData>
    <x:row r="2">
      <x:c r="A2" s="58" t="str">
        <x:v>Five cohort mobilization candidates</x:v>
      </x:c>
      <x:c r="B2" s="59"/>
      <x:c r="C2" s="59"/>
      <x:c r="D2" s="59"/>
      <x:c r="E2" s="59"/>
      <x:c r="F2" s="59"/>
      <x:c r="G2" s="59"/>
      <x:c r="H2" s="59"/>
      <x:c r="I2" s="59"/>
      <x:c r="J2" s="59"/>
      <x:c r="K2" s="59"/>
      <x:c r="L2" s="59"/>
      <x:c r="M2" s="59"/>
      <x:c r="N2" s="59"/>
      <x:c r="O2" s="59"/>
      <x:c r="P2" s="59"/>
    </x:row>
    <x:row r="3">
      <x:c r="A3" s="60"/>
      <x:c r="B3" s="60"/>
      <x:c r="C3" s="60"/>
      <x:c r="D3" s="60"/>
      <x:c r="E3" s="60"/>
      <x:c r="F3" s="60"/>
      <x:c r="G3" s="60"/>
      <x:c r="H3" s="60"/>
      <x:c r="I3" s="60"/>
      <x:c r="J3" s="60"/>
      <x:c r="K3" s="60"/>
      <x:c r="L3" s="60"/>
      <x:c r="M3" s="60"/>
      <x:c r="N3" s="60"/>
      <x:c r="O3" s="60"/>
      <x:c r="P3" s="60"/>
    </x:row>
    <x:row r="4" ht="32" customHeight="1">
      <x:c r="A4" s="14" t="str">
        <x:v>Candidate</x:v>
      </x:c>
      <x:c r="B4" s="15" t="str">
        <x:v>Architecture</x:v>
      </x:c>
      <x:c r="C4" s="15" t="str">
        <x:v>All six roots</x:v>
      </x:c>
      <x:c r="D4" s="15" t="str">
        <x:v>No more than six active forms</x:v>
      </x:c>
      <x:c r="E4" s="15" t="str">
        <x:v>Later reserves protected</x:v>
      </x:c>
      <x:c r="F4" s="15" t="str">
        <x:v>No contractor finance</x:v>
      </x:c>
      <x:c r="G4" s="15" t="str">
        <x:v>Unique control groups</x:v>
      </x:c>
      <x:c r="H4" s="15" t="str">
        <x:v>Package-level obligation</x:v>
      </x:c>
      <x:c r="I4" s="15" t="str">
        <x:v>Separate accepting authority</x:v>
      </x:c>
      <x:c r="J4" s="15" t="str">
        <x:v>Escrow active</x:v>
      </x:c>
      <x:c r="K4" s="15" t="str">
        <x:v>Safety route active</x:v>
      </x:c>
      <x:c r="L4" s="15" t="str">
        <x:v>No evidence or selection</x:v>
      </x:c>
      <x:c r="M4" s="15" t="str">
        <x:v>Gates passed</x:v>
      </x:c>
      <x:c r="N4" s="15" t="str">
        <x:v>Selected</x:v>
      </x:c>
      <x:c r="O4" s="15" t="str">
        <x:v>Disposition</x:v>
      </x:c>
      <x:c r="P4" s="16" t="str">
        <x:v>Primary defect</x:v>
      </x:c>
    </x:row>
    <x:row r="5">
      <x:c r="A5" s="61" t="str">
        <x:v>M1</x:v>
      </x:c>
      <x:c r="B5" s="61" t="str">
        <x:v>Obligate one root at a time</x:v>
      </x:c>
      <x:c r="C5" s="62" t="n">
        <x:v>0</x:v>
      </x:c>
      <x:c r="D5" s="62" t="n">
        <x:v>1</x:v>
      </x:c>
      <x:c r="E5" s="62" t="n">
        <x:v>1</x:v>
      </x:c>
      <x:c r="F5" s="62" t="n">
        <x:v>1</x:v>
      </x:c>
      <x:c r="G5" s="62" t="n">
        <x:v>1</x:v>
      </x:c>
      <x:c r="H5" s="62" t="n">
        <x:v>1</x:v>
      </x:c>
      <x:c r="I5" s="62" t="n">
        <x:v>1</x:v>
      </x:c>
      <x:c r="J5" s="62" t="n">
        <x:v>0</x:v>
      </x:c>
      <x:c r="K5" s="62" t="n">
        <x:v>1</x:v>
      </x:c>
      <x:c r="L5" s="62" t="n">
        <x:v>1</x:v>
      </x:c>
      <x:c r="M5" s="62" t="n">
        <x:f>SUM(C5:L5)</x:f>
        <x:v>8</x:v>
      </x:c>
      <x:c r="N5" s="62" t="n">
        <x:f>IF(A5=Controls!$B$9,1,0)</x:f>
        <x:v>0</x:v>
      </x:c>
      <x:c r="O5" s="61" t="str">
        <x:f>IF(N5=1,IF(M5=10,"SELECTED WARRANT","INVALID SELECTION"),"NOT SELECTED")</x:f>
        <x:v>NOT SELECTED</x:v>
      </x:c>
      <x:c r="P5" s="61" t="str">
        <x:v>Makes the first root the acquisition precedent</x:v>
      </x:c>
    </x:row>
    <x:row r="6">
      <x:c r="A6" s="65" t="str">
        <x:v>M2</x:v>
      </x:c>
      <x:c r="B6" s="65" t="str">
        <x:v>Obligate all eighteen forms</x:v>
      </x:c>
      <x:c r="C6" s="66" t="n">
        <x:v>1</x:v>
      </x:c>
      <x:c r="D6" s="66" t="n">
        <x:v>0</x:v>
      </x:c>
      <x:c r="E6" s="66" t="n">
        <x:v>1</x:v>
      </x:c>
      <x:c r="F6" s="66" t="n">
        <x:v>1</x:v>
      </x:c>
      <x:c r="G6" s="66" t="n">
        <x:v>1</x:v>
      </x:c>
      <x:c r="H6" s="66" t="n">
        <x:v>1</x:v>
      </x:c>
      <x:c r="I6" s="66" t="n">
        <x:v>1</x:v>
      </x:c>
      <x:c r="J6" s="66" t="n">
        <x:v>1</x:v>
      </x:c>
      <x:c r="K6" s="66" t="n">
        <x:v>1</x:v>
      </x:c>
      <x:c r="L6" s="66" t="n">
        <x:v>1</x:v>
      </x:c>
      <x:c r="M6" s="66" t="n">
        <x:f>SUM(C6:L6)</x:f>
        <x:v>9</x:v>
      </x:c>
      <x:c r="N6" s="66" t="n">
        <x:f>IF(A6=Controls!$B$9,1,0)</x:f>
        <x:v>0</x:v>
      </x:c>
      <x:c r="O6" s="65" t="str">
        <x:f>IF(N6=1,IF(M6=10,"SELECTED WARRANT","INVALID SELECTION"),"NOT SELECTED")</x:f>
        <x:v>NOT SELECTED</x:v>
      </x:c>
      <x:c r="P6" s="65" t="str">
        <x:v>Exceeds the six-form active capacity</x:v>
      </x:c>
    </x:row>
    <x:row r="7">
      <x:c r="A7" s="65" t="str">
        <x:v>M3</x:v>
      </x:c>
      <x:c r="B7" s="65" t="str">
        <x:v>Reimburse work after delivery</x:v>
      </x:c>
      <x:c r="C7" s="66" t="n">
        <x:v>1</x:v>
      </x:c>
      <x:c r="D7" s="66" t="n">
        <x:v>1</x:v>
      </x:c>
      <x:c r="E7" s="66" t="n">
        <x:v>0</x:v>
      </x:c>
      <x:c r="F7" s="66" t="n">
        <x:v>0</x:v>
      </x:c>
      <x:c r="G7" s="66" t="n">
        <x:v>1</x:v>
      </x:c>
      <x:c r="H7" s="66" t="n">
        <x:v>0</x:v>
      </x:c>
      <x:c r="I7" s="66" t="n">
        <x:v>1</x:v>
      </x:c>
      <x:c r="J7" s="66" t="n">
        <x:v>1</x:v>
      </x:c>
      <x:c r="K7" s="66" t="n">
        <x:v>1</x:v>
      </x:c>
      <x:c r="L7" s="66" t="n">
        <x:v>1</x:v>
      </x:c>
      <x:c r="M7" s="66" t="n">
        <x:f>SUM(C7:L7)</x:f>
        <x:v>7</x:v>
      </x:c>
      <x:c r="N7" s="66" t="n">
        <x:f>IF(A7=Controls!$B$9,1,0)</x:f>
        <x:v>0</x:v>
      </x:c>
      <x:c r="O7" s="65" t="str">
        <x:f>IF(N7=1,IF(M7=10,"SELECTED WARRANT","INVALID SELECTION"),"NOT SELECTED")</x:f>
        <x:v>NOT SELECTED</x:v>
      </x:c>
      <x:c r="P7" s="65" t="str">
        <x:v>Makes candidate firms finance public learning</x:v>
      </x:c>
    </x:row>
    <x:row r="8">
      <x:c r="A8" s="65" t="str">
        <x:v>M4</x:v>
      </x:c>
      <x:c r="B8" s="65" t="str">
        <x:v>Equal six-form execution warrant</x:v>
      </x:c>
      <x:c r="C8" s="66" t="n">
        <x:v>1</x:v>
      </x:c>
      <x:c r="D8" s="66" t="n">
        <x:v>1</x:v>
      </x:c>
      <x:c r="E8" s="66" t="n">
        <x:v>1</x:v>
      </x:c>
      <x:c r="F8" s="66" t="n">
        <x:v>1</x:v>
      </x:c>
      <x:c r="G8" s="66" t="n">
        <x:v>1</x:v>
      </x:c>
      <x:c r="H8" s="66" t="n">
        <x:v>1</x:v>
      </x:c>
      <x:c r="I8" s="66" t="n">
        <x:v>1</x:v>
      </x:c>
      <x:c r="J8" s="66" t="n">
        <x:v>1</x:v>
      </x:c>
      <x:c r="K8" s="66" t="n">
        <x:v>1</x:v>
      </x:c>
      <x:c r="L8" s="66" t="n">
        <x:v>1</x:v>
      </x:c>
      <x:c r="M8" s="66" t="n">
        <x:f>SUM(C8:L8)</x:f>
        <x:v>10</x:v>
      </x:c>
      <x:c r="N8" s="66" t="n">
        <x:f>IF(A8=Controls!$B$9,1,0)</x:f>
        <x:v>1</x:v>
      </x:c>
      <x:c r="O8" s="65" t="str">
        <x:f>IF(N8=1,IF(M8=10,"SELECTED WARRANT","INVALID SELECTION"),"NOT SELECTED")</x:f>
        <x:v>SELECTED WARRANT</x:v>
      </x:c>
      <x:c r="P8" s="65" t="str">
        <x:v>None</x:v>
      </x:c>
    </x:row>
    <x:row r="9">
      <x:c r="A9" s="68" t="str">
        <x:v>M5</x:v>
      </x:c>
      <x:c r="B9" s="68" t="str">
        <x:v>Central-prime cohort mobilization</x:v>
      </x:c>
      <x:c r="C9" s="70" t="n">
        <x:v>1</x:v>
      </x:c>
      <x:c r="D9" s="70" t="n">
        <x:v>1</x:v>
      </x:c>
      <x:c r="E9" s="70" t="n">
        <x:v>1</x:v>
      </x:c>
      <x:c r="F9" s="70" t="n">
        <x:v>1</x:v>
      </x:c>
      <x:c r="G9" s="70" t="n">
        <x:v>0</x:v>
      </x:c>
      <x:c r="H9" s="70" t="n">
        <x:v>1</x:v>
      </x:c>
      <x:c r="I9" s="70" t="n">
        <x:v>0</x:v>
      </x:c>
      <x:c r="J9" s="70" t="n">
        <x:v>0</x:v>
      </x:c>
      <x:c r="K9" s="70" t="n">
        <x:v>1</x:v>
      </x:c>
      <x:c r="L9" s="70" t="n">
        <x:v>1</x:v>
      </x:c>
      <x:c r="M9" s="70" t="n">
        <x:f>SUM(C9:L9)</x:f>
        <x:v>7</x:v>
      </x:c>
      <x:c r="N9" s="70" t="n">
        <x:f>IF(A9=Controls!$B$9,1,0)</x:f>
        <x:v>0</x:v>
      </x:c>
      <x:c r="O9" s="68" t="str">
        <x:f>IF(N9=1,IF(M9=10,"SELECTED WARRANT","INVALID SELECTION"),"NOT SELECTED")</x:f>
        <x:v>NOT SELECTED</x:v>
      </x:c>
      <x:c r="P9" s="68" t="str">
        <x:v>Creates common technical control and custody</x:v>
      </x:c>
    </x:row>
  </x:sheetData>
  <x:mergeCells>
    <x:mergeCell ref="A2:P2"/>
  </x:mergeCells>
  <x:conditionalFormatting sqref="O5:O9">
    <x:cfRule type="containsText" dxfId="0" priority="1" operator="containsText" text="INVALID"/>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1" hidden="0" customWidth="1"/>
    <x:col min="3" max="3" width="46" hidden="0" customWidth="1"/>
    <x:col min="4" max="4" width="24" hidden="0" customWidth="1"/>
    <x:col min="5" max="5" width="16" hidden="0" customWidth="1"/>
    <x:col min="6" max="6" width="24" hidden="0" customWidth="1"/>
    <x:col min="7" max="7" width="19" hidden="0" customWidth="1"/>
    <x:col min="8" max="8" width="26" hidden="0" customWidth="1"/>
    <x:col min="9" max="9" width="25" hidden="0" customWidth="1"/>
    <x:col min="10" max="10" width="25" hidden="0" customWidth="1"/>
    <x:col min="11" max="11" width="22" hidden="0" customWidth="1"/>
    <x:col min="12" max="12" width="16" hidden="0" customWidth="1"/>
    <x:col min="13" max="13" width="22" hidden="0" customWidth="1"/>
    <x:col min="14" max="14" width="25" hidden="0" customWidth="1"/>
    <x:col min="15" max="15" width="27" hidden="0" customWidth="1"/>
  </x:cols>
  <x:sheetData>
    <x:row r="2">
      <x:c r="A2" s="58" t="str">
        <x:v>Six root ceilings and three cohort balances</x:v>
      </x:c>
      <x:c r="B2" s="59"/>
      <x:c r="C2" s="59"/>
      <x:c r="D2" s="59"/>
      <x:c r="E2" s="59"/>
      <x:c r="F2" s="59"/>
      <x:c r="G2" s="59"/>
      <x:c r="H2" s="59"/>
      <x:c r="I2" s="59"/>
      <x:c r="J2" s="59"/>
      <x:c r="K2" s="59"/>
      <x:c r="L2" s="59"/>
      <x:c r="M2" s="59"/>
      <x:c r="N2" s="59"/>
      <x:c r="O2" s="59"/>
    </x:row>
    <x:row r="3">
      <x:c r="A3" s="60"/>
      <x:c r="B3" s="60"/>
      <x:c r="C3" s="60"/>
      <x:c r="D3" s="60"/>
      <x:c r="E3" s="60"/>
      <x:c r="F3" s="60"/>
      <x:c r="G3" s="60"/>
      <x:c r="H3" s="60"/>
      <x:c r="I3" s="60"/>
      <x:c r="J3" s="60"/>
      <x:c r="K3" s="60"/>
      <x:c r="L3" s="60"/>
      <x:c r="M3" s="60"/>
      <x:c r="N3" s="60"/>
      <x:c r="O3" s="60"/>
    </x:row>
    <x:row r="4" ht="32" customHeight="1">
      <x:c r="A4" s="14" t="str">
        <x:v>System</x:v>
      </x:c>
      <x:c r="B4" s="15" t="str">
        <x:v>Root</x:v>
      </x:c>
      <x:c r="C4" s="15" t="str">
        <x:v>Article</x:v>
      </x:c>
      <x:c r="D4" s="15" t="str">
        <x:v>Option ceiling USD B</x:v>
      </x:c>
      <x:c r="E4" s="15" t="str">
        <x:v>FRAME share</x:v>
      </x:c>
      <x:c r="F4" s="15" t="str">
        <x:v>Root FRAME ceiling USD B</x:v>
      </x:c>
      <x:c r="G4" s="15" t="str">
        <x:v>Cohort 1 form</x:v>
      </x:c>
      <x:c r="H4" s="15" t="str">
        <x:v>Cohort 1 obligation USD B</x:v>
      </x:c>
      <x:c r="I4" s="15" t="str">
        <x:v>Cohort 2 reserve USD B</x:v>
      </x:c>
      <x:c r="J4" s="15" t="str">
        <x:v>Cohort 3 reserve USD B</x:v>
      </x:c>
      <x:c r="K4" s="15" t="str">
        <x:v>Total reserved USD B</x:v>
      </x:c>
      <x:c r="L4" s="15" t="str">
        <x:v>Paid USD B</x:v>
      </x:c>
      <x:c r="M4" s="15" t="str">
        <x:v>Accepted artifacts</x:v>
      </x:c>
      <x:c r="N4" s="15" t="str">
        <x:v>Accepted observations</x:v>
      </x:c>
      <x:c r="O4" s="16" t="str">
        <x:v>Root state</x:v>
      </x:c>
    </x:row>
    <x:row r="5">
      <x:c r="A5" s="61" t="str">
        <x:v>MS-ET</x:v>
      </x:c>
      <x:c r="B5" s="61" t="str">
        <x:v>ET-A</x:v>
      </x:c>
      <x:c r="C5" s="61" t="str">
        <x:v>Pelagic exchange cell</x:v>
      </x:c>
      <x:c r="D5" s="64" t="n">
        <x:v>0.50047461808185</x:v>
      </x:c>
      <x:c r="E5" s="76" t="n">
        <x:v>0.15</x:v>
      </x:c>
      <x:c r="F5" s="64" t="n">
        <x:f>D5*E5</x:f>
        <x:v>0.0750711927122775</x:v>
      </x:c>
      <x:c r="G5" s="61" t="str">
        <x:f>INDEX('Form Warrants'!$A$5:$A$22,MATCH(1,('Form Warrants'!$B$5:$B$22=B5)*('Form Warrants'!$E$5:$E$22=1),0))</x:f>
        <x:v>ET-A-A</x:v>
      </x:c>
      <x:c r="H5" s="64" t="n">
        <x:f>SUMIFS('Form Warrants'!$K$5:$K$22,'Form Warrants'!$B$5:$B$22,B5,'Form Warrants'!$E$5:$E$22,1)</x:f>
        <x:v>0.0250237309040925</x:v>
      </x:c>
      <x:c r="I5" s="64" t="n">
        <x:f>SUMIFS('Form Warrants'!$H$5:$H$22,'Form Warrants'!$B$5:$B$22,B5,'Form Warrants'!$E$5:$E$22,2)</x:f>
        <x:v>0.0250237309040925</x:v>
      </x:c>
      <x:c r="J5" s="64" t="n">
        <x:f>SUMIFS('Form Warrants'!$H$5:$H$22,'Form Warrants'!$B$5:$B$22,B5,'Form Warrants'!$E$5:$E$22,3)</x:f>
        <x:v>0.0250237309040925</x:v>
      </x:c>
      <x:c r="K5" s="64" t="n">
        <x:f>H5+I5+J5</x:f>
        <x:v>0.0750711927122775</x:v>
      </x:c>
      <x:c r="L5" s="64" t="n">
        <x:v>0</x:v>
      </x:c>
      <x:c r="M5" s="62" t="n">
        <x:v>0</x:v>
      </x:c>
      <x:c r="N5" s="62" t="n">
        <x:v>0</x:v>
      </x:c>
      <x:c r="O5" s="61" t="str">
        <x:f>IF(AND(ABS(K5-F5)&lt;0.0000001,ABS(H5-F5/3)&lt;0.0000001,ABS(I5-F5/3)&lt;0.0000001,ABS(J5-F5/3)&lt;0.0000001,L5=0,M5=0,N5=0),"OBLIGATED / PROTECTED","INVALID")</x:f>
        <x:v>OBLIGATED / PROTECTED</x:v>
      </x:c>
    </x:row>
    <x:row r="6">
      <x:c r="A6" s="65" t="str">
        <x:v>MS-CT</x:v>
      </x:c>
      <x:c r="B6" s="65" t="str">
        <x:v>CT-C</x:v>
      </x:c>
      <x:c r="C6" s="65" t="str">
        <x:v>Occupied-building utility-spine sector</x:v>
      </x:c>
      <x:c r="D6" s="67" t="n">
        <x:v>0.51649348177396</x:v>
      </x:c>
      <x:c r="E6" s="77" t="n">
        <x:v>0.15</x:v>
      </x:c>
      <x:c r="F6" s="67" t="n">
        <x:f>D6*E6</x:f>
        <x:v>0.077474022266094</x:v>
      </x:c>
      <x:c r="G6" s="65" t="str">
        <x:f>INDEX('Form Warrants'!$A$5:$A$22,MATCH(1,('Form Warrants'!$B$5:$B$22=B6)*('Form Warrants'!$E$5:$E$22=1),0))</x:f>
        <x:v>CT-C-B</x:v>
      </x:c>
      <x:c r="H6" s="67" t="n">
        <x:f>SUMIFS('Form Warrants'!$K$5:$K$22,'Form Warrants'!$B$5:$B$22,B6,'Form Warrants'!$E$5:$E$22,1)</x:f>
        <x:v>0.025824674088698</x:v>
      </x:c>
      <x:c r="I6" s="67" t="n">
        <x:f>SUMIFS('Form Warrants'!$H$5:$H$22,'Form Warrants'!$B$5:$B$22,B6,'Form Warrants'!$E$5:$E$22,2)</x:f>
        <x:v>0.025824674088698</x:v>
      </x:c>
      <x:c r="J6" s="67" t="n">
        <x:f>SUMIFS('Form Warrants'!$H$5:$H$22,'Form Warrants'!$B$5:$B$22,B6,'Form Warrants'!$E$5:$E$22,3)</x:f>
        <x:v>0.025824674088698</x:v>
      </x:c>
      <x:c r="K6" s="67" t="n">
        <x:f>H6+I6+J6</x:f>
        <x:v>0.077474022266094</x:v>
      </x:c>
      <x:c r="L6" s="67" t="n">
        <x:v>0</x:v>
      </x:c>
      <x:c r="M6" s="66" t="n">
        <x:v>0</x:v>
      </x:c>
      <x:c r="N6" s="66" t="n">
        <x:v>0</x:v>
      </x:c>
      <x:c r="O6" s="65" t="str">
        <x:f>IF(AND(ABS(K6-F6)&lt;0.0000001,ABS(H6-F6/3)&lt;0.0000001,ABS(I6-F6/3)&lt;0.0000001,ABS(J6-F6/3)&lt;0.0000001,L6=0,M6=0,N6=0),"OBLIGATED / PROTECTED","INVALID")</x:f>
        <x:v>OBLIGATED / PROTECTED</x:v>
      </x:c>
    </x:row>
    <x:row r="7">
      <x:c r="A7" s="65" t="str">
        <x:v>MS-HC</x:v>
      </x:c>
      <x:c r="B7" s="65" t="str">
        <x:v>HC-A</x:v>
      </x:c>
      <x:c r="C7" s="65" t="str">
        <x:v>Atmospheric intervention cell</x:v>
      </x:c>
      <x:c r="D7" s="67" t="n">
        <x:v>0.307221654067133</x:v>
      </x:c>
      <x:c r="E7" s="77" t="n">
        <x:v>0.15</x:v>
      </x:c>
      <x:c r="F7" s="67" t="n">
        <x:f>D7*E7</x:f>
        <x:v>0.046083248110069946</x:v>
      </x:c>
      <x:c r="G7" s="65" t="str">
        <x:f>INDEX('Form Warrants'!$A$5:$A$22,MATCH(1,('Form Warrants'!$B$5:$B$22=B7)*('Form Warrants'!$E$5:$E$22=1),0))</x:f>
        <x:v>HC-A-C</x:v>
      </x:c>
      <x:c r="H7" s="67" t="n">
        <x:f>SUMIFS('Form Warrants'!$K$5:$K$22,'Form Warrants'!$B$5:$B$22,B7,'Form Warrants'!$E$5:$E$22,1)</x:f>
        <x:v>0.015361082703356649</x:v>
      </x:c>
      <x:c r="I7" s="67" t="n">
        <x:f>SUMIFS('Form Warrants'!$H$5:$H$22,'Form Warrants'!$B$5:$B$22,B7,'Form Warrants'!$E$5:$E$22,2)</x:f>
        <x:v>0.015361082703356649</x:v>
      </x:c>
      <x:c r="J7" s="67" t="n">
        <x:f>SUMIFS('Form Warrants'!$H$5:$H$22,'Form Warrants'!$B$5:$B$22,B7,'Form Warrants'!$E$5:$E$22,3)</x:f>
        <x:v>0.015361082703356649</x:v>
      </x:c>
      <x:c r="K7" s="67" t="n">
        <x:f>H7+I7+J7</x:f>
        <x:v>0.046083248110069946</x:v>
      </x:c>
      <x:c r="L7" s="67" t="n">
        <x:v>0</x:v>
      </x:c>
      <x:c r="M7" s="66" t="n">
        <x:v>0</x:v>
      </x:c>
      <x:c r="N7" s="66" t="n">
        <x:v>0</x:v>
      </x:c>
      <x:c r="O7" s="65" t="str">
        <x:f>IF(AND(ABS(K7-F7)&lt;0.0000001,ABS(H7-F7/3)&lt;0.0000001,ABS(I7-F7/3)&lt;0.0000001,ABS(J7-F7/3)&lt;0.0000001,L7=0,M7=0,N7=0),"OBLIGATED / PROTECTED","INVALID")</x:f>
        <x:v>OBLIGATED / PROTECTED</x:v>
      </x:c>
    </x:row>
    <x:row r="8">
      <x:c r="A8" s="65" t="str">
        <x:v>MS-LF</x:v>
      </x:c>
      <x:c r="B8" s="65" t="str">
        <x:v>LF-B</x:v>
      </x:c>
      <x:c r="C8" s="65" t="str">
        <x:v>Geothermal source position</x:v>
      </x:c>
      <x:c r="D8" s="67" t="n">
        <x:v>0.899412819320565</x:v>
      </x:c>
      <x:c r="E8" s="77" t="n">
        <x:v>0.15</x:v>
      </x:c>
      <x:c r="F8" s="67" t="n">
        <x:f>D8*E8</x:f>
        <x:v>0.13491192289808476</x:v>
      </x:c>
      <x:c r="G8" s="65" t="str">
        <x:f>INDEX('Form Warrants'!$A$5:$A$22,MATCH(1,('Form Warrants'!$B$5:$B$22=B8)*('Form Warrants'!$E$5:$E$22=1),0))</x:f>
        <x:v>LF-B-A</x:v>
      </x:c>
      <x:c r="H8" s="67" t="n">
        <x:f>SUMIFS('Form Warrants'!$K$5:$K$22,'Form Warrants'!$B$5:$B$22,B8,'Form Warrants'!$E$5:$E$22,1)</x:f>
        <x:v>0.04497064096602826</x:v>
      </x:c>
      <x:c r="I8" s="67" t="n">
        <x:f>SUMIFS('Form Warrants'!$H$5:$H$22,'Form Warrants'!$B$5:$B$22,B8,'Form Warrants'!$E$5:$E$22,2)</x:f>
        <x:v>0.04497064096602826</x:v>
      </x:c>
      <x:c r="J8" s="67" t="n">
        <x:f>SUMIFS('Form Warrants'!$H$5:$H$22,'Form Warrants'!$B$5:$B$22,B8,'Form Warrants'!$E$5:$E$22,3)</x:f>
        <x:v>0.04497064096602826</x:v>
      </x:c>
      <x:c r="K8" s="67" t="n">
        <x:f>H8+I8+J8</x:f>
        <x:v>0.13491192289808476</x:v>
      </x:c>
      <x:c r="L8" s="67" t="n">
        <x:v>0</x:v>
      </x:c>
      <x:c r="M8" s="66" t="n">
        <x:v>0</x:v>
      </x:c>
      <x:c r="N8" s="66" t="n">
        <x:v>0</x:v>
      </x:c>
      <x:c r="O8" s="65" t="str">
        <x:f>IF(AND(ABS(K8-F8)&lt;0.0000001,ABS(H8-F8/3)&lt;0.0000001,ABS(I8-F8/3)&lt;0.0000001,ABS(J8-F8/3)&lt;0.0000001,L8=0,M8=0,N8=0),"OBLIGATED / PROTECTED","INVALID")</x:f>
        <x:v>OBLIGATED / PROTECTED</x:v>
      </x:c>
    </x:row>
    <x:row r="9">
      <x:c r="A9" s="65" t="str">
        <x:v>MS-HU</x:v>
      </x:c>
      <x:c r="B9" s="65" t="str">
        <x:v>HU-A</x:v>
      </x:c>
      <x:c r="C9" s="65" t="str">
        <x:v>Complete clinical island</x:v>
      </x:c>
      <x:c r="D9" s="67" t="n">
        <x:v>0.860712452941095</x:v>
      </x:c>
      <x:c r="E9" s="77" t="n">
        <x:v>0.15</x:v>
      </x:c>
      <x:c r="F9" s="67" t="n">
        <x:f>D9*E9</x:f>
        <x:v>0.12910686794116424</x:v>
      </x:c>
      <x:c r="G9" s="65" t="str">
        <x:f>INDEX('Form Warrants'!$A$5:$A$22,MATCH(1,('Form Warrants'!$B$5:$B$22=B9)*('Form Warrants'!$E$5:$E$22=1),0))</x:f>
        <x:v>HU-A-B</x:v>
      </x:c>
      <x:c r="H9" s="67" t="n">
        <x:f>SUMIFS('Form Warrants'!$K$5:$K$22,'Form Warrants'!$B$5:$B$22,B9,'Form Warrants'!$E$5:$E$22,1)</x:f>
        <x:v>0.043035622647054746</x:v>
      </x:c>
      <x:c r="I9" s="67" t="n">
        <x:f>SUMIFS('Form Warrants'!$H$5:$H$22,'Form Warrants'!$B$5:$B$22,B9,'Form Warrants'!$E$5:$E$22,2)</x:f>
        <x:v>0.043035622647054746</x:v>
      </x:c>
      <x:c r="J9" s="67" t="n">
        <x:f>SUMIFS('Form Warrants'!$H$5:$H$22,'Form Warrants'!$B$5:$B$22,B9,'Form Warrants'!$E$5:$E$22,3)</x:f>
        <x:v>0.043035622647054746</x:v>
      </x:c>
      <x:c r="K9" s="67" t="n">
        <x:f>H9+I9+J9</x:f>
        <x:v>0.12910686794116424</x:v>
      </x:c>
      <x:c r="L9" s="67" t="n">
        <x:v>0</x:v>
      </x:c>
      <x:c r="M9" s="66" t="n">
        <x:v>0</x:v>
      </x:c>
      <x:c r="N9" s="66" t="n">
        <x:v>0</x:v>
      </x:c>
      <x:c r="O9" s="65" t="str">
        <x:f>IF(AND(ABS(K9-F9)&lt;0.0000001,ABS(H9-F9/3)&lt;0.0000001,ABS(I9-F9/3)&lt;0.0000001,ABS(J9-F9/3)&lt;0.0000001,L9=0,M9=0,N9=0),"OBLIGATED / PROTECTED","INVALID")</x:f>
        <x:v>OBLIGATED / PROTECTED</x:v>
      </x:c>
    </x:row>
    <x:row r="10">
      <x:c r="A10" s="65" t="str">
        <x:v>MS-RT</x:v>
      </x:c>
      <x:c r="B10" s="65" t="str">
        <x:v>RT-B</x:v>
      </x:c>
      <x:c r="C10" s="65" t="str">
        <x:v>Disconnected microfactory mesh</x:v>
      </x:c>
      <x:c r="D10" s="67" t="n">
        <x:v>0.502597793135963</x:v>
      </x:c>
      <x:c r="E10" s="77" t="n">
        <x:v>0.15</x:v>
      </x:c>
      <x:c r="F10" s="67" t="n">
        <x:f>D10*E10</x:f>
        <x:v>0.07538966897039444</x:v>
      </x:c>
      <x:c r="G10" s="65" t="str">
        <x:f>INDEX('Form Warrants'!$A$5:$A$22,MATCH(1,('Form Warrants'!$B$5:$B$22=B10)*('Form Warrants'!$E$5:$E$22=1),0))</x:f>
        <x:v>RT-B-C</x:v>
      </x:c>
      <x:c r="H10" s="67" t="n">
        <x:f>SUMIFS('Form Warrants'!$K$5:$K$22,'Form Warrants'!$B$5:$B$22,B10,'Form Warrants'!$E$5:$E$22,1)</x:f>
        <x:v>0.025129889656798146</x:v>
      </x:c>
      <x:c r="I10" s="67" t="n">
        <x:f>SUMIFS('Form Warrants'!$H$5:$H$22,'Form Warrants'!$B$5:$B$22,B10,'Form Warrants'!$E$5:$E$22,2)</x:f>
        <x:v>0.025129889656798146</x:v>
      </x:c>
      <x:c r="J10" s="67" t="n">
        <x:f>SUMIFS('Form Warrants'!$H$5:$H$22,'Form Warrants'!$B$5:$B$22,B10,'Form Warrants'!$E$5:$E$22,3)</x:f>
        <x:v>0.025129889656798146</x:v>
      </x:c>
      <x:c r="K10" s="67" t="n">
        <x:f>H10+I10+J10</x:f>
        <x:v>0.07538966897039444</x:v>
      </x:c>
      <x:c r="L10" s="67" t="n">
        <x:v>0</x:v>
      </x:c>
      <x:c r="M10" s="66" t="n">
        <x:v>0</x:v>
      </x:c>
      <x:c r="N10" s="66" t="n">
        <x:v>0</x:v>
      </x:c>
      <x:c r="O10" s="65" t="str">
        <x:f>IF(AND(ABS(K10-F10)&lt;0.0000001,ABS(H10-F10/3)&lt;0.0000001,ABS(I10-F10/3)&lt;0.0000001,ABS(J10-F10/3)&lt;0.0000001,L10=0,M10=0,N10=0),"OBLIGATED / PROTECTED","INVALID")</x:f>
        <x:v>OBLIGATED / PROTECTED</x:v>
      </x:c>
    </x:row>
    <x:row r="11">
      <x:c r="A11" s="78" t="str">
        <x:v>TOTAL</x:v>
      </x:c>
      <x:c r="B11" s="78" t="str">
        <x:v>six roots</x:v>
      </x:c>
      <x:c r="C11" s="78" t="str">
        <x:v>cohort balances</x:v>
      </x:c>
      <x:c r="D11" s="79" t="n">
        <x:f>SUM(D5:D10)</x:f>
        <x:v>3.586912819320566</x:v>
      </x:c>
      <x:c r="E11" s="78"/>
      <x:c r="F11" s="79" t="n">
        <x:f>SUM(F5:F10)</x:f>
        <x:v>0.5380369228980849</x:v>
      </x:c>
      <x:c r="G11" s="78"/>
      <x:c r="H11" s="79" t="n">
        <x:f>SUM(H5:H10)</x:f>
        <x:v>0.17934564096602829</x:v>
      </x:c>
      <x:c r="I11" s="79" t="n">
        <x:f>SUM(I5:I10)</x:f>
        <x:v>0.17934564096602829</x:v>
      </x:c>
      <x:c r="J11" s="79" t="n">
        <x:f>SUM(J5:J10)</x:f>
        <x:v>0.17934564096602829</x:v>
      </x:c>
      <x:c r="K11" s="79" t="n">
        <x:f>SUM(K5:K10)</x:f>
        <x:v>0.5380369228980849</x:v>
      </x:c>
      <x:c r="L11" s="79" t="n">
        <x:f>SUM(L5:L10)</x:f>
        <x:v>0</x:v>
      </x:c>
      <x:c r="M11" s="80" t="n">
        <x:f>SUM(M5:M10)</x:f>
        <x:v>0</x:v>
      </x:c>
      <x:c r="N11" s="80" t="n">
        <x:f>SUM(N5:N10)</x:f>
        <x:v>0</x:v>
      </x:c>
      <x:c r="O11" s="78" t="str">
        <x:f>IF(AND(ABS(K11-F11)&lt;0.0000001,ABS(H11-Controls!$B$15)&lt;0.0000001,L11=0,M11=0,N11=0),"CEW-1 ACTIVE","INVALID")</x:f>
        <x:v>INVALID</x:v>
      </x:c>
    </x:row>
  </x:sheetData>
  <x:mergeCells>
    <x:mergeCell ref="A2:O2"/>
  </x:mergeCells>
  <x:pageMargins left="0.7" right="0.7" top="0.75" bottom="0.75" header="0.3" footer="0.3"/>
</x:worksheet>
</file>

<file path=xl/worksheets/sheet5.xml><?xml version="1.0" encoding="utf-8"?>
<x:worksheet xmlns:x="http://schemas.openxmlformats.org/spreadsheetml/2006/main">
  <x:sheetViews>
    <x:sheetView showGridLines="0" workbookViewId="0">
      <x:pane xSplit="4" ySplit="4" topLeftCell="E5" activePane="bottomRight" state="frozen"/>
    </x:sheetView>
  </x:sheetViews>
  <x:sheetFormatPr defaultRowHeight="15"/>
  <x:cols>
    <x:col min="1" max="1" width="16" hidden="0" customWidth="1"/>
    <x:col min="2" max="2" width="11" hidden="0" customWidth="1"/>
    <x:col min="3" max="3" width="12" hidden="0" customWidth="1"/>
    <x:col min="4" max="4" width="44" hidden="0" customWidth="1"/>
    <x:col min="5" max="5" width="13" hidden="0" customWidth="1"/>
    <x:col min="6" max="6" width="12" hidden="0" customWidth="1"/>
    <x:col min="7" max="7" width="23" hidden="0" customWidth="1"/>
    <x:col min="8" max="8" width="20" hidden="0" customWidth="1"/>
    <x:col min="9" max="9" width="23" hidden="0" customWidth="1"/>
    <x:col min="10" max="10" width="25" hidden="0" customWidth="1"/>
    <x:col min="11" max="11" width="20" hidden="0" customWidth="1"/>
    <x:col min="12" max="12" width="20" hidden="0" customWidth="1"/>
    <x:col min="13" max="13" width="15" hidden="0" customWidth="1"/>
    <x:col min="14" max="14" width="27" hidden="0" customWidth="1"/>
    <x:col min="15" max="15" width="16" hidden="0" customWidth="1"/>
    <x:col min="16" max="16" width="24" hidden="0" customWidth="1"/>
    <x:col min="17" max="17" width="17" hidden="0" customWidth="1"/>
    <x:col min="18" max="18" width="27" hidden="0" customWidth="1"/>
    <x:col min="19" max="19" width="20" hidden="0" customWidth="1"/>
    <x:col min="20" max="20" width="24" hidden="0" customWidth="1"/>
  </x:cols>
  <x:sheetData>
    <x:row r="2">
      <x:c r="A2" s="58" t="str">
        <x:v>Eighteen learning warrants after cohort-one activation</x:v>
      </x:c>
      <x:c r="B2" s="59"/>
      <x:c r="C2" s="59"/>
      <x:c r="D2" s="59"/>
      <x:c r="E2" s="59"/>
      <x:c r="F2" s="59"/>
      <x:c r="G2" s="59"/>
      <x:c r="H2" s="59"/>
      <x:c r="I2" s="59"/>
      <x:c r="J2" s="59"/>
      <x:c r="K2" s="59"/>
      <x:c r="L2" s="59"/>
      <x:c r="M2" s="59"/>
      <x:c r="N2" s="59"/>
      <x:c r="O2" s="59"/>
      <x:c r="P2" s="59"/>
      <x:c r="Q2" s="59"/>
      <x:c r="R2" s="59"/>
      <x:c r="S2" s="59"/>
      <x:c r="T2" s="59"/>
    </x:row>
    <x:row r="3">
      <x:c r="A3" s="60"/>
      <x:c r="B3" s="60"/>
      <x:c r="C3" s="60"/>
      <x:c r="D3" s="60"/>
      <x:c r="E3" s="60"/>
      <x:c r="F3" s="60"/>
      <x:c r="G3" s="60"/>
      <x:c r="H3" s="60"/>
      <x:c r="I3" s="60"/>
      <x:c r="J3" s="60"/>
      <x:c r="K3" s="60"/>
      <x:c r="L3" s="60"/>
      <x:c r="M3" s="60"/>
      <x:c r="N3" s="60"/>
      <x:c r="O3" s="60"/>
      <x:c r="P3" s="60"/>
      <x:c r="Q3" s="60"/>
      <x:c r="R3" s="60"/>
      <x:c r="S3" s="60"/>
      <x:c r="T3" s="60"/>
    </x:row>
    <x:row r="4" ht="32" customHeight="1">
      <x:c r="A4" s="14" t="str">
        <x:v>Form</x:v>
      </x:c>
      <x:c r="B4" s="15" t="str">
        <x:v>Root</x:v>
      </x:c>
      <x:c r="C4" s="15" t="str">
        <x:v>Variant</x:v>
      </x:c>
      <x:c r="D4" s="15" t="str">
        <x:v>Candidate form</x:v>
      </x:c>
      <x:c r="E4" s="15" t="str">
        <x:v>Cohort</x:v>
      </x:c>
      <x:c r="F4" s="15" t="str">
        <x:v>Issued</x:v>
      </x:c>
      <x:c r="G4" s="15" t="str">
        <x:v>Configuration frozen</x:v>
      </x:c>
      <x:c r="H4" s="15" t="str">
        <x:v>Reserved USD B</x:v>
      </x:c>
      <x:c r="I4" s="15" t="str">
        <x:v>Release gates passed</x:v>
      </x:c>
      <x:c r="J4" s="15" t="str">
        <x:v>Implementation cell state</x:v>
      </x:c>
      <x:c r="K4" s="15" t="str">
        <x:v>Obligated USD B</x:v>
      </x:c>
      <x:c r="L4" s="15" t="str">
        <x:v>Notice to proceed</x:v>
      </x:c>
      <x:c r="M4" s="15" t="str">
        <x:v>Mobilized</x:v>
      </x:c>
      <x:c r="N4" s="15" t="str">
        <x:v>Accepted package artifacts</x:v>
      </x:c>
      <x:c r="O4" s="15" t="str">
        <x:v>Paid USD B</x:v>
      </x:c>
      <x:c r="P4" s="15" t="str">
        <x:v>Accepted observations</x:v>
      </x:c>
      <x:c r="Q4" s="15" t="str">
        <x:v>Selected form</x:v>
      </x:c>
      <x:c r="R4" s="15" t="str">
        <x:v>Warrant state</x:v>
      </x:c>
      <x:c r="S4" s="15" t="str">
        <x:v>Form occurrences</x:v>
      </x:c>
      <x:c r="T4" s="16" t="str">
        <x:v>Root-cohort occurrences</x:v>
      </x:c>
    </x:row>
    <x:row r="5">
      <x:c r="A5" s="61" t="str">
        <x:v>ET-A-A</x:v>
      </x:c>
      <x:c r="B5" s="61" t="str">
        <x:v>ET-A</x:v>
      </x:c>
      <x:c r="C5" s="61" t="str">
        <x:v>A</x:v>
      </x:c>
      <x:c r="D5" s="61" t="str">
        <x:v>Distributed twin-body exchange</x:v>
      </x:c>
      <x:c r="E5" s="62" t="n">
        <x:v>1</x:v>
      </x:c>
      <x:c r="F5" s="62" t="n">
        <x:v>1</x:v>
      </x:c>
      <x:c r="G5" s="62" t="n">
        <x:v>1</x:v>
      </x:c>
      <x:c r="H5" s="64" t="n">
        <x:f>INDEX('Cohort Finance'!$F$5:$F$10,MATCH(B5,'Cohort Finance'!$B$5:$B$10,0))/3</x:f>
        <x:v>0.0250237309040925</x:v>
      </x:c>
      <x:c r="I5" s="62" t="n">
        <x:f>COUNTIFS('Release Gates'!$B$5:$B$76,A5,'Release Gates'!$I$5:$I$76,"PASS")</x:f>
        <x:v>12</x:v>
      </x:c>
      <x:c r="J5" s="61" t="str">
        <x:f>INDEX('Implementation Cells'!$P$5:$P$22,MATCH(A5,'Implementation Cells'!$B$5:$B$22,0))</x:f>
        <x:v>MOBILIZED</x:v>
      </x:c>
      <x:c r="K5" s="64" t="n">
        <x:v>0.0250237309040925</x:v>
      </x:c>
      <x:c r="L5" s="62" t="n">
        <x:v>1</x:v>
      </x:c>
      <x:c r="M5" s="62" t="n">
        <x:v>1</x:v>
      </x:c>
      <x:c r="N5" s="62" t="n">
        <x:v>0</x:v>
      </x:c>
      <x:c r="O5" s="64" t="n">
        <x:v>0</x:v>
      </x:c>
      <x:c r="P5" s="62" t="n">
        <x:v>0</x:v>
      </x:c>
      <x:c r="Q5" s="62" t="n">
        <x:v>0</x:v>
      </x:c>
      <x:c r="R5" s="61" t="str">
        <x:f>IF(E5=1,IF(AND(F5=1,G5=1,I5=12,J5="MOBILIZED",ABS(K5-H5)&lt;0.0000001,L5=1,M5=1,N5=0,O5=0,P5=0,Q5=0),"OBLIGATED / EXECUTABLE","INVALID"),IF(AND(F5=1,G5=1,I5=0,J5="RESERVED / ISOLATED",K5=0,L5=0,M5=0,N5=0,O5=0,P5=0,Q5=0),"ISSUED / RESERVED","INVALID"))</x:f>
        <x:v>OBLIGATED / EXECUTABLE</x:v>
      </x:c>
      <x:c r="S5" s="62" t="n">
        <x:f>COUNTIFS($A$5:$A$22,A5)</x:f>
        <x:v>1</x:v>
      </x:c>
      <x:c r="T5" s="62" t="n">
        <x:f>COUNTIFS($B$5:$B$22,B5,$E$5:$E$22,E5)</x:f>
        <x:v>1</x:v>
      </x:c>
    </x:row>
    <x:row r="6">
      <x:c r="A6" s="65" t="str">
        <x:v>ET-A-B</x:v>
      </x:c>
      <x:c r="B6" s="65" t="str">
        <x:v>ET-A</x:v>
      </x:c>
      <x:c r="C6" s="65" t="str">
        <x:v>B</x:v>
      </x:c>
      <x:c r="D6" s="65" t="str">
        <x:v>Dual-chain articulated offshore spine</x:v>
      </x:c>
      <x:c r="E6" s="66" t="n">
        <x:v>2</x:v>
      </x:c>
      <x:c r="F6" s="66" t="n">
        <x:v>1</x:v>
      </x:c>
      <x:c r="G6" s="66" t="n">
        <x:v>1</x:v>
      </x:c>
      <x:c r="H6" s="67" t="n">
        <x:f>INDEX('Cohort Finance'!$F$5:$F$10,MATCH(B6,'Cohort Finance'!$B$5:$B$10,0))/3</x:f>
        <x:v>0.0250237309040925</x:v>
      </x:c>
      <x:c r="I6" s="66" t="n">
        <x:f>COUNTIFS('Release Gates'!$B$5:$B$76,A6,'Release Gates'!$I$5:$I$76,"PASS")</x:f>
        <x:v>0</x:v>
      </x:c>
      <x:c r="J6" s="65" t="str">
        <x:f>INDEX('Implementation Cells'!$P$5:$P$22,MATCH(A6,'Implementation Cells'!$B$5:$B$22,0))</x:f>
        <x:v>RESERVED / ISOLATED</x:v>
      </x:c>
      <x:c r="K6" s="67" t="n">
        <x:f>IF(E6=1,H6,0)</x:f>
        <x:v>0</x:v>
      </x:c>
      <x:c r="L6" s="66" t="n">
        <x:v>0</x:v>
      </x:c>
      <x:c r="M6" s="66" t="n">
        <x:v>0</x:v>
      </x:c>
      <x:c r="N6" s="66" t="n">
        <x:v>0</x:v>
      </x:c>
      <x:c r="O6" s="67" t="n">
        <x:v>0</x:v>
      </x:c>
      <x:c r="P6" s="66" t="n">
        <x:v>0</x:v>
      </x:c>
      <x:c r="Q6" s="66" t="n">
        <x:v>0</x:v>
      </x:c>
      <x:c r="R6" s="65" t="str">
        <x:f>IF(E6=1,IF(AND(F6=1,G6=1,I6=12,J6="MOBILIZED",ABS(K6-H6)&lt;0.0000001,L6=1,M6=1,N6=0,O6=0,P6=0,Q6=0),"OBLIGATED / EXECUTABLE","INVALID"),IF(AND(F6=1,G6=1,I6=0,J6="RESERVED / ISOLATED",K6=0,L6=0,M6=0,N6=0,O6=0,P6=0,Q6=0),"ISSUED / RESERVED","INVALID"))</x:f>
        <x:v>ISSUED / RESERVED</x:v>
      </x:c>
      <x:c r="S6" s="66" t="n">
        <x:f>COUNTIFS($A$5:$A$22,A6)</x:f>
        <x:v>1</x:v>
      </x:c>
      <x:c r="T6" s="66" t="n">
        <x:f>COUNTIFS($B$5:$B$22,B6,$E$5:$E$22,E6)</x:f>
        <x:v>1</x:v>
      </x:c>
    </x:row>
    <x:row r="7">
      <x:c r="A7" s="65" t="str">
        <x:v>ET-A-C</x:v>
      </x:c>
      <x:c r="B7" s="65" t="str">
        <x:v>ET-A</x:v>
      </x:c>
      <x:c r="C7" s="65" t="str">
        <x:v>C</x:v>
      </x:c>
      <x:c r="D7" s="65" t="str">
        <x:v>Split-frame semi-submersible lattice</x:v>
      </x:c>
      <x:c r="E7" s="66" t="n">
        <x:v>3</x:v>
      </x:c>
      <x:c r="F7" s="66" t="n">
        <x:v>1</x:v>
      </x:c>
      <x:c r="G7" s="66" t="n">
        <x:v>1</x:v>
      </x:c>
      <x:c r="H7" s="67" t="n">
        <x:f>INDEX('Cohort Finance'!$F$5:$F$10,MATCH(B7,'Cohort Finance'!$B$5:$B$10,0))/3</x:f>
        <x:v>0.0250237309040925</x:v>
      </x:c>
      <x:c r="I7" s="66" t="n">
        <x:f>COUNTIFS('Release Gates'!$B$5:$B$76,A7,'Release Gates'!$I$5:$I$76,"PASS")</x:f>
        <x:v>0</x:v>
      </x:c>
      <x:c r="J7" s="65" t="str">
        <x:f>INDEX('Implementation Cells'!$P$5:$P$22,MATCH(A7,'Implementation Cells'!$B$5:$B$22,0))</x:f>
        <x:v>RESERVED / ISOLATED</x:v>
      </x:c>
      <x:c r="K7" s="67" t="n">
        <x:f>IF(E7=1,H7,0)</x:f>
        <x:v>0</x:v>
      </x:c>
      <x:c r="L7" s="66" t="n">
        <x:v>0</x:v>
      </x:c>
      <x:c r="M7" s="66" t="n">
        <x:v>0</x:v>
      </x:c>
      <x:c r="N7" s="66" t="n">
        <x:v>0</x:v>
      </x:c>
      <x:c r="O7" s="67" t="n">
        <x:v>0</x:v>
      </x:c>
      <x:c r="P7" s="66" t="n">
        <x:v>0</x:v>
      </x:c>
      <x:c r="Q7" s="66" t="n">
        <x:v>0</x:v>
      </x:c>
      <x:c r="R7" s="65" t="str">
        <x:f>IF(E7=1,IF(AND(F7=1,G7=1,I7=12,J7="MOBILIZED",ABS(K7-H7)&lt;0.0000001,L7=1,M7=1,N7=0,O7=0,P7=0,Q7=0),"OBLIGATED / EXECUTABLE","INVALID"),IF(AND(F7=1,G7=1,I7=0,J7="RESERVED / ISOLATED",K7=0,L7=0,M7=0,N7=0,O7=0,P7=0,Q7=0),"ISSUED / RESERVED","INVALID"))</x:f>
        <x:v>ISSUED / RESERVED</x:v>
      </x:c>
      <x:c r="S7" s="66" t="n">
        <x:f>COUNTIFS($A$5:$A$22,A7)</x:f>
        <x:v>1</x:v>
      </x:c>
      <x:c r="T7" s="66" t="n">
        <x:f>COUNTIFS($B$5:$B$22,B7,$E$5:$E$22,E7)</x:f>
        <x:v>1</x:v>
      </x:c>
    </x:row>
    <x:row r="8">
      <x:c r="A8" s="65" t="str">
        <x:v>CT-C-A</x:v>
      </x:c>
      <x:c r="B8" s="65" t="str">
        <x:v>CT-C</x:v>
      </x:c>
      <x:c r="C8" s="65" t="str">
        <x:v>A</x:v>
      </x:c>
      <x:c r="D8" s="65" t="str">
        <x:v>Segmented telescoping utility spine</x:v>
      </x:c>
      <x:c r="E8" s="66" t="n">
        <x:v>3</x:v>
      </x:c>
      <x:c r="F8" s="66" t="n">
        <x:v>1</x:v>
      </x:c>
      <x:c r="G8" s="66" t="n">
        <x:v>1</x:v>
      </x:c>
      <x:c r="H8" s="67" t="n">
        <x:f>INDEX('Cohort Finance'!$F$5:$F$10,MATCH(B8,'Cohort Finance'!$B$5:$B$10,0))/3</x:f>
        <x:v>0.025824674088698</x:v>
      </x:c>
      <x:c r="I8" s="66" t="n">
        <x:f>COUNTIFS('Release Gates'!$B$5:$B$76,A8,'Release Gates'!$I$5:$I$76,"PASS")</x:f>
        <x:v>0</x:v>
      </x:c>
      <x:c r="J8" s="65" t="str">
        <x:f>INDEX('Implementation Cells'!$P$5:$P$22,MATCH(A8,'Implementation Cells'!$B$5:$B$22,0))</x:f>
        <x:v>RESERVED / ISOLATED</x:v>
      </x:c>
      <x:c r="K8" s="67" t="n">
        <x:f>IF(E8=1,H8,0)</x:f>
        <x:v>0</x:v>
      </x:c>
      <x:c r="L8" s="66" t="n">
        <x:v>0</x:v>
      </x:c>
      <x:c r="M8" s="66" t="n">
        <x:v>0</x:v>
      </x:c>
      <x:c r="N8" s="66" t="n">
        <x:v>0</x:v>
      </x:c>
      <x:c r="O8" s="67" t="n">
        <x:v>0</x:v>
      </x:c>
      <x:c r="P8" s="66" t="n">
        <x:v>0</x:v>
      </x:c>
      <x:c r="Q8" s="66" t="n">
        <x:v>0</x:v>
      </x:c>
      <x:c r="R8" s="65" t="str">
        <x:f>IF(E8=1,IF(AND(F8=1,G8=1,I8=12,J8="MOBILIZED",ABS(K8-H8)&lt;0.0000001,L8=1,M8=1,N8=0,O8=0,P8=0,Q8=0),"OBLIGATED / EXECUTABLE","INVALID"),IF(AND(F8=1,G8=1,I8=0,J8="RESERVED / ISOLATED",K8=0,L8=0,M8=0,N8=0,O8=0,P8=0,Q8=0),"ISSUED / RESERVED","INVALID"))</x:f>
        <x:v>ISSUED / RESERVED</x:v>
      </x:c>
      <x:c r="S8" s="66" t="n">
        <x:f>COUNTIFS($A$5:$A$22,A8)</x:f>
        <x:v>1</x:v>
      </x:c>
      <x:c r="T8" s="66" t="n">
        <x:f>COUNTIFS($B$5:$B$22,B8,$E$5:$E$22,E8)</x:f>
        <x:v>1</x:v>
      </x:c>
    </x:row>
    <x:row r="9">
      <x:c r="A9" s="65" t="str">
        <x:v>CT-C-B</x:v>
      </x:c>
      <x:c r="B9" s="65" t="str">
        <x:v>CT-C</x:v>
      </x:c>
      <x:c r="C9" s="65" t="str">
        <x:v>B</x:v>
      </x:c>
      <x:c r="D9" s="65" t="str">
        <x:v>Sectional suspended utility belt</x:v>
      </x:c>
      <x:c r="E9" s="66" t="n">
        <x:v>1</x:v>
      </x:c>
      <x:c r="F9" s="66" t="n">
        <x:v>1</x:v>
      </x:c>
      <x:c r="G9" s="66" t="n">
        <x:v>1</x:v>
      </x:c>
      <x:c r="H9" s="67" t="n">
        <x:f>INDEX('Cohort Finance'!$F$5:$F$10,MATCH(B9,'Cohort Finance'!$B$5:$B$10,0))/3</x:f>
        <x:v>0.025824674088698</x:v>
      </x:c>
      <x:c r="I9" s="66" t="n">
        <x:f>COUNTIFS('Release Gates'!$B$5:$B$76,A9,'Release Gates'!$I$5:$I$76,"PASS")</x:f>
        <x:v>12</x:v>
      </x:c>
      <x:c r="J9" s="65" t="str">
        <x:f>INDEX('Implementation Cells'!$P$5:$P$22,MATCH(A9,'Implementation Cells'!$B$5:$B$22,0))</x:f>
        <x:v>MOBILIZED</x:v>
      </x:c>
      <x:c r="K9" s="67" t="n">
        <x:f>IF(E9=1,H9,0)</x:f>
        <x:v>0.025824674088698</x:v>
      </x:c>
      <x:c r="L9" s="66" t="n">
        <x:v>1</x:v>
      </x:c>
      <x:c r="M9" s="66" t="n">
        <x:v>1</x:v>
      </x:c>
      <x:c r="N9" s="66" t="n">
        <x:v>0</x:v>
      </x:c>
      <x:c r="O9" s="67" t="n">
        <x:v>0</x:v>
      </x:c>
      <x:c r="P9" s="66" t="n">
        <x:v>0</x:v>
      </x:c>
      <x:c r="Q9" s="66" t="n">
        <x:v>0</x:v>
      </x:c>
      <x:c r="R9" s="65" t="str">
        <x:f>IF(E9=1,IF(AND(F9=1,G9=1,I9=12,J9="MOBILIZED",ABS(K9-H9)&lt;0.0000001,L9=1,M9=1,N9=0,O9=0,P9=0,Q9=0),"OBLIGATED / EXECUTABLE","INVALID"),IF(AND(F9=1,G9=1,I9=0,J9="RESERVED / ISOLATED",K9=0,L9=0,M9=0,N9=0,O9=0,P9=0,Q9=0),"ISSUED / RESERVED","INVALID"))</x:f>
        <x:v>OBLIGATED / EXECUTABLE</x:v>
      </x:c>
      <x:c r="S9" s="66" t="n">
        <x:f>COUNTIFS($A$5:$A$22,A9)</x:f>
        <x:v>1</x:v>
      </x:c>
      <x:c r="T9" s="66" t="n">
        <x:f>COUNTIFS($B$5:$B$22,B9,$E$5:$E$22,E9)</x:f>
        <x:v>1</x:v>
      </x:c>
    </x:row>
    <x:row r="10">
      <x:c r="A10" s="65" t="str">
        <x:v>CT-C-C</x:v>
      </x:c>
      <x:c r="B10" s="65" t="str">
        <x:v>CT-C</x:v>
      </x:c>
      <x:c r="C10" s="65" t="str">
        <x:v>C</x:v>
      </x:c>
      <x:c r="D10" s="65" t="str">
        <x:v>Mast-and-bridge insertion grid</x:v>
      </x:c>
      <x:c r="E10" s="66" t="n">
        <x:v>2</x:v>
      </x:c>
      <x:c r="F10" s="66" t="n">
        <x:v>1</x:v>
      </x:c>
      <x:c r="G10" s="66" t="n">
        <x:v>1</x:v>
      </x:c>
      <x:c r="H10" s="67" t="n">
        <x:f>INDEX('Cohort Finance'!$F$5:$F$10,MATCH(B10,'Cohort Finance'!$B$5:$B$10,0))/3</x:f>
        <x:v>0.025824674088698</x:v>
      </x:c>
      <x:c r="I10" s="66" t="n">
        <x:f>COUNTIFS('Release Gates'!$B$5:$B$76,A10,'Release Gates'!$I$5:$I$76,"PASS")</x:f>
        <x:v>0</x:v>
      </x:c>
      <x:c r="J10" s="65" t="str">
        <x:f>INDEX('Implementation Cells'!$P$5:$P$22,MATCH(A10,'Implementation Cells'!$B$5:$B$22,0))</x:f>
        <x:v>RESERVED / ISOLATED</x:v>
      </x:c>
      <x:c r="K10" s="67" t="n">
        <x:f>IF(E10=1,H10,0)</x:f>
        <x:v>0</x:v>
      </x:c>
      <x:c r="L10" s="66" t="n">
        <x:v>0</x:v>
      </x:c>
      <x:c r="M10" s="66" t="n">
        <x:v>0</x:v>
      </x:c>
      <x:c r="N10" s="66" t="n">
        <x:v>0</x:v>
      </x:c>
      <x:c r="O10" s="67" t="n">
        <x:v>0</x:v>
      </x:c>
      <x:c r="P10" s="66" t="n">
        <x:v>0</x:v>
      </x:c>
      <x:c r="Q10" s="66" t="n">
        <x:v>0</x:v>
      </x:c>
      <x:c r="R10" s="65" t="str">
        <x:f>IF(E10=1,IF(AND(F10=1,G10=1,I10=12,J10="MOBILIZED",ABS(K10-H10)&lt;0.0000001,L10=1,M10=1,N10=0,O10=0,P10=0,Q10=0),"OBLIGATED / EXECUTABLE","INVALID"),IF(AND(F10=1,G10=1,I10=0,J10="RESERVED / ISOLATED",K10=0,L10=0,M10=0,N10=0,O10=0,P10=0,Q10=0),"ISSUED / RESERVED","INVALID"))</x:f>
        <x:v>ISSUED / RESERVED</x:v>
      </x:c>
      <x:c r="S10" s="66" t="n">
        <x:f>COUNTIFS($A$5:$A$22,A10)</x:f>
        <x:v>1</x:v>
      </x:c>
      <x:c r="T10" s="66" t="n">
        <x:f>COUNTIFS($B$5:$B$22,B10,$E$5:$E$22,E10)</x:f>
        <x:v>1</x:v>
      </x:c>
    </x:row>
    <x:row r="11">
      <x:c r="A11" s="65" t="str">
        <x:v>HC-A-A</x:v>
      </x:c>
      <x:c r="B11" s="65" t="str">
        <x:v>HC-A</x:v>
      </x:c>
      <x:c r="C11" s="65" t="str">
        <x:v>A</x:v>
      </x:c>
      <x:c r="D11" s="65" t="str">
        <x:v>Independent winged sector cells</x:v>
      </x:c>
      <x:c r="E11" s="66" t="n">
        <x:v>2</x:v>
      </x:c>
      <x:c r="F11" s="66" t="n">
        <x:v>1</x:v>
      </x:c>
      <x:c r="G11" s="66" t="n">
        <x:v>1</x:v>
      </x:c>
      <x:c r="H11" s="67" t="n">
        <x:f>INDEX('Cohort Finance'!$F$5:$F$10,MATCH(B11,'Cohort Finance'!$B$5:$B$10,0))/3</x:f>
        <x:v>0.015361082703356649</x:v>
      </x:c>
      <x:c r="I11" s="66" t="n">
        <x:f>COUNTIFS('Release Gates'!$B$5:$B$76,A11,'Release Gates'!$I$5:$I$76,"PASS")</x:f>
        <x:v>0</x:v>
      </x:c>
      <x:c r="J11" s="65" t="str">
        <x:f>INDEX('Implementation Cells'!$P$5:$P$22,MATCH(A11,'Implementation Cells'!$B$5:$B$22,0))</x:f>
        <x:v>RESERVED / ISOLATED</x:v>
      </x:c>
      <x:c r="K11" s="67" t="n">
        <x:f>IF(E11=1,H11,0)</x:f>
        <x:v>0</x:v>
      </x:c>
      <x:c r="L11" s="66" t="n">
        <x:v>0</x:v>
      </x:c>
      <x:c r="M11" s="66" t="n">
        <x:v>0</x:v>
      </x:c>
      <x:c r="N11" s="66" t="n">
        <x:v>0</x:v>
      </x:c>
      <x:c r="O11" s="67" t="n">
        <x:v>0</x:v>
      </x:c>
      <x:c r="P11" s="66" t="n">
        <x:v>0</x:v>
      </x:c>
      <x:c r="Q11" s="66" t="n">
        <x:v>0</x:v>
      </x:c>
      <x:c r="R11" s="65" t="str">
        <x:f>IF(E11=1,IF(AND(F11=1,G11=1,I11=12,J11="MOBILIZED",ABS(K11-H11)&lt;0.0000001,L11=1,M11=1,N11=0,O11=0,P11=0,Q11=0),"OBLIGATED / EXECUTABLE","INVALID"),IF(AND(F11=1,G11=1,I11=0,J11="RESERVED / ISOLATED",K11=0,L11=0,M11=0,N11=0,O11=0,P11=0,Q11=0),"ISSUED / RESERVED","INVALID"))</x:f>
        <x:v>ISSUED / RESERVED</x:v>
      </x:c>
      <x:c r="S11" s="66" t="n">
        <x:f>COUNTIFS($A$5:$A$22,A11)</x:f>
        <x:v>1</x:v>
      </x:c>
      <x:c r="T11" s="66" t="n">
        <x:f>COUNTIFS($B$5:$B$22,B11,$E$5:$E$22,E11)</x:f>
        <x:v>1</x:v>
      </x:c>
    </x:row>
    <x:row r="12">
      <x:c r="A12" s="65" t="str">
        <x:v>HC-A-B</x:v>
      </x:c>
      <x:c r="B12" s="65" t="str">
        <x:v>HC-A</x:v>
      </x:c>
      <x:c r="C12" s="65" t="str">
        <x:v>B</x:v>
      </x:c>
      <x:c r="D12" s="65" t="str">
        <x:v>Independent aerostat sector cells</x:v>
      </x:c>
      <x:c r="E12" s="66" t="n">
        <x:v>3</x:v>
      </x:c>
      <x:c r="F12" s="66" t="n">
        <x:v>1</x:v>
      </x:c>
      <x:c r="G12" s="66" t="n">
        <x:v>1</x:v>
      </x:c>
      <x:c r="H12" s="67" t="n">
        <x:f>INDEX('Cohort Finance'!$F$5:$F$10,MATCH(B12,'Cohort Finance'!$B$5:$B$10,0))/3</x:f>
        <x:v>0.015361082703356649</x:v>
      </x:c>
      <x:c r="I12" s="66" t="n">
        <x:f>COUNTIFS('Release Gates'!$B$5:$B$76,A12,'Release Gates'!$I$5:$I$76,"PASS")</x:f>
        <x:v>0</x:v>
      </x:c>
      <x:c r="J12" s="65" t="str">
        <x:f>INDEX('Implementation Cells'!$P$5:$P$22,MATCH(A12,'Implementation Cells'!$B$5:$B$22,0))</x:f>
        <x:v>RESERVED / ISOLATED</x:v>
      </x:c>
      <x:c r="K12" s="67" t="n">
        <x:f>IF(E12=1,H12,0)</x:f>
        <x:v>0</x:v>
      </x:c>
      <x:c r="L12" s="66" t="n">
        <x:v>0</x:v>
      </x:c>
      <x:c r="M12" s="66" t="n">
        <x:v>0</x:v>
      </x:c>
      <x:c r="N12" s="66" t="n">
        <x:v>0</x:v>
      </x:c>
      <x:c r="O12" s="67" t="n">
        <x:v>0</x:v>
      </x:c>
      <x:c r="P12" s="66" t="n">
        <x:v>0</x:v>
      </x:c>
      <x:c r="Q12" s="66" t="n">
        <x:v>0</x:v>
      </x:c>
      <x:c r="R12" s="65" t="str">
        <x:f>IF(E12=1,IF(AND(F12=1,G12=1,I12=12,J12="MOBILIZED",ABS(K12-H12)&lt;0.0000001,L12=1,M12=1,N12=0,O12=0,P12=0,Q12=0),"OBLIGATED / EXECUTABLE","INVALID"),IF(AND(F12=1,G12=1,I12=0,J12="RESERVED / ISOLATED",K12=0,L12=0,M12=0,N12=0,O12=0,P12=0,Q12=0),"ISSUED / RESERVED","INVALID"))</x:f>
        <x:v>ISSUED / RESERVED</x:v>
      </x:c>
      <x:c r="S12" s="66" t="n">
        <x:f>COUNTIFS($A$5:$A$22,A12)</x:f>
        <x:v>1</x:v>
      </x:c>
      <x:c r="T12" s="66" t="n">
        <x:f>COUNTIFS($B$5:$B$22,B12,$E$5:$E$22,E12)</x:f>
        <x:v>1</x:v>
      </x:c>
    </x:row>
    <x:row r="13">
      <x:c r="A13" s="65" t="str">
        <x:v>HC-A-C</x:v>
      </x:c>
      <x:c r="B13" s="65" t="str">
        <x:v>HC-A</x:v>
      </x:c>
      <x:c r="C13" s="65" t="str">
        <x:v>C</x:v>
      </x:c>
      <x:c r="D13" s="65" t="str">
        <x:v>Distributed rotorborne cells</x:v>
      </x:c>
      <x:c r="E13" s="66" t="n">
        <x:v>1</x:v>
      </x:c>
      <x:c r="F13" s="66" t="n">
        <x:v>1</x:v>
      </x:c>
      <x:c r="G13" s="66" t="n">
        <x:v>1</x:v>
      </x:c>
      <x:c r="H13" s="67" t="n">
        <x:f>INDEX('Cohort Finance'!$F$5:$F$10,MATCH(B13,'Cohort Finance'!$B$5:$B$10,0))/3</x:f>
        <x:v>0.015361082703356649</x:v>
      </x:c>
      <x:c r="I13" s="66" t="n">
        <x:f>COUNTIFS('Release Gates'!$B$5:$B$76,A13,'Release Gates'!$I$5:$I$76,"PASS")</x:f>
        <x:v>12</x:v>
      </x:c>
      <x:c r="J13" s="65" t="str">
        <x:f>INDEX('Implementation Cells'!$P$5:$P$22,MATCH(A13,'Implementation Cells'!$B$5:$B$22,0))</x:f>
        <x:v>MOBILIZED</x:v>
      </x:c>
      <x:c r="K13" s="67" t="n">
        <x:f>IF(E13=1,H13,0)</x:f>
        <x:v>0.015361082703356649</x:v>
      </x:c>
      <x:c r="L13" s="66" t="n">
        <x:v>1</x:v>
      </x:c>
      <x:c r="M13" s="66" t="n">
        <x:v>1</x:v>
      </x:c>
      <x:c r="N13" s="66" t="n">
        <x:v>0</x:v>
      </x:c>
      <x:c r="O13" s="67" t="n">
        <x:v>0</x:v>
      </x:c>
      <x:c r="P13" s="66" t="n">
        <x:v>0</x:v>
      </x:c>
      <x:c r="Q13" s="66" t="n">
        <x:v>0</x:v>
      </x:c>
      <x:c r="R13" s="65" t="str">
        <x:f>IF(E13=1,IF(AND(F13=1,G13=1,I13=12,J13="MOBILIZED",ABS(K13-H13)&lt;0.0000001,L13=1,M13=1,N13=0,O13=0,P13=0,Q13=0),"OBLIGATED / EXECUTABLE","INVALID"),IF(AND(F13=1,G13=1,I13=0,J13="RESERVED / ISOLATED",K13=0,L13=0,M13=0,N13=0,O13=0,P13=0,Q13=0),"ISSUED / RESERVED","INVALID"))</x:f>
        <x:v>OBLIGATED / EXECUTABLE</x:v>
      </x:c>
      <x:c r="S13" s="66" t="n">
        <x:f>COUNTIFS($A$5:$A$22,A13)</x:f>
        <x:v>1</x:v>
      </x:c>
      <x:c r="T13" s="66" t="n">
        <x:f>COUNTIFS($B$5:$B$22,B13,$E$5:$E$22,E13)</x:f>
        <x:v>1</x:v>
      </x:c>
    </x:row>
    <x:row r="14">
      <x:c r="A14" s="65" t="str">
        <x:v>LF-B-A</x:v>
      </x:c>
      <x:c r="B14" s="65" t="str">
        <x:v>LF-B</x:v>
      </x:c>
      <x:c r="C14" s="65" t="str">
        <x:v>A</x:v>
      </x:c>
      <x:c r="D14" s="65" t="str">
        <x:v>Cellular radial multi-bore field</x:v>
      </x:c>
      <x:c r="E14" s="66" t="n">
        <x:v>1</x:v>
      </x:c>
      <x:c r="F14" s="66" t="n">
        <x:v>1</x:v>
      </x:c>
      <x:c r="G14" s="66" t="n">
        <x:v>1</x:v>
      </x:c>
      <x:c r="H14" s="67" t="n">
        <x:f>INDEX('Cohort Finance'!$F$5:$F$10,MATCH(B14,'Cohort Finance'!$B$5:$B$10,0))/3</x:f>
        <x:v>0.04497064096602826</x:v>
      </x:c>
      <x:c r="I14" s="66" t="n">
        <x:f>COUNTIFS('Release Gates'!$B$5:$B$76,A14,'Release Gates'!$I$5:$I$76,"PASS")</x:f>
        <x:v>12</x:v>
      </x:c>
      <x:c r="J14" s="65" t="str">
        <x:f>INDEX('Implementation Cells'!$P$5:$P$22,MATCH(A14,'Implementation Cells'!$B$5:$B$22,0))</x:f>
        <x:v>MOBILIZED</x:v>
      </x:c>
      <x:c r="K14" s="67" t="n">
        <x:f>IF(E14=1,H14,0)</x:f>
        <x:v>0.04497064096602826</x:v>
      </x:c>
      <x:c r="L14" s="66" t="n">
        <x:v>1</x:v>
      </x:c>
      <x:c r="M14" s="66" t="n">
        <x:v>1</x:v>
      </x:c>
      <x:c r="N14" s="66" t="n">
        <x:v>0</x:v>
      </x:c>
      <x:c r="O14" s="67" t="n">
        <x:v>0</x:v>
      </x:c>
      <x:c r="P14" s="66" t="n">
        <x:v>0</x:v>
      </x:c>
      <x:c r="Q14" s="66" t="n">
        <x:v>0</x:v>
      </x:c>
      <x:c r="R14" s="65" t="str">
        <x:f>IF(E14=1,IF(AND(F14=1,G14=1,I14=12,J14="MOBILIZED",ABS(K14-H14)&lt;0.0000001,L14=1,M14=1,N14=0,O14=0,P14=0,Q14=0),"OBLIGATED / EXECUTABLE","INVALID"),IF(AND(F14=1,G14=1,I14=0,J14="RESERVED / ISOLATED",K14=0,L14=0,M14=0,N14=0,O14=0,P14=0,Q14=0),"ISSUED / RESERVED","INVALID"))</x:f>
        <x:v>OBLIGATED / EXECUTABLE</x:v>
      </x:c>
      <x:c r="S14" s="66" t="n">
        <x:f>COUNTIFS($A$5:$A$22,A14)</x:f>
        <x:v>1</x:v>
      </x:c>
      <x:c r="T14" s="66" t="n">
        <x:f>COUNTIFS($B$5:$B$22,B14,$E$5:$E$22,E14)</x:f>
        <x:v>1</x:v>
      </x:c>
    </x:row>
    <x:row r="15">
      <x:c r="A15" s="65" t="str">
        <x:v>LF-B-B</x:v>
      </x:c>
      <x:c r="B15" s="65" t="str">
        <x:v>LF-B</x:v>
      </x:c>
      <x:c r="C15" s="65" t="str">
        <x:v>B</x:v>
      </x:c>
      <x:c r="D15" s="65" t="str">
        <x:v>Dual-basin roadless source train</x:v>
      </x:c>
      <x:c r="E15" s="66" t="n">
        <x:v>3</x:v>
      </x:c>
      <x:c r="F15" s="66" t="n">
        <x:v>1</x:v>
      </x:c>
      <x:c r="G15" s="66" t="n">
        <x:v>1</x:v>
      </x:c>
      <x:c r="H15" s="67" t="n">
        <x:f>INDEX('Cohort Finance'!$F$5:$F$10,MATCH(B15,'Cohort Finance'!$B$5:$B$10,0))/3</x:f>
        <x:v>0.04497064096602826</x:v>
      </x:c>
      <x:c r="I15" s="66" t="n">
        <x:f>COUNTIFS('Release Gates'!$B$5:$B$76,A15,'Release Gates'!$I$5:$I$76,"PASS")</x:f>
        <x:v>0</x:v>
      </x:c>
      <x:c r="J15" s="65" t="str">
        <x:f>INDEX('Implementation Cells'!$P$5:$P$22,MATCH(A15,'Implementation Cells'!$B$5:$B$22,0))</x:f>
        <x:v>RESERVED / ISOLATED</x:v>
      </x:c>
      <x:c r="K15" s="67" t="n">
        <x:f>IF(E15=1,H15,0)</x:f>
        <x:v>0</x:v>
      </x:c>
      <x:c r="L15" s="66" t="n">
        <x:v>0</x:v>
      </x:c>
      <x:c r="M15" s="66" t="n">
        <x:v>0</x:v>
      </x:c>
      <x:c r="N15" s="66" t="n">
        <x:v>0</x:v>
      </x:c>
      <x:c r="O15" s="67" t="n">
        <x:v>0</x:v>
      </x:c>
      <x:c r="P15" s="66" t="n">
        <x:v>0</x:v>
      </x:c>
      <x:c r="Q15" s="66" t="n">
        <x:v>0</x:v>
      </x:c>
      <x:c r="R15" s="65" t="str">
        <x:f>IF(E15=1,IF(AND(F15=1,G15=1,I15=12,J15="MOBILIZED",ABS(K15-H15)&lt;0.0000001,L15=1,M15=1,N15=0,O15=0,P15=0,Q15=0),"OBLIGATED / EXECUTABLE","INVALID"),IF(AND(F15=1,G15=1,I15=0,J15="RESERVED / ISOLATED",K15=0,L15=0,M15=0,N15=0,O15=0,P15=0,Q15=0),"ISSUED / RESERVED","INVALID"))</x:f>
        <x:v>ISSUED / RESERVED</x:v>
      </x:c>
      <x:c r="S15" s="66" t="n">
        <x:f>COUNTIFS($A$5:$A$22,A15)</x:f>
        <x:v>1</x:v>
      </x:c>
      <x:c r="T15" s="66" t="n">
        <x:f>COUNTIFS($B$5:$B$22,B15,$E$5:$E$22,E15)</x:f>
        <x:v>1</x:v>
      </x:c>
    </x:row>
    <x:row r="16">
      <x:c r="A16" s="65" t="str">
        <x:v>LF-B-C</x:v>
      </x:c>
      <x:c r="B16" s="65" t="str">
        <x:v>LF-B</x:v>
      </x:c>
      <x:c r="C16" s="65" t="str">
        <x:v>C</x:v>
      </x:c>
      <x:c r="D16" s="65" t="str">
        <x:v>Nearshore caisson source archipelago</x:v>
      </x:c>
      <x:c r="E16" s="66" t="n">
        <x:v>2</x:v>
      </x:c>
      <x:c r="F16" s="66" t="n">
        <x:v>1</x:v>
      </x:c>
      <x:c r="G16" s="66" t="n">
        <x:v>1</x:v>
      </x:c>
      <x:c r="H16" s="67" t="n">
        <x:f>INDEX('Cohort Finance'!$F$5:$F$10,MATCH(B16,'Cohort Finance'!$B$5:$B$10,0))/3</x:f>
        <x:v>0.04497064096602826</x:v>
      </x:c>
      <x:c r="I16" s="66" t="n">
        <x:f>COUNTIFS('Release Gates'!$B$5:$B$76,A16,'Release Gates'!$I$5:$I$76,"PASS")</x:f>
        <x:v>0</x:v>
      </x:c>
      <x:c r="J16" s="65" t="str">
        <x:f>INDEX('Implementation Cells'!$P$5:$P$22,MATCH(A16,'Implementation Cells'!$B$5:$B$22,0))</x:f>
        <x:v>RESERVED / ISOLATED</x:v>
      </x:c>
      <x:c r="K16" s="67" t="n">
        <x:f>IF(E16=1,H16,0)</x:f>
        <x:v>0</x:v>
      </x:c>
      <x:c r="L16" s="66" t="n">
        <x:v>0</x:v>
      </x:c>
      <x:c r="M16" s="66" t="n">
        <x:v>0</x:v>
      </x:c>
      <x:c r="N16" s="66" t="n">
        <x:v>0</x:v>
      </x:c>
      <x:c r="O16" s="67" t="n">
        <x:v>0</x:v>
      </x:c>
      <x:c r="P16" s="66" t="n">
        <x:v>0</x:v>
      </x:c>
      <x:c r="Q16" s="66" t="n">
        <x:v>0</x:v>
      </x:c>
      <x:c r="R16" s="65" t="str">
        <x:f>IF(E16=1,IF(AND(F16=1,G16=1,I16=12,J16="MOBILIZED",ABS(K16-H16)&lt;0.0000001,L16=1,M16=1,N16=0,O16=0,P16=0,Q16=0),"OBLIGATED / EXECUTABLE","INVALID"),IF(AND(F16=1,G16=1,I16=0,J16="RESERVED / ISOLATED",K16=0,L16=0,M16=0,N16=0,O16=0,P16=0,Q16=0),"ISSUED / RESERVED","INVALID"))</x:f>
        <x:v>ISSUED / RESERVED</x:v>
      </x:c>
      <x:c r="S16" s="66" t="n">
        <x:f>COUNTIFS($A$5:$A$22,A16)</x:f>
        <x:v>1</x:v>
      </x:c>
      <x:c r="T16" s="66" t="n">
        <x:f>COUNTIFS($B$5:$B$22,B16,$E$5:$E$22,E16)</x:f>
        <x:v>1</x:v>
      </x:c>
    </x:row>
    <x:row r="17">
      <x:c r="A17" s="65" t="str">
        <x:v>HU-A-A</x:v>
      </x:c>
      <x:c r="B17" s="65" t="str">
        <x:v>HU-A</x:v>
      </x:c>
      <x:c r="C17" s="65" t="str">
        <x:v>A</x:v>
      </x:c>
      <x:c r="D17" s="65" t="str">
        <x:v>Utility-separated clinical courtyards</x:v>
      </x:c>
      <x:c r="E17" s="66" t="n">
        <x:v>2</x:v>
      </x:c>
      <x:c r="F17" s="66" t="n">
        <x:v>1</x:v>
      </x:c>
      <x:c r="G17" s="66" t="n">
        <x:v>1</x:v>
      </x:c>
      <x:c r="H17" s="67" t="n">
        <x:f>INDEX('Cohort Finance'!$F$5:$F$10,MATCH(B17,'Cohort Finance'!$B$5:$B$10,0))/3</x:f>
        <x:v>0.043035622647054746</x:v>
      </x:c>
      <x:c r="I17" s="66" t="n">
        <x:f>COUNTIFS('Release Gates'!$B$5:$B$76,A17,'Release Gates'!$I$5:$I$76,"PASS")</x:f>
        <x:v>0</x:v>
      </x:c>
      <x:c r="J17" s="65" t="str">
        <x:f>INDEX('Implementation Cells'!$P$5:$P$22,MATCH(A17,'Implementation Cells'!$B$5:$B$22,0))</x:f>
        <x:v>RESERVED / ISOLATED</x:v>
      </x:c>
      <x:c r="K17" s="67" t="n">
        <x:f>IF(E17=1,H17,0)</x:f>
        <x:v>0</x:v>
      </x:c>
      <x:c r="L17" s="66" t="n">
        <x:v>0</x:v>
      </x:c>
      <x:c r="M17" s="66" t="n">
        <x:v>0</x:v>
      </x:c>
      <x:c r="N17" s="66" t="n">
        <x:v>0</x:v>
      </x:c>
      <x:c r="O17" s="67" t="n">
        <x:v>0</x:v>
      </x:c>
      <x:c r="P17" s="66" t="n">
        <x:v>0</x:v>
      </x:c>
      <x:c r="Q17" s="66" t="n">
        <x:v>0</x:v>
      </x:c>
      <x:c r="R17" s="65" t="str">
        <x:f>IF(E17=1,IF(AND(F17=1,G17=1,I17=12,J17="MOBILIZED",ABS(K17-H17)&lt;0.0000001,L17=1,M17=1,N17=0,O17=0,P17=0,Q17=0),"OBLIGATED / EXECUTABLE","INVALID"),IF(AND(F17=1,G17=1,I17=0,J17="RESERVED / ISOLATED",K17=0,L17=0,M17=0,N17=0,O17=0,P17=0,Q17=0),"ISSUED / RESERVED","INVALID"))</x:f>
        <x:v>ISSUED / RESERVED</x:v>
      </x:c>
      <x:c r="S17" s="66" t="n">
        <x:f>COUNTIFS($A$5:$A$22,A17)</x:f>
        <x:v>1</x:v>
      </x:c>
      <x:c r="T17" s="66" t="n">
        <x:f>COUNTIFS($B$5:$B$22,B17,$E$5:$E$22,E17)</x:f>
        <x:v>1</x:v>
      </x:c>
    </x:row>
    <x:row r="18">
      <x:c r="A18" s="65" t="str">
        <x:v>HU-A-B</x:v>
      </x:c>
      <x:c r="B18" s="65" t="str">
        <x:v>HU-A</x:v>
      </x:c>
      <x:c r="C18" s="65" t="str">
        <x:v>B</x:v>
      </x:c>
      <x:c r="D18" s="65" t="str">
        <x:v>Sectional bypassed care spine</x:v>
      </x:c>
      <x:c r="E18" s="66" t="n">
        <x:v>1</x:v>
      </x:c>
      <x:c r="F18" s="66" t="n">
        <x:v>1</x:v>
      </x:c>
      <x:c r="G18" s="66" t="n">
        <x:v>1</x:v>
      </x:c>
      <x:c r="H18" s="67" t="n">
        <x:f>INDEX('Cohort Finance'!$F$5:$F$10,MATCH(B18,'Cohort Finance'!$B$5:$B$10,0))/3</x:f>
        <x:v>0.043035622647054746</x:v>
      </x:c>
      <x:c r="I18" s="66" t="n">
        <x:f>COUNTIFS('Release Gates'!$B$5:$B$76,A18,'Release Gates'!$I$5:$I$76,"PASS")</x:f>
        <x:v>12</x:v>
      </x:c>
      <x:c r="J18" s="65" t="str">
        <x:f>INDEX('Implementation Cells'!$P$5:$P$22,MATCH(A18,'Implementation Cells'!$B$5:$B$22,0))</x:f>
        <x:v>MOBILIZED</x:v>
      </x:c>
      <x:c r="K18" s="67" t="n">
        <x:f>IF(E18=1,H18,0)</x:f>
        <x:v>0.043035622647054746</x:v>
      </x:c>
      <x:c r="L18" s="66" t="n">
        <x:v>1</x:v>
      </x:c>
      <x:c r="M18" s="66" t="n">
        <x:v>1</x:v>
      </x:c>
      <x:c r="N18" s="66" t="n">
        <x:v>0</x:v>
      </x:c>
      <x:c r="O18" s="67" t="n">
        <x:v>0</x:v>
      </x:c>
      <x:c r="P18" s="66" t="n">
        <x:v>0</x:v>
      </x:c>
      <x:c r="Q18" s="66" t="n">
        <x:v>0</x:v>
      </x:c>
      <x:c r="R18" s="65" t="str">
        <x:f>IF(E18=1,IF(AND(F18=1,G18=1,I18=12,J18="MOBILIZED",ABS(K18-H18)&lt;0.0000001,L18=1,M18=1,N18=0,O18=0,P18=0,Q18=0),"OBLIGATED / EXECUTABLE","INVALID"),IF(AND(F18=1,G18=1,I18=0,J18="RESERVED / ISOLATED",K18=0,L18=0,M18=0,N18=0,O18=0,P18=0,Q18=0),"ISSUED / RESERVED","INVALID"))</x:f>
        <x:v>OBLIGATED / EXECUTABLE</x:v>
      </x:c>
      <x:c r="S18" s="66" t="n">
        <x:f>COUNTIFS($A$5:$A$22,A18)</x:f>
        <x:v>1</x:v>
      </x:c>
      <x:c r="T18" s="66" t="n">
        <x:f>COUNTIFS($B$5:$B$22,B18,$E$5:$E$22,E18)</x:f>
        <x:v>1</x:v>
      </x:c>
    </x:row>
    <x:row r="19">
      <x:c r="A19" s="65" t="str">
        <x:v>HU-A-C</x:v>
      </x:c>
      <x:c r="B19" s="65" t="str">
        <x:v>HU-A</x:v>
      </x:c>
      <x:c r="C19" s="65" t="str">
        <x:v>C</x:v>
      </x:c>
      <x:c r="D19" s="65" t="str">
        <x:v>Paired clinical metabolism towers</x:v>
      </x:c>
      <x:c r="E19" s="66" t="n">
        <x:v>3</x:v>
      </x:c>
      <x:c r="F19" s="66" t="n">
        <x:v>1</x:v>
      </x:c>
      <x:c r="G19" s="66" t="n">
        <x:v>1</x:v>
      </x:c>
      <x:c r="H19" s="67" t="n">
        <x:f>INDEX('Cohort Finance'!$F$5:$F$10,MATCH(B19,'Cohort Finance'!$B$5:$B$10,0))/3</x:f>
        <x:v>0.043035622647054746</x:v>
      </x:c>
      <x:c r="I19" s="66" t="n">
        <x:f>COUNTIFS('Release Gates'!$B$5:$B$76,A19,'Release Gates'!$I$5:$I$76,"PASS")</x:f>
        <x:v>0</x:v>
      </x:c>
      <x:c r="J19" s="65" t="str">
        <x:f>INDEX('Implementation Cells'!$P$5:$P$22,MATCH(A19,'Implementation Cells'!$B$5:$B$22,0))</x:f>
        <x:v>RESERVED / ISOLATED</x:v>
      </x:c>
      <x:c r="K19" s="67" t="n">
        <x:f>IF(E19=1,H19,0)</x:f>
        <x:v>0</x:v>
      </x:c>
      <x:c r="L19" s="66" t="n">
        <x:v>0</x:v>
      </x:c>
      <x:c r="M19" s="66" t="n">
        <x:v>0</x:v>
      </x:c>
      <x:c r="N19" s="66" t="n">
        <x:v>0</x:v>
      </x:c>
      <x:c r="O19" s="67" t="n">
        <x:v>0</x:v>
      </x:c>
      <x:c r="P19" s="66" t="n">
        <x:v>0</x:v>
      </x:c>
      <x:c r="Q19" s="66" t="n">
        <x:v>0</x:v>
      </x:c>
      <x:c r="R19" s="65" t="str">
        <x:f>IF(E19=1,IF(AND(F19=1,G19=1,I19=12,J19="MOBILIZED",ABS(K19-H19)&lt;0.0000001,L19=1,M19=1,N19=0,O19=0,P19=0,Q19=0),"OBLIGATED / EXECUTABLE","INVALID"),IF(AND(F19=1,G19=1,I19=0,J19="RESERVED / ISOLATED",K19=0,L19=0,M19=0,N19=0,O19=0,P19=0,Q19=0),"ISSUED / RESERVED","INVALID"))</x:f>
        <x:v>ISSUED / RESERVED</x:v>
      </x:c>
      <x:c r="S19" s="66" t="n">
        <x:f>COUNTIFS($A$5:$A$22,A19)</x:f>
        <x:v>1</x:v>
      </x:c>
      <x:c r="T19" s="66" t="n">
        <x:f>COUNTIFS($B$5:$B$22,B19,$E$5:$E$22,E19)</x:f>
        <x:v>1</x:v>
      </x:c>
    </x:row>
    <x:row r="20">
      <x:c r="A20" s="65" t="str">
        <x:v>RT-B-A</x:v>
      </x:c>
      <x:c r="B20" s="65" t="str">
        <x:v>RT-B</x:v>
      </x:c>
      <x:c r="C20" s="65" t="str">
        <x:v>A</x:v>
      </x:c>
      <x:c r="D20" s="65" t="str">
        <x:v>Distributed container process mesh</x:v>
      </x:c>
      <x:c r="E20" s="66" t="n">
        <x:v>3</x:v>
      </x:c>
      <x:c r="F20" s="66" t="n">
        <x:v>1</x:v>
      </x:c>
      <x:c r="G20" s="66" t="n">
        <x:v>1</x:v>
      </x:c>
      <x:c r="H20" s="67" t="n">
        <x:f>INDEX('Cohort Finance'!$F$5:$F$10,MATCH(B20,'Cohort Finance'!$B$5:$B$10,0))/3</x:f>
        <x:v>0.025129889656798146</x:v>
      </x:c>
      <x:c r="I20" s="66" t="n">
        <x:f>COUNTIFS('Release Gates'!$B$5:$B$76,A20,'Release Gates'!$I$5:$I$76,"PASS")</x:f>
        <x:v>0</x:v>
      </x:c>
      <x:c r="J20" s="65" t="str">
        <x:f>INDEX('Implementation Cells'!$P$5:$P$22,MATCH(A20,'Implementation Cells'!$B$5:$B$22,0))</x:f>
        <x:v>RESERVED / ISOLATED</x:v>
      </x:c>
      <x:c r="K20" s="67" t="n">
        <x:f>IF(E20=1,H20,0)</x:f>
        <x:v>0</x:v>
      </x:c>
      <x:c r="L20" s="66" t="n">
        <x:v>0</x:v>
      </x:c>
      <x:c r="M20" s="66" t="n">
        <x:v>0</x:v>
      </x:c>
      <x:c r="N20" s="66" t="n">
        <x:v>0</x:v>
      </x:c>
      <x:c r="O20" s="67" t="n">
        <x:v>0</x:v>
      </x:c>
      <x:c r="P20" s="66" t="n">
        <x:v>0</x:v>
      </x:c>
      <x:c r="Q20" s="66" t="n">
        <x:v>0</x:v>
      </x:c>
      <x:c r="R20" s="65" t="str">
        <x:f>IF(E20=1,IF(AND(F20=1,G20=1,I20=12,J20="MOBILIZED",ABS(K20-H20)&lt;0.0000001,L20=1,M20=1,N20=0,O20=0,P20=0,Q20=0),"OBLIGATED / EXECUTABLE","INVALID"),IF(AND(F20=1,G20=1,I20=0,J20="RESERVED / ISOLATED",K20=0,L20=0,M20=0,N20=0,O20=0,P20=0,Q20=0),"ISSUED / RESERVED","INVALID"))</x:f>
        <x:v>ISSUED / RESERVED</x:v>
      </x:c>
      <x:c r="S20" s="66" t="n">
        <x:f>COUNTIFS($A$5:$A$22,A20)</x:f>
        <x:v>1</x:v>
      </x:c>
      <x:c r="T20" s="66" t="n">
        <x:f>COUNTIFS($B$5:$B$22,B20,$E$5:$E$22,E20)</x:f>
        <x:v>1</x:v>
      </x:c>
    </x:row>
    <x:row r="21">
      <x:c r="A21" s="65" t="str">
        <x:v>RT-B-B</x:v>
      </x:c>
      <x:c r="B21" s="65" t="str">
        <x:v>RT-B</x:v>
      </x:c>
      <x:c r="C21" s="65" t="str">
        <x:v>B</x:v>
      </x:c>
      <x:c r="D21" s="65" t="str">
        <x:v>Five-petal independent clean-core ring</x:v>
      </x:c>
      <x:c r="E21" s="66" t="n">
        <x:v>2</x:v>
      </x:c>
      <x:c r="F21" s="66" t="n">
        <x:v>1</x:v>
      </x:c>
      <x:c r="G21" s="66" t="n">
        <x:v>1</x:v>
      </x:c>
      <x:c r="H21" s="67" t="n">
        <x:f>INDEX('Cohort Finance'!$F$5:$F$10,MATCH(B21,'Cohort Finance'!$B$5:$B$10,0))/3</x:f>
        <x:v>0.025129889656798146</x:v>
      </x:c>
      <x:c r="I21" s="66" t="n">
        <x:f>COUNTIFS('Release Gates'!$B$5:$B$76,A21,'Release Gates'!$I$5:$I$76,"PASS")</x:f>
        <x:v>0</x:v>
      </x:c>
      <x:c r="J21" s="65" t="str">
        <x:f>INDEX('Implementation Cells'!$P$5:$P$22,MATCH(A21,'Implementation Cells'!$B$5:$B$22,0))</x:f>
        <x:v>RESERVED / ISOLATED</x:v>
      </x:c>
      <x:c r="K21" s="67" t="n">
        <x:f>IF(E21=1,H21,0)</x:f>
        <x:v>0</x:v>
      </x:c>
      <x:c r="L21" s="66" t="n">
        <x:v>0</x:v>
      </x:c>
      <x:c r="M21" s="66" t="n">
        <x:v>0</x:v>
      </x:c>
      <x:c r="N21" s="66" t="n">
        <x:v>0</x:v>
      </x:c>
      <x:c r="O21" s="67" t="n">
        <x:v>0</x:v>
      </x:c>
      <x:c r="P21" s="66" t="n">
        <x:v>0</x:v>
      </x:c>
      <x:c r="Q21" s="66" t="n">
        <x:v>0</x:v>
      </x:c>
      <x:c r="R21" s="65" t="str">
        <x:f>IF(E21=1,IF(AND(F21=1,G21=1,I21=12,J21="MOBILIZED",ABS(K21-H21)&lt;0.0000001,L21=1,M21=1,N21=0,O21=0,P21=0,Q21=0),"OBLIGATED / EXECUTABLE","INVALID"),IF(AND(F21=1,G21=1,I21=0,J21="RESERVED / ISOLATED",K21=0,L21=0,M21=0,N21=0,O21=0,P21=0,Q21=0),"ISSUED / RESERVED","INVALID"))</x:f>
        <x:v>ISSUED / RESERVED</x:v>
      </x:c>
      <x:c r="S21" s="66" t="n">
        <x:f>COUNTIFS($A$5:$A$22,A21)</x:f>
        <x:v>1</x:v>
      </x:c>
      <x:c r="T21" s="66" t="n">
        <x:f>COUNTIFS($B$5:$B$22,B21,$E$5:$E$22,E21)</x:f>
        <x:v>1</x:v>
      </x:c>
    </x:row>
    <x:row r="22">
      <x:c r="A22" s="68" t="str">
        <x:v>RT-B-C</x:v>
      </x:c>
      <x:c r="B22" s="68" t="str">
        <x:v>RT-B</x:v>
      </x:c>
      <x:c r="C22" s="68" t="str">
        <x:v>C</x:v>
      </x:c>
      <x:c r="D22" s="68" t="str">
        <x:v>Parallel mobile microfactory trainlets</x:v>
      </x:c>
      <x:c r="E22" s="70" t="n">
        <x:v>1</x:v>
      </x:c>
      <x:c r="F22" s="70" t="n">
        <x:v>1</x:v>
      </x:c>
      <x:c r="G22" s="70" t="n">
        <x:v>1</x:v>
      </x:c>
      <x:c r="H22" s="69" t="n">
        <x:f>INDEX('Cohort Finance'!$F$5:$F$10,MATCH(B22,'Cohort Finance'!$B$5:$B$10,0))/3</x:f>
        <x:v>0.025129889656798146</x:v>
      </x:c>
      <x:c r="I22" s="70" t="n">
        <x:f>COUNTIFS('Release Gates'!$B$5:$B$76,A22,'Release Gates'!$I$5:$I$76,"PASS")</x:f>
        <x:v>12</x:v>
      </x:c>
      <x:c r="J22" s="68" t="str">
        <x:f>INDEX('Implementation Cells'!$P$5:$P$22,MATCH(A22,'Implementation Cells'!$B$5:$B$22,0))</x:f>
        <x:v>MOBILIZED</x:v>
      </x:c>
      <x:c r="K22" s="69" t="n">
        <x:f>IF(E22=1,H22,0)</x:f>
        <x:v>0.025129889656798146</x:v>
      </x:c>
      <x:c r="L22" s="70" t="n">
        <x:v>1</x:v>
      </x:c>
      <x:c r="M22" s="70" t="n">
        <x:v>1</x:v>
      </x:c>
      <x:c r="N22" s="70" t="n">
        <x:v>0</x:v>
      </x:c>
      <x:c r="O22" s="69" t="n">
        <x:v>0</x:v>
      </x:c>
      <x:c r="P22" s="70" t="n">
        <x:v>0</x:v>
      </x:c>
      <x:c r="Q22" s="70" t="n">
        <x:v>0</x:v>
      </x:c>
      <x:c r="R22" s="68" t="str">
        <x:f>IF(E22=1,IF(AND(F22=1,G22=1,I22=12,J22="MOBILIZED",ABS(K22-H22)&lt;0.0000001,L22=1,M22=1,N22=0,O22=0,P22=0,Q22=0),"OBLIGATED / EXECUTABLE","INVALID"),IF(AND(F22=1,G22=1,I22=0,J22="RESERVED / ISOLATED",K22=0,L22=0,M22=0,N22=0,O22=0,P22=0,Q22=0),"ISSUED / RESERVED","INVALID"))</x:f>
        <x:v>OBLIGATED / EXECUTABLE</x:v>
      </x:c>
      <x:c r="S22" s="70" t="n">
        <x:f>COUNTIFS($A$5:$A$22,A22)</x:f>
        <x:v>1</x:v>
      </x:c>
      <x:c r="T22" s="70" t="n">
        <x:f>COUNTIFS($B$5:$B$22,B22,$E$5:$E$22,E22)</x:f>
        <x:v>1</x:v>
      </x:c>
    </x:row>
  </x:sheetData>
  <x:mergeCells>
    <x:mergeCell ref="A2:T2"/>
  </x:mergeCells>
  <x:conditionalFormatting sqref="R5:R22">
    <x:cfRule type="containsText" dxfId="3" priority="1" operator="containsText" text="INVALID"/>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pane xSplit="3" ySplit="4" topLeftCell="D5" activePane="bottomRight" state="frozen"/>
    </x:sheetView>
  </x:sheetViews>
  <x:sheetFormatPr defaultRowHeight="15"/>
  <x:cols>
    <x:col min="1" max="1" width="17" hidden="0" customWidth="1"/>
    <x:col min="2" max="2" width="16" hidden="0" customWidth="1"/>
    <x:col min="3" max="3" width="11" hidden="0" customWidth="1"/>
    <x:col min="4" max="4" width="13" hidden="0" customWidth="1"/>
    <x:col min="5" max="5" width="13" hidden="0" customWidth="1"/>
    <x:col min="6" max="6" width="52" hidden="0" customWidth="1"/>
    <x:col min="7" max="7" width="15" hidden="0" customWidth="1"/>
    <x:col min="8" max="8" width="28" hidden="0" customWidth="1"/>
    <x:col min="9" max="9" width="15" hidden="0" customWidth="1"/>
  </x:cols>
  <x:sheetData>
    <x:row r="2">
      <x:c r="A2" s="58" t="str">
        <x:v>Seventy-two cohort-one release gates</x:v>
      </x:c>
      <x:c r="B2" s="59"/>
      <x:c r="C2" s="59"/>
      <x:c r="D2" s="59"/>
      <x:c r="E2" s="59"/>
      <x:c r="F2" s="59"/>
      <x:c r="G2" s="59"/>
      <x:c r="H2" s="59"/>
      <x:c r="I2" s="59"/>
    </x:row>
    <x:row r="3">
      <x:c r="A3" s="60"/>
      <x:c r="B3" s="60"/>
      <x:c r="C3" s="60"/>
      <x:c r="D3" s="60"/>
      <x:c r="E3" s="60"/>
      <x:c r="F3" s="60"/>
      <x:c r="G3" s="60"/>
      <x:c r="H3" s="60"/>
      <x:c r="I3" s="60"/>
    </x:row>
    <x:row r="4" ht="32" customHeight="1">
      <x:c r="A4" s="14" t="str">
        <x:v>Gate record</x:v>
      </x:c>
      <x:c r="B4" s="15" t="str">
        <x:v>Form</x:v>
      </x:c>
      <x:c r="C4" s="15" t="str">
        <x:v>Root</x:v>
      </x:c>
      <x:c r="D4" s="15" t="str">
        <x:v>Cohort</x:v>
      </x:c>
      <x:c r="E4" s="15" t="str">
        <x:v>Gate</x:v>
      </x:c>
      <x:c r="F4" s="15" t="str">
        <x:v>Requirement</x:v>
      </x:c>
      <x:c r="G4" s="15" t="str">
        <x:v>Complete</x:v>
      </x:c>
      <x:c r="H4" s="15" t="str">
        <x:v>Authority</x:v>
      </x:c>
      <x:c r="I4" s="16" t="str">
        <x:v>Gate state</x:v>
      </x:c>
    </x:row>
    <x:row r="5">
      <x:c r="A5" s="61" t="str">
        <x:v>RG001</x:v>
      </x:c>
      <x:c r="B5" s="61" t="str">
        <x:v>ET-A-A</x:v>
      </x:c>
      <x:c r="C5" s="61" t="str">
        <x:v>ET-A</x:v>
      </x:c>
      <x:c r="D5" s="62" t="n">
        <x:v>1</x:v>
      </x:c>
      <x:c r="E5" s="61" t="str">
        <x:v>G01</x:v>
      </x:c>
      <x:c r="F5" s="61" t="str">
        <x:v>Legal learning warrant issued</x:v>
      </x:c>
      <x:c r="G5" s="62" t="n">
        <x:v>1</x:v>
      </x:c>
      <x:c r="H5" s="61" t="str">
        <x:v>Configuration registrar</x:v>
      </x:c>
      <x:c r="I5" s="61" t="str">
        <x:f>IF(AND(COUNTA(A5:F5)=6,G5=1,H5&lt;&gt;""),"PASS","FAIL")</x:f>
        <x:v>PASS</x:v>
      </x:c>
    </x:row>
    <x:row r="6">
      <x:c r="A6" s="65" t="str">
        <x:v>RG002</x:v>
      </x:c>
      <x:c r="B6" s="65" t="str">
        <x:v>ET-A-A</x:v>
      </x:c>
      <x:c r="C6" s="65" t="str">
        <x:v>ET-A</x:v>
      </x:c>
      <x:c r="D6" s="66" t="n">
        <x:v>1</x:v>
      </x:c>
      <x:c r="E6" s="65" t="str">
        <x:v>G02</x:v>
      </x:c>
      <x:c r="F6" s="65" t="str">
        <x:v>Configuration and event identity frozen</x:v>
      </x:c>
      <x:c r="G6" s="66" t="n">
        <x:v>1</x:v>
      </x:c>
      <x:c r="H6" s="65" t="str">
        <x:v>Configuration registrar</x:v>
      </x:c>
      <x:c r="I6" s="65" t="str">
        <x:f>IF(AND(COUNTA(A6:F6)=6,G6=1,H6&lt;&gt;""),"PASS","FAIL")</x:f>
        <x:v>PASS</x:v>
      </x:c>
    </x:row>
    <x:row r="7">
      <x:c r="A7" s="65" t="str">
        <x:v>RG003</x:v>
      </x:c>
      <x:c r="B7" s="65" t="str">
        <x:v>ET-A-A</x:v>
      </x:c>
      <x:c r="C7" s="65" t="str">
        <x:v>ET-A</x:v>
      </x:c>
      <x:c r="D7" s="66" t="n">
        <x:v>1</x:v>
      </x:c>
      <x:c r="E7" s="65" t="str">
        <x:v>G03</x:v>
      </x:c>
      <x:c r="F7" s="65" t="str">
        <x:v>Cohort-one schedule position fixed</x:v>
      </x:c>
      <x:c r="G7" s="66" t="n">
        <x:v>1</x:v>
      </x:c>
      <x:c r="H7" s="65" t="str">
        <x:v>Campaign authority</x:v>
      </x:c>
      <x:c r="I7" s="65" t="str">
        <x:f>IF(AND(COUNTA(A7:F7)=6,G7=1,H7&lt;&gt;""),"PASS","FAIL")</x:f>
        <x:v>PASS</x:v>
      </x:c>
    </x:row>
    <x:row r="8">
      <x:c r="A8" s="65" t="str">
        <x:v>RG004</x:v>
      </x:c>
      <x:c r="B8" s="65" t="str">
        <x:v>ET-A-A</x:v>
      </x:c>
      <x:c r="C8" s="65" t="str">
        <x:v>ET-A</x:v>
      </x:c>
      <x:c r="D8" s="66" t="n">
        <x:v>1</x:v>
      </x:c>
      <x:c r="E8" s="65" t="str">
        <x:v>G04</x:v>
      </x:c>
      <x:c r="F8" s="65" t="str">
        <x:v>Complete form ceiling reserved</x:v>
      </x:c>
      <x:c r="G8" s="66" t="n">
        <x:v>1</x:v>
      </x:c>
      <x:c r="H8" s="65" t="str">
        <x:v>Reserve custodian</x:v>
      </x:c>
      <x:c r="I8" s="65" t="str">
        <x:f>IF(AND(COUNTA(A8:F8)=6,G8=1,H8&lt;&gt;""),"PASS","FAIL")</x:f>
        <x:v>PASS</x:v>
      </x:c>
    </x:row>
    <x:row r="9">
      <x:c r="A9" s="65" t="str">
        <x:v>RG005</x:v>
      </x:c>
      <x:c r="B9" s="65" t="str">
        <x:v>ET-A-A</x:v>
      </x:c>
      <x:c r="C9" s="65" t="str">
        <x:v>ET-A</x:v>
      </x:c>
      <x:c r="D9" s="66" t="n">
        <x:v>1</x:v>
      </x:c>
      <x:c r="E9" s="65" t="str">
        <x:v>G05</x:v>
      </x:c>
      <x:c r="F9" s="65" t="str">
        <x:v>Later sibling encumbrances protected</x:v>
      </x:c>
      <x:c r="G9" s="66" t="n">
        <x:v>1</x:v>
      </x:c>
      <x:c r="H9" s="65" t="str">
        <x:v>Reserve custodian</x:v>
      </x:c>
      <x:c r="I9" s="65" t="str">
        <x:f>IF(AND(COUNTA(A9:F9)=6,G9=1,H9&lt;&gt;""),"PASS","FAIL")</x:f>
        <x:v>PASS</x:v>
      </x:c>
    </x:row>
    <x:row r="10">
      <x:c r="A10" s="65" t="str">
        <x:v>RG006</x:v>
      </x:c>
      <x:c r="B10" s="65" t="str">
        <x:v>ET-A-A</x:v>
      </x:c>
      <x:c r="C10" s="65" t="str">
        <x:v>ET-A</x:v>
      </x:c>
      <x:c r="D10" s="66" t="n">
        <x:v>1</x:v>
      </x:c>
      <x:c r="E10" s="65" t="str">
        <x:v>G06</x:v>
      </x:c>
      <x:c r="F10" s="65" t="str">
        <x:v>Unique beneficial-control slot</x:v>
      </x:c>
      <x:c r="G10" s="66" t="n">
        <x:v>1</x:v>
      </x:c>
      <x:c r="H10" s="65" t="str">
        <x:v>Industrial court</x:v>
      </x:c>
      <x:c r="I10" s="65" t="str">
        <x:f>IF(AND(COUNTA(A10:F10)=6,G10=1,H10&lt;&gt;""),"PASS","FAIL")</x:f>
        <x:v>PASS</x:v>
      </x:c>
    </x:row>
    <x:row r="11">
      <x:c r="A11" s="65" t="str">
        <x:v>RG007</x:v>
      </x:c>
      <x:c r="B11" s="65" t="str">
        <x:v>ET-A-A</x:v>
      </x:c>
      <x:c r="C11" s="65" t="str">
        <x:v>ET-A</x:v>
      </x:c>
      <x:c r="D11" s="66" t="n">
        <x:v>1</x:v>
      </x:c>
      <x:c r="E11" s="65" t="str">
        <x:v>G07</x:v>
      </x:c>
      <x:c r="F11" s="65" t="str">
        <x:v>Unique technical environment</x:v>
      </x:c>
      <x:c r="G11" s="66" t="n">
        <x:v>1</x:v>
      </x:c>
      <x:c r="H11" s="65" t="str">
        <x:v>Industrial court</x:v>
      </x:c>
      <x:c r="I11" s="65" t="str">
        <x:f>IF(AND(COUNTA(A11:F11)=6,G11=1,H11&lt;&gt;""),"PASS","FAIL")</x:f>
        <x:v>PASS</x:v>
      </x:c>
    </x:row>
    <x:row r="12">
      <x:c r="A12" s="65" t="str">
        <x:v>RG008</x:v>
      </x:c>
      <x:c r="B12" s="65" t="str">
        <x:v>ET-A-A</x:v>
      </x:c>
      <x:c r="C12" s="65" t="str">
        <x:v>ET-A</x:v>
      </x:c>
      <x:c r="D12" s="66" t="n">
        <x:v>1</x:v>
      </x:c>
      <x:c r="E12" s="65" t="str">
        <x:v>G08</x:v>
      </x:c>
      <x:c r="F12" s="65" t="str">
        <x:v>Independent data enclave and escrow route</x:v>
      </x:c>
      <x:c r="G12" s="66" t="n">
        <x:v>1</x:v>
      </x:c>
      <x:c r="H12" s="65" t="str">
        <x:v>Package custodian</x:v>
      </x:c>
      <x:c r="I12" s="65" t="str">
        <x:f>IF(AND(COUNTA(A12:F12)=6,G12=1,H12&lt;&gt;""),"PASS","FAIL")</x:f>
        <x:v>PASS</x:v>
      </x:c>
    </x:row>
    <x:row r="13">
      <x:c r="A13" s="65" t="str">
        <x:v>RG009</x:v>
      </x:c>
      <x:c r="B13" s="65" t="str">
        <x:v>ET-A-A</x:v>
      </x:c>
      <x:c r="C13" s="65" t="str">
        <x:v>ET-A</x:v>
      </x:c>
      <x:c r="D13" s="66" t="n">
        <x:v>1</x:v>
      </x:c>
      <x:c r="E13" s="65" t="str">
        <x:v>G09</x:v>
      </x:c>
      <x:c r="F13" s="65" t="str">
        <x:v>Root safety-change route active</x:v>
      </x:c>
      <x:c r="G13" s="66" t="n">
        <x:v>1</x:v>
      </x:c>
      <x:c r="H13" s="65" t="str">
        <x:v>Safety authority</x:v>
      </x:c>
      <x:c r="I13" s="65" t="str">
        <x:f>IF(AND(COUNTA(A13:F13)=6,G13=1,H13&lt;&gt;""),"PASS","FAIL")</x:f>
        <x:v>PASS</x:v>
      </x:c>
    </x:row>
    <x:row r="14">
      <x:c r="A14" s="65" t="str">
        <x:v>RG010</x:v>
      </x:c>
      <x:c r="B14" s="65" t="str">
        <x:v>ET-A-A</x:v>
      </x:c>
      <x:c r="C14" s="65" t="str">
        <x:v>ET-A</x:v>
      </x:c>
      <x:c r="D14" s="66" t="n">
        <x:v>1</x:v>
      </x:c>
      <x:c r="E14" s="65" t="str">
        <x:v>G10</x:v>
      </x:c>
      <x:c r="F14" s="65" t="str">
        <x:v>Five package records complete</x:v>
      </x:c>
      <x:c r="G14" s="66" t="n">
        <x:v>1</x:v>
      </x:c>
      <x:c r="H14" s="65" t="str">
        <x:v>Contracting authority</x:v>
      </x:c>
      <x:c r="I14" s="65" t="str">
        <x:f>IF(AND(COUNTA(A14:F14)=6,G14=1,H14&lt;&gt;""),"PASS","FAIL")</x:f>
        <x:v>PASS</x:v>
      </x:c>
    </x:row>
    <x:row r="15">
      <x:c r="A15" s="65" t="str">
        <x:v>RG011</x:v>
      </x:c>
      <x:c r="B15" s="65" t="str">
        <x:v>ET-A-A</x:v>
      </x:c>
      <x:c r="C15" s="65" t="str">
        <x:v>ET-A</x:v>
      </x:c>
      <x:c r="D15" s="66" t="n">
        <x:v>1</x:v>
      </x:c>
      <x:c r="E15" s="65" t="str">
        <x:v>G11</x:v>
      </x:c>
      <x:c r="F15" s="65" t="str">
        <x:v>Artifact acceptance separated from builder</x:v>
      </x:c>
      <x:c r="G15" s="66" t="n">
        <x:v>1</x:v>
      </x:c>
      <x:c r="H15" s="65" t="str">
        <x:v>Validity authority</x:v>
      </x:c>
      <x:c r="I15" s="65" t="str">
        <x:f>IF(AND(COUNTA(A15:F15)=6,G15=1,H15&lt;&gt;""),"PASS","FAIL")</x:f>
        <x:v>PASS</x:v>
      </x:c>
    </x:row>
    <x:row r="16">
      <x:c r="A16" s="65" t="str">
        <x:v>RG012</x:v>
      </x:c>
      <x:c r="B16" s="65" t="str">
        <x:v>ET-A-A</x:v>
      </x:c>
      <x:c r="C16" s="65" t="str">
        <x:v>ET-A</x:v>
      </x:c>
      <x:c r="D16" s="66" t="n">
        <x:v>1</x:v>
      </x:c>
      <x:c r="E16" s="65" t="str">
        <x:v>G12</x:v>
      </x:c>
      <x:c r="F16" s="65" t="str">
        <x:v>Stop, rollback and expiry authority active</x:v>
      </x:c>
      <x:c r="G16" s="66" t="n">
        <x:v>1</x:v>
      </x:c>
      <x:c r="H16" s="65" t="str">
        <x:v>Campaign authority</x:v>
      </x:c>
      <x:c r="I16" s="65" t="str">
        <x:f>IF(AND(COUNTA(A16:F16)=6,G16=1,H16&lt;&gt;""),"PASS","FAIL")</x:f>
        <x:v>PASS</x:v>
      </x:c>
    </x:row>
    <x:row r="17">
      <x:c r="A17" s="65" t="str">
        <x:v>RG013</x:v>
      </x:c>
      <x:c r="B17" s="65" t="str">
        <x:v>CT-C-B</x:v>
      </x:c>
      <x:c r="C17" s="65" t="str">
        <x:v>CT-C</x:v>
      </x:c>
      <x:c r="D17" s="66" t="n">
        <x:v>1</x:v>
      </x:c>
      <x:c r="E17" s="65" t="str">
        <x:v>G01</x:v>
      </x:c>
      <x:c r="F17" s="65" t="str">
        <x:v>Legal learning warrant issued</x:v>
      </x:c>
      <x:c r="G17" s="66" t="n">
        <x:v>1</x:v>
      </x:c>
      <x:c r="H17" s="65" t="str">
        <x:v>Configuration registrar</x:v>
      </x:c>
      <x:c r="I17" s="65" t="str">
        <x:f>IF(AND(COUNTA(A17:F17)=6,G17=1,H17&lt;&gt;""),"PASS","FAIL")</x:f>
        <x:v>PASS</x:v>
      </x:c>
    </x:row>
    <x:row r="18">
      <x:c r="A18" s="65" t="str">
        <x:v>RG014</x:v>
      </x:c>
      <x:c r="B18" s="65" t="str">
        <x:v>CT-C-B</x:v>
      </x:c>
      <x:c r="C18" s="65" t="str">
        <x:v>CT-C</x:v>
      </x:c>
      <x:c r="D18" s="66" t="n">
        <x:v>1</x:v>
      </x:c>
      <x:c r="E18" s="65" t="str">
        <x:v>G02</x:v>
      </x:c>
      <x:c r="F18" s="65" t="str">
        <x:v>Configuration and event identity frozen</x:v>
      </x:c>
      <x:c r="G18" s="66" t="n">
        <x:v>1</x:v>
      </x:c>
      <x:c r="H18" s="65" t="str">
        <x:v>Configuration registrar</x:v>
      </x:c>
      <x:c r="I18" s="65" t="str">
        <x:f>IF(AND(COUNTA(A18:F18)=6,G18=1,H18&lt;&gt;""),"PASS","FAIL")</x:f>
        <x:v>PASS</x:v>
      </x:c>
    </x:row>
    <x:row r="19">
      <x:c r="A19" s="65" t="str">
        <x:v>RG015</x:v>
      </x:c>
      <x:c r="B19" s="65" t="str">
        <x:v>CT-C-B</x:v>
      </x:c>
      <x:c r="C19" s="65" t="str">
        <x:v>CT-C</x:v>
      </x:c>
      <x:c r="D19" s="66" t="n">
        <x:v>1</x:v>
      </x:c>
      <x:c r="E19" s="65" t="str">
        <x:v>G03</x:v>
      </x:c>
      <x:c r="F19" s="65" t="str">
        <x:v>Cohort-one schedule position fixed</x:v>
      </x:c>
      <x:c r="G19" s="66" t="n">
        <x:v>1</x:v>
      </x:c>
      <x:c r="H19" s="65" t="str">
        <x:v>Campaign authority</x:v>
      </x:c>
      <x:c r="I19" s="65" t="str">
        <x:f>IF(AND(COUNTA(A19:F19)=6,G19=1,H19&lt;&gt;""),"PASS","FAIL")</x:f>
        <x:v>PASS</x:v>
      </x:c>
    </x:row>
    <x:row r="20">
      <x:c r="A20" s="65" t="str">
        <x:v>RG016</x:v>
      </x:c>
      <x:c r="B20" s="65" t="str">
        <x:v>CT-C-B</x:v>
      </x:c>
      <x:c r="C20" s="65" t="str">
        <x:v>CT-C</x:v>
      </x:c>
      <x:c r="D20" s="66" t="n">
        <x:v>1</x:v>
      </x:c>
      <x:c r="E20" s="65" t="str">
        <x:v>G04</x:v>
      </x:c>
      <x:c r="F20" s="65" t="str">
        <x:v>Complete form ceiling reserved</x:v>
      </x:c>
      <x:c r="G20" s="66" t="n">
        <x:v>1</x:v>
      </x:c>
      <x:c r="H20" s="65" t="str">
        <x:v>Reserve custodian</x:v>
      </x:c>
      <x:c r="I20" s="65" t="str">
        <x:f>IF(AND(COUNTA(A20:F20)=6,G20=1,H20&lt;&gt;""),"PASS","FAIL")</x:f>
        <x:v>PASS</x:v>
      </x:c>
    </x:row>
    <x:row r="21">
      <x:c r="A21" s="65" t="str">
        <x:v>RG017</x:v>
      </x:c>
      <x:c r="B21" s="65" t="str">
        <x:v>CT-C-B</x:v>
      </x:c>
      <x:c r="C21" s="65" t="str">
        <x:v>CT-C</x:v>
      </x:c>
      <x:c r="D21" s="66" t="n">
        <x:v>1</x:v>
      </x:c>
      <x:c r="E21" s="65" t="str">
        <x:v>G05</x:v>
      </x:c>
      <x:c r="F21" s="65" t="str">
        <x:v>Later sibling encumbrances protected</x:v>
      </x:c>
      <x:c r="G21" s="66" t="n">
        <x:v>1</x:v>
      </x:c>
      <x:c r="H21" s="65" t="str">
        <x:v>Reserve custodian</x:v>
      </x:c>
      <x:c r="I21" s="65" t="str">
        <x:f>IF(AND(COUNTA(A21:F21)=6,G21=1,H21&lt;&gt;""),"PASS","FAIL")</x:f>
        <x:v>PASS</x:v>
      </x:c>
    </x:row>
    <x:row r="22">
      <x:c r="A22" s="65" t="str">
        <x:v>RG018</x:v>
      </x:c>
      <x:c r="B22" s="65" t="str">
        <x:v>CT-C-B</x:v>
      </x:c>
      <x:c r="C22" s="65" t="str">
        <x:v>CT-C</x:v>
      </x:c>
      <x:c r="D22" s="66" t="n">
        <x:v>1</x:v>
      </x:c>
      <x:c r="E22" s="65" t="str">
        <x:v>G06</x:v>
      </x:c>
      <x:c r="F22" s="65" t="str">
        <x:v>Unique beneficial-control slot</x:v>
      </x:c>
      <x:c r="G22" s="66" t="n">
        <x:v>1</x:v>
      </x:c>
      <x:c r="H22" s="65" t="str">
        <x:v>Industrial court</x:v>
      </x:c>
      <x:c r="I22" s="65" t="str">
        <x:f>IF(AND(COUNTA(A22:F22)=6,G22=1,H22&lt;&gt;""),"PASS","FAIL")</x:f>
        <x:v>PASS</x:v>
      </x:c>
    </x:row>
    <x:row r="23">
      <x:c r="A23" s="65" t="str">
        <x:v>RG019</x:v>
      </x:c>
      <x:c r="B23" s="65" t="str">
        <x:v>CT-C-B</x:v>
      </x:c>
      <x:c r="C23" s="65" t="str">
        <x:v>CT-C</x:v>
      </x:c>
      <x:c r="D23" s="66" t="n">
        <x:v>1</x:v>
      </x:c>
      <x:c r="E23" s="65" t="str">
        <x:v>G07</x:v>
      </x:c>
      <x:c r="F23" s="65" t="str">
        <x:v>Unique technical environment</x:v>
      </x:c>
      <x:c r="G23" s="66" t="n">
        <x:v>1</x:v>
      </x:c>
      <x:c r="H23" s="65" t="str">
        <x:v>Industrial court</x:v>
      </x:c>
      <x:c r="I23" s="65" t="str">
        <x:f>IF(AND(COUNTA(A23:F23)=6,G23=1,H23&lt;&gt;""),"PASS","FAIL")</x:f>
        <x:v>PASS</x:v>
      </x:c>
    </x:row>
    <x:row r="24">
      <x:c r="A24" s="65" t="str">
        <x:v>RG020</x:v>
      </x:c>
      <x:c r="B24" s="65" t="str">
        <x:v>CT-C-B</x:v>
      </x:c>
      <x:c r="C24" s="65" t="str">
        <x:v>CT-C</x:v>
      </x:c>
      <x:c r="D24" s="66" t="n">
        <x:v>1</x:v>
      </x:c>
      <x:c r="E24" s="65" t="str">
        <x:v>G08</x:v>
      </x:c>
      <x:c r="F24" s="65" t="str">
        <x:v>Independent data enclave and escrow route</x:v>
      </x:c>
      <x:c r="G24" s="66" t="n">
        <x:v>1</x:v>
      </x:c>
      <x:c r="H24" s="65" t="str">
        <x:v>Package custodian</x:v>
      </x:c>
      <x:c r="I24" s="65" t="str">
        <x:f>IF(AND(COUNTA(A24:F24)=6,G24=1,H24&lt;&gt;""),"PASS","FAIL")</x:f>
        <x:v>PASS</x:v>
      </x:c>
    </x:row>
    <x:row r="25">
      <x:c r="A25" s="65" t="str">
        <x:v>RG021</x:v>
      </x:c>
      <x:c r="B25" s="65" t="str">
        <x:v>CT-C-B</x:v>
      </x:c>
      <x:c r="C25" s="65" t="str">
        <x:v>CT-C</x:v>
      </x:c>
      <x:c r="D25" s="66" t="n">
        <x:v>1</x:v>
      </x:c>
      <x:c r="E25" s="65" t="str">
        <x:v>G09</x:v>
      </x:c>
      <x:c r="F25" s="65" t="str">
        <x:v>Root safety-change route active</x:v>
      </x:c>
      <x:c r="G25" s="66" t="n">
        <x:v>1</x:v>
      </x:c>
      <x:c r="H25" s="65" t="str">
        <x:v>Safety authority</x:v>
      </x:c>
      <x:c r="I25" s="65" t="str">
        <x:f>IF(AND(COUNTA(A25:F25)=6,G25=1,H25&lt;&gt;""),"PASS","FAIL")</x:f>
        <x:v>PASS</x:v>
      </x:c>
    </x:row>
    <x:row r="26">
      <x:c r="A26" s="65" t="str">
        <x:v>RG022</x:v>
      </x:c>
      <x:c r="B26" s="65" t="str">
        <x:v>CT-C-B</x:v>
      </x:c>
      <x:c r="C26" s="65" t="str">
        <x:v>CT-C</x:v>
      </x:c>
      <x:c r="D26" s="66" t="n">
        <x:v>1</x:v>
      </x:c>
      <x:c r="E26" s="65" t="str">
        <x:v>G10</x:v>
      </x:c>
      <x:c r="F26" s="65" t="str">
        <x:v>Five package records complete</x:v>
      </x:c>
      <x:c r="G26" s="66" t="n">
        <x:v>1</x:v>
      </x:c>
      <x:c r="H26" s="65" t="str">
        <x:v>Contracting authority</x:v>
      </x:c>
      <x:c r="I26" s="65" t="str">
        <x:f>IF(AND(COUNTA(A26:F26)=6,G26=1,H26&lt;&gt;""),"PASS","FAIL")</x:f>
        <x:v>PASS</x:v>
      </x:c>
    </x:row>
    <x:row r="27">
      <x:c r="A27" s="65" t="str">
        <x:v>RG023</x:v>
      </x:c>
      <x:c r="B27" s="65" t="str">
        <x:v>CT-C-B</x:v>
      </x:c>
      <x:c r="C27" s="65" t="str">
        <x:v>CT-C</x:v>
      </x:c>
      <x:c r="D27" s="66" t="n">
        <x:v>1</x:v>
      </x:c>
      <x:c r="E27" s="65" t="str">
        <x:v>G11</x:v>
      </x:c>
      <x:c r="F27" s="65" t="str">
        <x:v>Artifact acceptance separated from builder</x:v>
      </x:c>
      <x:c r="G27" s="66" t="n">
        <x:v>1</x:v>
      </x:c>
      <x:c r="H27" s="65" t="str">
        <x:v>Validity authority</x:v>
      </x:c>
      <x:c r="I27" s="65" t="str">
        <x:f>IF(AND(COUNTA(A27:F27)=6,G27=1,H27&lt;&gt;""),"PASS","FAIL")</x:f>
        <x:v>PASS</x:v>
      </x:c>
    </x:row>
    <x:row r="28">
      <x:c r="A28" s="65" t="str">
        <x:v>RG024</x:v>
      </x:c>
      <x:c r="B28" s="65" t="str">
        <x:v>CT-C-B</x:v>
      </x:c>
      <x:c r="C28" s="65" t="str">
        <x:v>CT-C</x:v>
      </x:c>
      <x:c r="D28" s="66" t="n">
        <x:v>1</x:v>
      </x:c>
      <x:c r="E28" s="65" t="str">
        <x:v>G12</x:v>
      </x:c>
      <x:c r="F28" s="65" t="str">
        <x:v>Stop, rollback and expiry authority active</x:v>
      </x:c>
      <x:c r="G28" s="66" t="n">
        <x:v>1</x:v>
      </x:c>
      <x:c r="H28" s="65" t="str">
        <x:v>Campaign authority</x:v>
      </x:c>
      <x:c r="I28" s="65" t="str">
        <x:f>IF(AND(COUNTA(A28:F28)=6,G28=1,H28&lt;&gt;""),"PASS","FAIL")</x:f>
        <x:v>PASS</x:v>
      </x:c>
    </x:row>
    <x:row r="29">
      <x:c r="A29" s="65" t="str">
        <x:v>RG025</x:v>
      </x:c>
      <x:c r="B29" s="65" t="str">
        <x:v>HC-A-C</x:v>
      </x:c>
      <x:c r="C29" s="65" t="str">
        <x:v>HC-A</x:v>
      </x:c>
      <x:c r="D29" s="66" t="n">
        <x:v>1</x:v>
      </x:c>
      <x:c r="E29" s="65" t="str">
        <x:v>G01</x:v>
      </x:c>
      <x:c r="F29" s="65" t="str">
        <x:v>Legal learning warrant issued</x:v>
      </x:c>
      <x:c r="G29" s="66" t="n">
        <x:v>1</x:v>
      </x:c>
      <x:c r="H29" s="65" t="str">
        <x:v>Configuration registrar</x:v>
      </x:c>
      <x:c r="I29" s="65" t="str">
        <x:f>IF(AND(COUNTA(A29:F29)=6,G29=1,H29&lt;&gt;""),"PASS","FAIL")</x:f>
        <x:v>PASS</x:v>
      </x:c>
    </x:row>
    <x:row r="30">
      <x:c r="A30" s="65" t="str">
        <x:v>RG026</x:v>
      </x:c>
      <x:c r="B30" s="65" t="str">
        <x:v>HC-A-C</x:v>
      </x:c>
      <x:c r="C30" s="65" t="str">
        <x:v>HC-A</x:v>
      </x:c>
      <x:c r="D30" s="66" t="n">
        <x:v>1</x:v>
      </x:c>
      <x:c r="E30" s="65" t="str">
        <x:v>G02</x:v>
      </x:c>
      <x:c r="F30" s="65" t="str">
        <x:v>Configuration and event identity frozen</x:v>
      </x:c>
      <x:c r="G30" s="66" t="n">
        <x:v>1</x:v>
      </x:c>
      <x:c r="H30" s="65" t="str">
        <x:v>Configuration registrar</x:v>
      </x:c>
      <x:c r="I30" s="65" t="str">
        <x:f>IF(AND(COUNTA(A30:F30)=6,G30=1,H30&lt;&gt;""),"PASS","FAIL")</x:f>
        <x:v>PASS</x:v>
      </x:c>
    </x:row>
    <x:row r="31">
      <x:c r="A31" s="65" t="str">
        <x:v>RG027</x:v>
      </x:c>
      <x:c r="B31" s="65" t="str">
        <x:v>HC-A-C</x:v>
      </x:c>
      <x:c r="C31" s="65" t="str">
        <x:v>HC-A</x:v>
      </x:c>
      <x:c r="D31" s="66" t="n">
        <x:v>1</x:v>
      </x:c>
      <x:c r="E31" s="65" t="str">
        <x:v>G03</x:v>
      </x:c>
      <x:c r="F31" s="65" t="str">
        <x:v>Cohort-one schedule position fixed</x:v>
      </x:c>
      <x:c r="G31" s="66" t="n">
        <x:v>1</x:v>
      </x:c>
      <x:c r="H31" s="65" t="str">
        <x:v>Campaign authority</x:v>
      </x:c>
      <x:c r="I31" s="65" t="str">
        <x:f>IF(AND(COUNTA(A31:F31)=6,G31=1,H31&lt;&gt;""),"PASS","FAIL")</x:f>
        <x:v>PASS</x:v>
      </x:c>
    </x:row>
    <x:row r="32">
      <x:c r="A32" s="65" t="str">
        <x:v>RG028</x:v>
      </x:c>
      <x:c r="B32" s="65" t="str">
        <x:v>HC-A-C</x:v>
      </x:c>
      <x:c r="C32" s="65" t="str">
        <x:v>HC-A</x:v>
      </x:c>
      <x:c r="D32" s="66" t="n">
        <x:v>1</x:v>
      </x:c>
      <x:c r="E32" s="65" t="str">
        <x:v>G04</x:v>
      </x:c>
      <x:c r="F32" s="65" t="str">
        <x:v>Complete form ceiling reserved</x:v>
      </x:c>
      <x:c r="G32" s="66" t="n">
        <x:v>1</x:v>
      </x:c>
      <x:c r="H32" s="65" t="str">
        <x:v>Reserve custodian</x:v>
      </x:c>
      <x:c r="I32" s="65" t="str">
        <x:f>IF(AND(COUNTA(A32:F32)=6,G32=1,H32&lt;&gt;""),"PASS","FAIL")</x:f>
        <x:v>PASS</x:v>
      </x:c>
    </x:row>
    <x:row r="33">
      <x:c r="A33" s="65" t="str">
        <x:v>RG029</x:v>
      </x:c>
      <x:c r="B33" s="65" t="str">
        <x:v>HC-A-C</x:v>
      </x:c>
      <x:c r="C33" s="65" t="str">
        <x:v>HC-A</x:v>
      </x:c>
      <x:c r="D33" s="66" t="n">
        <x:v>1</x:v>
      </x:c>
      <x:c r="E33" s="65" t="str">
        <x:v>G05</x:v>
      </x:c>
      <x:c r="F33" s="65" t="str">
        <x:v>Later sibling encumbrances protected</x:v>
      </x:c>
      <x:c r="G33" s="66" t="n">
        <x:v>1</x:v>
      </x:c>
      <x:c r="H33" s="65" t="str">
        <x:v>Reserve custodian</x:v>
      </x:c>
      <x:c r="I33" s="65" t="str">
        <x:f>IF(AND(COUNTA(A33:F33)=6,G33=1,H33&lt;&gt;""),"PASS","FAIL")</x:f>
        <x:v>PASS</x:v>
      </x:c>
    </x:row>
    <x:row r="34">
      <x:c r="A34" s="65" t="str">
        <x:v>RG030</x:v>
      </x:c>
      <x:c r="B34" s="65" t="str">
        <x:v>HC-A-C</x:v>
      </x:c>
      <x:c r="C34" s="65" t="str">
        <x:v>HC-A</x:v>
      </x:c>
      <x:c r="D34" s="66" t="n">
        <x:v>1</x:v>
      </x:c>
      <x:c r="E34" s="65" t="str">
        <x:v>G06</x:v>
      </x:c>
      <x:c r="F34" s="65" t="str">
        <x:v>Unique beneficial-control slot</x:v>
      </x:c>
      <x:c r="G34" s="66" t="n">
        <x:v>1</x:v>
      </x:c>
      <x:c r="H34" s="65" t="str">
        <x:v>Industrial court</x:v>
      </x:c>
      <x:c r="I34" s="65" t="str">
        <x:f>IF(AND(COUNTA(A34:F34)=6,G34=1,H34&lt;&gt;""),"PASS","FAIL")</x:f>
        <x:v>PASS</x:v>
      </x:c>
    </x:row>
    <x:row r="35">
      <x:c r="A35" s="65" t="str">
        <x:v>RG031</x:v>
      </x:c>
      <x:c r="B35" s="65" t="str">
        <x:v>HC-A-C</x:v>
      </x:c>
      <x:c r="C35" s="65" t="str">
        <x:v>HC-A</x:v>
      </x:c>
      <x:c r="D35" s="66" t="n">
        <x:v>1</x:v>
      </x:c>
      <x:c r="E35" s="65" t="str">
        <x:v>G07</x:v>
      </x:c>
      <x:c r="F35" s="65" t="str">
        <x:v>Unique technical environment</x:v>
      </x:c>
      <x:c r="G35" s="66" t="n">
        <x:v>1</x:v>
      </x:c>
      <x:c r="H35" s="65" t="str">
        <x:v>Industrial court</x:v>
      </x:c>
      <x:c r="I35" s="65" t="str">
        <x:f>IF(AND(COUNTA(A35:F35)=6,G35=1,H35&lt;&gt;""),"PASS","FAIL")</x:f>
        <x:v>PASS</x:v>
      </x:c>
    </x:row>
    <x:row r="36">
      <x:c r="A36" s="65" t="str">
        <x:v>RG032</x:v>
      </x:c>
      <x:c r="B36" s="65" t="str">
        <x:v>HC-A-C</x:v>
      </x:c>
      <x:c r="C36" s="65" t="str">
        <x:v>HC-A</x:v>
      </x:c>
      <x:c r="D36" s="66" t="n">
        <x:v>1</x:v>
      </x:c>
      <x:c r="E36" s="65" t="str">
        <x:v>G08</x:v>
      </x:c>
      <x:c r="F36" s="65" t="str">
        <x:v>Independent data enclave and escrow route</x:v>
      </x:c>
      <x:c r="G36" s="66" t="n">
        <x:v>1</x:v>
      </x:c>
      <x:c r="H36" s="65" t="str">
        <x:v>Package custodian</x:v>
      </x:c>
      <x:c r="I36" s="65" t="str">
        <x:f>IF(AND(COUNTA(A36:F36)=6,G36=1,H36&lt;&gt;""),"PASS","FAIL")</x:f>
        <x:v>PASS</x:v>
      </x:c>
    </x:row>
    <x:row r="37">
      <x:c r="A37" s="65" t="str">
        <x:v>RG033</x:v>
      </x:c>
      <x:c r="B37" s="65" t="str">
        <x:v>HC-A-C</x:v>
      </x:c>
      <x:c r="C37" s="65" t="str">
        <x:v>HC-A</x:v>
      </x:c>
      <x:c r="D37" s="66" t="n">
        <x:v>1</x:v>
      </x:c>
      <x:c r="E37" s="65" t="str">
        <x:v>G09</x:v>
      </x:c>
      <x:c r="F37" s="65" t="str">
        <x:v>Root safety-change route active</x:v>
      </x:c>
      <x:c r="G37" s="66" t="n">
        <x:v>1</x:v>
      </x:c>
      <x:c r="H37" s="65" t="str">
        <x:v>Safety authority</x:v>
      </x:c>
      <x:c r="I37" s="65" t="str">
        <x:f>IF(AND(COUNTA(A37:F37)=6,G37=1,H37&lt;&gt;""),"PASS","FAIL")</x:f>
        <x:v>PASS</x:v>
      </x:c>
    </x:row>
    <x:row r="38">
      <x:c r="A38" s="65" t="str">
        <x:v>RG034</x:v>
      </x:c>
      <x:c r="B38" s="65" t="str">
        <x:v>HC-A-C</x:v>
      </x:c>
      <x:c r="C38" s="65" t="str">
        <x:v>HC-A</x:v>
      </x:c>
      <x:c r="D38" s="66" t="n">
        <x:v>1</x:v>
      </x:c>
      <x:c r="E38" s="65" t="str">
        <x:v>G10</x:v>
      </x:c>
      <x:c r="F38" s="65" t="str">
        <x:v>Five package records complete</x:v>
      </x:c>
      <x:c r="G38" s="66" t="n">
        <x:v>1</x:v>
      </x:c>
      <x:c r="H38" s="65" t="str">
        <x:v>Contracting authority</x:v>
      </x:c>
      <x:c r="I38" s="65" t="str">
        <x:f>IF(AND(COUNTA(A38:F38)=6,G38=1,H38&lt;&gt;""),"PASS","FAIL")</x:f>
        <x:v>PASS</x:v>
      </x:c>
    </x:row>
    <x:row r="39">
      <x:c r="A39" s="65" t="str">
        <x:v>RG035</x:v>
      </x:c>
      <x:c r="B39" s="65" t="str">
        <x:v>HC-A-C</x:v>
      </x:c>
      <x:c r="C39" s="65" t="str">
        <x:v>HC-A</x:v>
      </x:c>
      <x:c r="D39" s="66" t="n">
        <x:v>1</x:v>
      </x:c>
      <x:c r="E39" s="65" t="str">
        <x:v>G11</x:v>
      </x:c>
      <x:c r="F39" s="65" t="str">
        <x:v>Artifact acceptance separated from builder</x:v>
      </x:c>
      <x:c r="G39" s="66" t="n">
        <x:v>1</x:v>
      </x:c>
      <x:c r="H39" s="65" t="str">
        <x:v>Validity authority</x:v>
      </x:c>
      <x:c r="I39" s="65" t="str">
        <x:f>IF(AND(COUNTA(A39:F39)=6,G39=1,H39&lt;&gt;""),"PASS","FAIL")</x:f>
        <x:v>PASS</x:v>
      </x:c>
    </x:row>
    <x:row r="40">
      <x:c r="A40" s="65" t="str">
        <x:v>RG036</x:v>
      </x:c>
      <x:c r="B40" s="65" t="str">
        <x:v>HC-A-C</x:v>
      </x:c>
      <x:c r="C40" s="65" t="str">
        <x:v>HC-A</x:v>
      </x:c>
      <x:c r="D40" s="66" t="n">
        <x:v>1</x:v>
      </x:c>
      <x:c r="E40" s="65" t="str">
        <x:v>G12</x:v>
      </x:c>
      <x:c r="F40" s="65" t="str">
        <x:v>Stop, rollback and expiry authority active</x:v>
      </x:c>
      <x:c r="G40" s="66" t="n">
        <x:v>1</x:v>
      </x:c>
      <x:c r="H40" s="65" t="str">
        <x:v>Campaign authority</x:v>
      </x:c>
      <x:c r="I40" s="65" t="str">
        <x:f>IF(AND(COUNTA(A40:F40)=6,G40=1,H40&lt;&gt;""),"PASS","FAIL")</x:f>
        <x:v>PASS</x:v>
      </x:c>
    </x:row>
    <x:row r="41">
      <x:c r="A41" s="65" t="str">
        <x:v>RG037</x:v>
      </x:c>
      <x:c r="B41" s="65" t="str">
        <x:v>LF-B-A</x:v>
      </x:c>
      <x:c r="C41" s="65" t="str">
        <x:v>LF-B</x:v>
      </x:c>
      <x:c r="D41" s="66" t="n">
        <x:v>1</x:v>
      </x:c>
      <x:c r="E41" s="65" t="str">
        <x:v>G01</x:v>
      </x:c>
      <x:c r="F41" s="65" t="str">
        <x:v>Legal learning warrant issued</x:v>
      </x:c>
      <x:c r="G41" s="66" t="n">
        <x:v>1</x:v>
      </x:c>
      <x:c r="H41" s="65" t="str">
        <x:v>Configuration registrar</x:v>
      </x:c>
      <x:c r="I41" s="65" t="str">
        <x:f>IF(AND(COUNTA(A41:F41)=6,G41=1,H41&lt;&gt;""),"PASS","FAIL")</x:f>
        <x:v>PASS</x:v>
      </x:c>
    </x:row>
    <x:row r="42">
      <x:c r="A42" s="65" t="str">
        <x:v>RG038</x:v>
      </x:c>
      <x:c r="B42" s="65" t="str">
        <x:v>LF-B-A</x:v>
      </x:c>
      <x:c r="C42" s="65" t="str">
        <x:v>LF-B</x:v>
      </x:c>
      <x:c r="D42" s="66" t="n">
        <x:v>1</x:v>
      </x:c>
      <x:c r="E42" s="65" t="str">
        <x:v>G02</x:v>
      </x:c>
      <x:c r="F42" s="65" t="str">
        <x:v>Configuration and event identity frozen</x:v>
      </x:c>
      <x:c r="G42" s="66" t="n">
        <x:v>1</x:v>
      </x:c>
      <x:c r="H42" s="65" t="str">
        <x:v>Configuration registrar</x:v>
      </x:c>
      <x:c r="I42" s="65" t="str">
        <x:f>IF(AND(COUNTA(A42:F42)=6,G42=1,H42&lt;&gt;""),"PASS","FAIL")</x:f>
        <x:v>PASS</x:v>
      </x:c>
    </x:row>
    <x:row r="43">
      <x:c r="A43" s="65" t="str">
        <x:v>RG039</x:v>
      </x:c>
      <x:c r="B43" s="65" t="str">
        <x:v>LF-B-A</x:v>
      </x:c>
      <x:c r="C43" s="65" t="str">
        <x:v>LF-B</x:v>
      </x:c>
      <x:c r="D43" s="66" t="n">
        <x:v>1</x:v>
      </x:c>
      <x:c r="E43" s="65" t="str">
        <x:v>G03</x:v>
      </x:c>
      <x:c r="F43" s="65" t="str">
        <x:v>Cohort-one schedule position fixed</x:v>
      </x:c>
      <x:c r="G43" s="66" t="n">
        <x:v>1</x:v>
      </x:c>
      <x:c r="H43" s="65" t="str">
        <x:v>Campaign authority</x:v>
      </x:c>
      <x:c r="I43" s="65" t="str">
        <x:f>IF(AND(COUNTA(A43:F43)=6,G43=1,H43&lt;&gt;""),"PASS","FAIL")</x:f>
        <x:v>PASS</x:v>
      </x:c>
    </x:row>
    <x:row r="44">
      <x:c r="A44" s="65" t="str">
        <x:v>RG040</x:v>
      </x:c>
      <x:c r="B44" s="65" t="str">
        <x:v>LF-B-A</x:v>
      </x:c>
      <x:c r="C44" s="65" t="str">
        <x:v>LF-B</x:v>
      </x:c>
      <x:c r="D44" s="66" t="n">
        <x:v>1</x:v>
      </x:c>
      <x:c r="E44" s="65" t="str">
        <x:v>G04</x:v>
      </x:c>
      <x:c r="F44" s="65" t="str">
        <x:v>Complete form ceiling reserved</x:v>
      </x:c>
      <x:c r="G44" s="66" t="n">
        <x:v>1</x:v>
      </x:c>
      <x:c r="H44" s="65" t="str">
        <x:v>Reserve custodian</x:v>
      </x:c>
      <x:c r="I44" s="65" t="str">
        <x:f>IF(AND(COUNTA(A44:F44)=6,G44=1,H44&lt;&gt;""),"PASS","FAIL")</x:f>
        <x:v>PASS</x:v>
      </x:c>
    </x:row>
    <x:row r="45">
      <x:c r="A45" s="65" t="str">
        <x:v>RG041</x:v>
      </x:c>
      <x:c r="B45" s="65" t="str">
        <x:v>LF-B-A</x:v>
      </x:c>
      <x:c r="C45" s="65" t="str">
        <x:v>LF-B</x:v>
      </x:c>
      <x:c r="D45" s="66" t="n">
        <x:v>1</x:v>
      </x:c>
      <x:c r="E45" s="65" t="str">
        <x:v>G05</x:v>
      </x:c>
      <x:c r="F45" s="65" t="str">
        <x:v>Later sibling encumbrances protected</x:v>
      </x:c>
      <x:c r="G45" s="66" t="n">
        <x:v>1</x:v>
      </x:c>
      <x:c r="H45" s="65" t="str">
        <x:v>Reserve custodian</x:v>
      </x:c>
      <x:c r="I45" s="65" t="str">
        <x:f>IF(AND(COUNTA(A45:F45)=6,G45=1,H45&lt;&gt;""),"PASS","FAIL")</x:f>
        <x:v>PASS</x:v>
      </x:c>
    </x:row>
    <x:row r="46">
      <x:c r="A46" s="65" t="str">
        <x:v>RG042</x:v>
      </x:c>
      <x:c r="B46" s="65" t="str">
        <x:v>LF-B-A</x:v>
      </x:c>
      <x:c r="C46" s="65" t="str">
        <x:v>LF-B</x:v>
      </x:c>
      <x:c r="D46" s="66" t="n">
        <x:v>1</x:v>
      </x:c>
      <x:c r="E46" s="65" t="str">
        <x:v>G06</x:v>
      </x:c>
      <x:c r="F46" s="65" t="str">
        <x:v>Unique beneficial-control slot</x:v>
      </x:c>
      <x:c r="G46" s="66" t="n">
        <x:v>1</x:v>
      </x:c>
      <x:c r="H46" s="65" t="str">
        <x:v>Industrial court</x:v>
      </x:c>
      <x:c r="I46" s="65" t="str">
        <x:f>IF(AND(COUNTA(A46:F46)=6,G46=1,H46&lt;&gt;""),"PASS","FAIL")</x:f>
        <x:v>PASS</x:v>
      </x:c>
    </x:row>
    <x:row r="47">
      <x:c r="A47" s="65" t="str">
        <x:v>RG043</x:v>
      </x:c>
      <x:c r="B47" s="65" t="str">
        <x:v>LF-B-A</x:v>
      </x:c>
      <x:c r="C47" s="65" t="str">
        <x:v>LF-B</x:v>
      </x:c>
      <x:c r="D47" s="66" t="n">
        <x:v>1</x:v>
      </x:c>
      <x:c r="E47" s="65" t="str">
        <x:v>G07</x:v>
      </x:c>
      <x:c r="F47" s="65" t="str">
        <x:v>Unique technical environment</x:v>
      </x:c>
      <x:c r="G47" s="66" t="n">
        <x:v>1</x:v>
      </x:c>
      <x:c r="H47" s="65" t="str">
        <x:v>Industrial court</x:v>
      </x:c>
      <x:c r="I47" s="65" t="str">
        <x:f>IF(AND(COUNTA(A47:F47)=6,G47=1,H47&lt;&gt;""),"PASS","FAIL")</x:f>
        <x:v>PASS</x:v>
      </x:c>
    </x:row>
    <x:row r="48">
      <x:c r="A48" s="65" t="str">
        <x:v>RG044</x:v>
      </x:c>
      <x:c r="B48" s="65" t="str">
        <x:v>LF-B-A</x:v>
      </x:c>
      <x:c r="C48" s="65" t="str">
        <x:v>LF-B</x:v>
      </x:c>
      <x:c r="D48" s="66" t="n">
        <x:v>1</x:v>
      </x:c>
      <x:c r="E48" s="65" t="str">
        <x:v>G08</x:v>
      </x:c>
      <x:c r="F48" s="65" t="str">
        <x:v>Independent data enclave and escrow route</x:v>
      </x:c>
      <x:c r="G48" s="66" t="n">
        <x:v>1</x:v>
      </x:c>
      <x:c r="H48" s="65" t="str">
        <x:v>Package custodian</x:v>
      </x:c>
      <x:c r="I48" s="65" t="str">
        <x:f>IF(AND(COUNTA(A48:F48)=6,G48=1,H48&lt;&gt;""),"PASS","FAIL")</x:f>
        <x:v>PASS</x:v>
      </x:c>
    </x:row>
    <x:row r="49">
      <x:c r="A49" s="65" t="str">
        <x:v>RG045</x:v>
      </x:c>
      <x:c r="B49" s="65" t="str">
        <x:v>LF-B-A</x:v>
      </x:c>
      <x:c r="C49" s="65" t="str">
        <x:v>LF-B</x:v>
      </x:c>
      <x:c r="D49" s="66" t="n">
        <x:v>1</x:v>
      </x:c>
      <x:c r="E49" s="65" t="str">
        <x:v>G09</x:v>
      </x:c>
      <x:c r="F49" s="65" t="str">
        <x:v>Root safety-change route active</x:v>
      </x:c>
      <x:c r="G49" s="66" t="n">
        <x:v>1</x:v>
      </x:c>
      <x:c r="H49" s="65" t="str">
        <x:v>Safety authority</x:v>
      </x:c>
      <x:c r="I49" s="65" t="str">
        <x:f>IF(AND(COUNTA(A49:F49)=6,G49=1,H49&lt;&gt;""),"PASS","FAIL")</x:f>
        <x:v>PASS</x:v>
      </x:c>
    </x:row>
    <x:row r="50">
      <x:c r="A50" s="65" t="str">
        <x:v>RG046</x:v>
      </x:c>
      <x:c r="B50" s="65" t="str">
        <x:v>LF-B-A</x:v>
      </x:c>
      <x:c r="C50" s="65" t="str">
        <x:v>LF-B</x:v>
      </x:c>
      <x:c r="D50" s="66" t="n">
        <x:v>1</x:v>
      </x:c>
      <x:c r="E50" s="65" t="str">
        <x:v>G10</x:v>
      </x:c>
      <x:c r="F50" s="65" t="str">
        <x:v>Five package records complete</x:v>
      </x:c>
      <x:c r="G50" s="66" t="n">
        <x:v>1</x:v>
      </x:c>
      <x:c r="H50" s="65" t="str">
        <x:v>Contracting authority</x:v>
      </x:c>
      <x:c r="I50" s="65" t="str">
        <x:f>IF(AND(COUNTA(A50:F50)=6,G50=1,H50&lt;&gt;""),"PASS","FAIL")</x:f>
        <x:v>PASS</x:v>
      </x:c>
    </x:row>
    <x:row r="51">
      <x:c r="A51" s="65" t="str">
        <x:v>RG047</x:v>
      </x:c>
      <x:c r="B51" s="65" t="str">
        <x:v>LF-B-A</x:v>
      </x:c>
      <x:c r="C51" s="65" t="str">
        <x:v>LF-B</x:v>
      </x:c>
      <x:c r="D51" s="66" t="n">
        <x:v>1</x:v>
      </x:c>
      <x:c r="E51" s="65" t="str">
        <x:v>G11</x:v>
      </x:c>
      <x:c r="F51" s="65" t="str">
        <x:v>Artifact acceptance separated from builder</x:v>
      </x:c>
      <x:c r="G51" s="66" t="n">
        <x:v>1</x:v>
      </x:c>
      <x:c r="H51" s="65" t="str">
        <x:v>Validity authority</x:v>
      </x:c>
      <x:c r="I51" s="65" t="str">
        <x:f>IF(AND(COUNTA(A51:F51)=6,G51=1,H51&lt;&gt;""),"PASS","FAIL")</x:f>
        <x:v>PASS</x:v>
      </x:c>
    </x:row>
    <x:row r="52">
      <x:c r="A52" s="65" t="str">
        <x:v>RG048</x:v>
      </x:c>
      <x:c r="B52" s="65" t="str">
        <x:v>LF-B-A</x:v>
      </x:c>
      <x:c r="C52" s="65" t="str">
        <x:v>LF-B</x:v>
      </x:c>
      <x:c r="D52" s="66" t="n">
        <x:v>1</x:v>
      </x:c>
      <x:c r="E52" s="65" t="str">
        <x:v>G12</x:v>
      </x:c>
      <x:c r="F52" s="65" t="str">
        <x:v>Stop, rollback and expiry authority active</x:v>
      </x:c>
      <x:c r="G52" s="66" t="n">
        <x:v>1</x:v>
      </x:c>
      <x:c r="H52" s="65" t="str">
        <x:v>Campaign authority</x:v>
      </x:c>
      <x:c r="I52" s="65" t="str">
        <x:f>IF(AND(COUNTA(A52:F52)=6,G52=1,H52&lt;&gt;""),"PASS","FAIL")</x:f>
        <x:v>PASS</x:v>
      </x:c>
    </x:row>
    <x:row r="53">
      <x:c r="A53" s="65" t="str">
        <x:v>RG049</x:v>
      </x:c>
      <x:c r="B53" s="65" t="str">
        <x:v>HU-A-B</x:v>
      </x:c>
      <x:c r="C53" s="65" t="str">
        <x:v>HU-A</x:v>
      </x:c>
      <x:c r="D53" s="66" t="n">
        <x:v>1</x:v>
      </x:c>
      <x:c r="E53" s="65" t="str">
        <x:v>G01</x:v>
      </x:c>
      <x:c r="F53" s="65" t="str">
        <x:v>Legal learning warrant issued</x:v>
      </x:c>
      <x:c r="G53" s="66" t="n">
        <x:v>1</x:v>
      </x:c>
      <x:c r="H53" s="65" t="str">
        <x:v>Configuration registrar</x:v>
      </x:c>
      <x:c r="I53" s="65" t="str">
        <x:f>IF(AND(COUNTA(A53:F53)=6,G53=1,H53&lt;&gt;""),"PASS","FAIL")</x:f>
        <x:v>PASS</x:v>
      </x:c>
    </x:row>
    <x:row r="54">
      <x:c r="A54" s="65" t="str">
        <x:v>RG050</x:v>
      </x:c>
      <x:c r="B54" s="65" t="str">
        <x:v>HU-A-B</x:v>
      </x:c>
      <x:c r="C54" s="65" t="str">
        <x:v>HU-A</x:v>
      </x:c>
      <x:c r="D54" s="66" t="n">
        <x:v>1</x:v>
      </x:c>
      <x:c r="E54" s="65" t="str">
        <x:v>G02</x:v>
      </x:c>
      <x:c r="F54" s="65" t="str">
        <x:v>Configuration and event identity frozen</x:v>
      </x:c>
      <x:c r="G54" s="66" t="n">
        <x:v>1</x:v>
      </x:c>
      <x:c r="H54" s="65" t="str">
        <x:v>Configuration registrar</x:v>
      </x:c>
      <x:c r="I54" s="65" t="str">
        <x:f>IF(AND(COUNTA(A54:F54)=6,G54=1,H54&lt;&gt;""),"PASS","FAIL")</x:f>
        <x:v>PASS</x:v>
      </x:c>
    </x:row>
    <x:row r="55">
      <x:c r="A55" s="65" t="str">
        <x:v>RG051</x:v>
      </x:c>
      <x:c r="B55" s="65" t="str">
        <x:v>HU-A-B</x:v>
      </x:c>
      <x:c r="C55" s="65" t="str">
        <x:v>HU-A</x:v>
      </x:c>
      <x:c r="D55" s="66" t="n">
        <x:v>1</x:v>
      </x:c>
      <x:c r="E55" s="65" t="str">
        <x:v>G03</x:v>
      </x:c>
      <x:c r="F55" s="65" t="str">
        <x:v>Cohort-one schedule position fixed</x:v>
      </x:c>
      <x:c r="G55" s="66" t="n">
        <x:v>1</x:v>
      </x:c>
      <x:c r="H55" s="65" t="str">
        <x:v>Campaign authority</x:v>
      </x:c>
      <x:c r="I55" s="65" t="str">
        <x:f>IF(AND(COUNTA(A55:F55)=6,G55=1,H55&lt;&gt;""),"PASS","FAIL")</x:f>
        <x:v>PASS</x:v>
      </x:c>
    </x:row>
    <x:row r="56">
      <x:c r="A56" s="65" t="str">
        <x:v>RG052</x:v>
      </x:c>
      <x:c r="B56" s="65" t="str">
        <x:v>HU-A-B</x:v>
      </x:c>
      <x:c r="C56" s="65" t="str">
        <x:v>HU-A</x:v>
      </x:c>
      <x:c r="D56" s="66" t="n">
        <x:v>1</x:v>
      </x:c>
      <x:c r="E56" s="65" t="str">
        <x:v>G04</x:v>
      </x:c>
      <x:c r="F56" s="65" t="str">
        <x:v>Complete form ceiling reserved</x:v>
      </x:c>
      <x:c r="G56" s="66" t="n">
        <x:v>1</x:v>
      </x:c>
      <x:c r="H56" s="65" t="str">
        <x:v>Reserve custodian</x:v>
      </x:c>
      <x:c r="I56" s="65" t="str">
        <x:f>IF(AND(COUNTA(A56:F56)=6,G56=1,H56&lt;&gt;""),"PASS","FAIL")</x:f>
        <x:v>PASS</x:v>
      </x:c>
    </x:row>
    <x:row r="57">
      <x:c r="A57" s="65" t="str">
        <x:v>RG053</x:v>
      </x:c>
      <x:c r="B57" s="65" t="str">
        <x:v>HU-A-B</x:v>
      </x:c>
      <x:c r="C57" s="65" t="str">
        <x:v>HU-A</x:v>
      </x:c>
      <x:c r="D57" s="66" t="n">
        <x:v>1</x:v>
      </x:c>
      <x:c r="E57" s="65" t="str">
        <x:v>G05</x:v>
      </x:c>
      <x:c r="F57" s="65" t="str">
        <x:v>Later sibling encumbrances protected</x:v>
      </x:c>
      <x:c r="G57" s="66" t="n">
        <x:v>1</x:v>
      </x:c>
      <x:c r="H57" s="65" t="str">
        <x:v>Reserve custodian</x:v>
      </x:c>
      <x:c r="I57" s="65" t="str">
        <x:f>IF(AND(COUNTA(A57:F57)=6,G57=1,H57&lt;&gt;""),"PASS","FAIL")</x:f>
        <x:v>PASS</x:v>
      </x:c>
    </x:row>
    <x:row r="58">
      <x:c r="A58" s="65" t="str">
        <x:v>RG054</x:v>
      </x:c>
      <x:c r="B58" s="65" t="str">
        <x:v>HU-A-B</x:v>
      </x:c>
      <x:c r="C58" s="65" t="str">
        <x:v>HU-A</x:v>
      </x:c>
      <x:c r="D58" s="66" t="n">
        <x:v>1</x:v>
      </x:c>
      <x:c r="E58" s="65" t="str">
        <x:v>G06</x:v>
      </x:c>
      <x:c r="F58" s="65" t="str">
        <x:v>Unique beneficial-control slot</x:v>
      </x:c>
      <x:c r="G58" s="66" t="n">
        <x:v>1</x:v>
      </x:c>
      <x:c r="H58" s="65" t="str">
        <x:v>Industrial court</x:v>
      </x:c>
      <x:c r="I58" s="65" t="str">
        <x:f>IF(AND(COUNTA(A58:F58)=6,G58=1,H58&lt;&gt;""),"PASS","FAIL")</x:f>
        <x:v>PASS</x:v>
      </x:c>
    </x:row>
    <x:row r="59">
      <x:c r="A59" s="65" t="str">
        <x:v>RG055</x:v>
      </x:c>
      <x:c r="B59" s="65" t="str">
        <x:v>HU-A-B</x:v>
      </x:c>
      <x:c r="C59" s="65" t="str">
        <x:v>HU-A</x:v>
      </x:c>
      <x:c r="D59" s="66" t="n">
        <x:v>1</x:v>
      </x:c>
      <x:c r="E59" s="65" t="str">
        <x:v>G07</x:v>
      </x:c>
      <x:c r="F59" s="65" t="str">
        <x:v>Unique technical environment</x:v>
      </x:c>
      <x:c r="G59" s="66" t="n">
        <x:v>1</x:v>
      </x:c>
      <x:c r="H59" s="65" t="str">
        <x:v>Industrial court</x:v>
      </x:c>
      <x:c r="I59" s="65" t="str">
        <x:f>IF(AND(COUNTA(A59:F59)=6,G59=1,H59&lt;&gt;""),"PASS","FAIL")</x:f>
        <x:v>PASS</x:v>
      </x:c>
    </x:row>
    <x:row r="60">
      <x:c r="A60" s="65" t="str">
        <x:v>RG056</x:v>
      </x:c>
      <x:c r="B60" s="65" t="str">
        <x:v>HU-A-B</x:v>
      </x:c>
      <x:c r="C60" s="65" t="str">
        <x:v>HU-A</x:v>
      </x:c>
      <x:c r="D60" s="66" t="n">
        <x:v>1</x:v>
      </x:c>
      <x:c r="E60" s="65" t="str">
        <x:v>G08</x:v>
      </x:c>
      <x:c r="F60" s="65" t="str">
        <x:v>Independent data enclave and escrow route</x:v>
      </x:c>
      <x:c r="G60" s="66" t="n">
        <x:v>1</x:v>
      </x:c>
      <x:c r="H60" s="65" t="str">
        <x:v>Package custodian</x:v>
      </x:c>
      <x:c r="I60" s="65" t="str">
        <x:f>IF(AND(COUNTA(A60:F60)=6,G60=1,H60&lt;&gt;""),"PASS","FAIL")</x:f>
        <x:v>PASS</x:v>
      </x:c>
    </x:row>
    <x:row r="61">
      <x:c r="A61" s="65" t="str">
        <x:v>RG057</x:v>
      </x:c>
      <x:c r="B61" s="65" t="str">
        <x:v>HU-A-B</x:v>
      </x:c>
      <x:c r="C61" s="65" t="str">
        <x:v>HU-A</x:v>
      </x:c>
      <x:c r="D61" s="66" t="n">
        <x:v>1</x:v>
      </x:c>
      <x:c r="E61" s="65" t="str">
        <x:v>G09</x:v>
      </x:c>
      <x:c r="F61" s="65" t="str">
        <x:v>Root safety-change route active</x:v>
      </x:c>
      <x:c r="G61" s="66" t="n">
        <x:v>1</x:v>
      </x:c>
      <x:c r="H61" s="65" t="str">
        <x:v>Safety authority</x:v>
      </x:c>
      <x:c r="I61" s="65" t="str">
        <x:f>IF(AND(COUNTA(A61:F61)=6,G61=1,H61&lt;&gt;""),"PASS","FAIL")</x:f>
        <x:v>PASS</x:v>
      </x:c>
    </x:row>
    <x:row r="62">
      <x:c r="A62" s="65" t="str">
        <x:v>RG058</x:v>
      </x:c>
      <x:c r="B62" s="65" t="str">
        <x:v>HU-A-B</x:v>
      </x:c>
      <x:c r="C62" s="65" t="str">
        <x:v>HU-A</x:v>
      </x:c>
      <x:c r="D62" s="66" t="n">
        <x:v>1</x:v>
      </x:c>
      <x:c r="E62" s="65" t="str">
        <x:v>G10</x:v>
      </x:c>
      <x:c r="F62" s="65" t="str">
        <x:v>Five package records complete</x:v>
      </x:c>
      <x:c r="G62" s="66" t="n">
        <x:v>1</x:v>
      </x:c>
      <x:c r="H62" s="65" t="str">
        <x:v>Contracting authority</x:v>
      </x:c>
      <x:c r="I62" s="65" t="str">
        <x:f>IF(AND(COUNTA(A62:F62)=6,G62=1,H62&lt;&gt;""),"PASS","FAIL")</x:f>
        <x:v>PASS</x:v>
      </x:c>
    </x:row>
    <x:row r="63">
      <x:c r="A63" s="65" t="str">
        <x:v>RG059</x:v>
      </x:c>
      <x:c r="B63" s="65" t="str">
        <x:v>HU-A-B</x:v>
      </x:c>
      <x:c r="C63" s="65" t="str">
        <x:v>HU-A</x:v>
      </x:c>
      <x:c r="D63" s="66" t="n">
        <x:v>1</x:v>
      </x:c>
      <x:c r="E63" s="65" t="str">
        <x:v>G11</x:v>
      </x:c>
      <x:c r="F63" s="65" t="str">
        <x:v>Artifact acceptance separated from builder</x:v>
      </x:c>
      <x:c r="G63" s="66" t="n">
        <x:v>1</x:v>
      </x:c>
      <x:c r="H63" s="65" t="str">
        <x:v>Validity authority</x:v>
      </x:c>
      <x:c r="I63" s="65" t="str">
        <x:f>IF(AND(COUNTA(A63:F63)=6,G63=1,H63&lt;&gt;""),"PASS","FAIL")</x:f>
        <x:v>PASS</x:v>
      </x:c>
    </x:row>
    <x:row r="64">
      <x:c r="A64" s="65" t="str">
        <x:v>RG060</x:v>
      </x:c>
      <x:c r="B64" s="65" t="str">
        <x:v>HU-A-B</x:v>
      </x:c>
      <x:c r="C64" s="65" t="str">
        <x:v>HU-A</x:v>
      </x:c>
      <x:c r="D64" s="66" t="n">
        <x:v>1</x:v>
      </x:c>
      <x:c r="E64" s="65" t="str">
        <x:v>G12</x:v>
      </x:c>
      <x:c r="F64" s="65" t="str">
        <x:v>Stop, rollback and expiry authority active</x:v>
      </x:c>
      <x:c r="G64" s="66" t="n">
        <x:v>1</x:v>
      </x:c>
      <x:c r="H64" s="65" t="str">
        <x:v>Campaign authority</x:v>
      </x:c>
      <x:c r="I64" s="65" t="str">
        <x:f>IF(AND(COUNTA(A64:F64)=6,G64=1,H64&lt;&gt;""),"PASS","FAIL")</x:f>
        <x:v>PASS</x:v>
      </x:c>
    </x:row>
    <x:row r="65">
      <x:c r="A65" s="65" t="str">
        <x:v>RG061</x:v>
      </x:c>
      <x:c r="B65" s="65" t="str">
        <x:v>RT-B-C</x:v>
      </x:c>
      <x:c r="C65" s="65" t="str">
        <x:v>RT-B</x:v>
      </x:c>
      <x:c r="D65" s="66" t="n">
        <x:v>1</x:v>
      </x:c>
      <x:c r="E65" s="65" t="str">
        <x:v>G01</x:v>
      </x:c>
      <x:c r="F65" s="65" t="str">
        <x:v>Legal learning warrant issued</x:v>
      </x:c>
      <x:c r="G65" s="66" t="n">
        <x:v>1</x:v>
      </x:c>
      <x:c r="H65" s="65" t="str">
        <x:v>Configuration registrar</x:v>
      </x:c>
      <x:c r="I65" s="65" t="str">
        <x:f>IF(AND(COUNTA(A65:F65)=6,G65=1,H65&lt;&gt;""),"PASS","FAIL")</x:f>
        <x:v>PASS</x:v>
      </x:c>
    </x:row>
    <x:row r="66">
      <x:c r="A66" s="65" t="str">
        <x:v>RG062</x:v>
      </x:c>
      <x:c r="B66" s="65" t="str">
        <x:v>RT-B-C</x:v>
      </x:c>
      <x:c r="C66" s="65" t="str">
        <x:v>RT-B</x:v>
      </x:c>
      <x:c r="D66" s="66" t="n">
        <x:v>1</x:v>
      </x:c>
      <x:c r="E66" s="65" t="str">
        <x:v>G02</x:v>
      </x:c>
      <x:c r="F66" s="65" t="str">
        <x:v>Configuration and event identity frozen</x:v>
      </x:c>
      <x:c r="G66" s="66" t="n">
        <x:v>1</x:v>
      </x:c>
      <x:c r="H66" s="65" t="str">
        <x:v>Configuration registrar</x:v>
      </x:c>
      <x:c r="I66" s="65" t="str">
        <x:f>IF(AND(COUNTA(A66:F66)=6,G66=1,H66&lt;&gt;""),"PASS","FAIL")</x:f>
        <x:v>PASS</x:v>
      </x:c>
    </x:row>
    <x:row r="67">
      <x:c r="A67" s="65" t="str">
        <x:v>RG063</x:v>
      </x:c>
      <x:c r="B67" s="65" t="str">
        <x:v>RT-B-C</x:v>
      </x:c>
      <x:c r="C67" s="65" t="str">
        <x:v>RT-B</x:v>
      </x:c>
      <x:c r="D67" s="66" t="n">
        <x:v>1</x:v>
      </x:c>
      <x:c r="E67" s="65" t="str">
        <x:v>G03</x:v>
      </x:c>
      <x:c r="F67" s="65" t="str">
        <x:v>Cohort-one schedule position fixed</x:v>
      </x:c>
      <x:c r="G67" s="66" t="n">
        <x:v>1</x:v>
      </x:c>
      <x:c r="H67" s="65" t="str">
        <x:v>Campaign authority</x:v>
      </x:c>
      <x:c r="I67" s="65" t="str">
        <x:f>IF(AND(COUNTA(A67:F67)=6,G67=1,H67&lt;&gt;""),"PASS","FAIL")</x:f>
        <x:v>PASS</x:v>
      </x:c>
    </x:row>
    <x:row r="68">
      <x:c r="A68" s="65" t="str">
        <x:v>RG064</x:v>
      </x:c>
      <x:c r="B68" s="65" t="str">
        <x:v>RT-B-C</x:v>
      </x:c>
      <x:c r="C68" s="65" t="str">
        <x:v>RT-B</x:v>
      </x:c>
      <x:c r="D68" s="66" t="n">
        <x:v>1</x:v>
      </x:c>
      <x:c r="E68" s="65" t="str">
        <x:v>G04</x:v>
      </x:c>
      <x:c r="F68" s="65" t="str">
        <x:v>Complete form ceiling reserved</x:v>
      </x:c>
      <x:c r="G68" s="66" t="n">
        <x:v>1</x:v>
      </x:c>
      <x:c r="H68" s="65" t="str">
        <x:v>Reserve custodian</x:v>
      </x:c>
      <x:c r="I68" s="65" t="str">
        <x:f>IF(AND(COUNTA(A68:F68)=6,G68=1,H68&lt;&gt;""),"PASS","FAIL")</x:f>
        <x:v>PASS</x:v>
      </x:c>
    </x:row>
    <x:row r="69">
      <x:c r="A69" s="65" t="str">
        <x:v>RG065</x:v>
      </x:c>
      <x:c r="B69" s="65" t="str">
        <x:v>RT-B-C</x:v>
      </x:c>
      <x:c r="C69" s="65" t="str">
        <x:v>RT-B</x:v>
      </x:c>
      <x:c r="D69" s="66" t="n">
        <x:v>1</x:v>
      </x:c>
      <x:c r="E69" s="65" t="str">
        <x:v>G05</x:v>
      </x:c>
      <x:c r="F69" s="65" t="str">
        <x:v>Later sibling encumbrances protected</x:v>
      </x:c>
      <x:c r="G69" s="66" t="n">
        <x:v>1</x:v>
      </x:c>
      <x:c r="H69" s="65" t="str">
        <x:v>Reserve custodian</x:v>
      </x:c>
      <x:c r="I69" s="65" t="str">
        <x:f>IF(AND(COUNTA(A69:F69)=6,G69=1,H69&lt;&gt;""),"PASS","FAIL")</x:f>
        <x:v>PASS</x:v>
      </x:c>
    </x:row>
    <x:row r="70">
      <x:c r="A70" s="65" t="str">
        <x:v>RG066</x:v>
      </x:c>
      <x:c r="B70" s="65" t="str">
        <x:v>RT-B-C</x:v>
      </x:c>
      <x:c r="C70" s="65" t="str">
        <x:v>RT-B</x:v>
      </x:c>
      <x:c r="D70" s="66" t="n">
        <x:v>1</x:v>
      </x:c>
      <x:c r="E70" s="65" t="str">
        <x:v>G06</x:v>
      </x:c>
      <x:c r="F70" s="65" t="str">
        <x:v>Unique beneficial-control slot</x:v>
      </x:c>
      <x:c r="G70" s="66" t="n">
        <x:v>1</x:v>
      </x:c>
      <x:c r="H70" s="65" t="str">
        <x:v>Industrial court</x:v>
      </x:c>
      <x:c r="I70" s="65" t="str">
        <x:f>IF(AND(COUNTA(A70:F70)=6,G70=1,H70&lt;&gt;""),"PASS","FAIL")</x:f>
        <x:v>PASS</x:v>
      </x:c>
    </x:row>
    <x:row r="71">
      <x:c r="A71" s="65" t="str">
        <x:v>RG067</x:v>
      </x:c>
      <x:c r="B71" s="65" t="str">
        <x:v>RT-B-C</x:v>
      </x:c>
      <x:c r="C71" s="65" t="str">
        <x:v>RT-B</x:v>
      </x:c>
      <x:c r="D71" s="66" t="n">
        <x:v>1</x:v>
      </x:c>
      <x:c r="E71" s="65" t="str">
        <x:v>G07</x:v>
      </x:c>
      <x:c r="F71" s="65" t="str">
        <x:v>Unique technical environment</x:v>
      </x:c>
      <x:c r="G71" s="66" t="n">
        <x:v>1</x:v>
      </x:c>
      <x:c r="H71" s="65" t="str">
        <x:v>Industrial court</x:v>
      </x:c>
      <x:c r="I71" s="65" t="str">
        <x:f>IF(AND(COUNTA(A71:F71)=6,G71=1,H71&lt;&gt;""),"PASS","FAIL")</x:f>
        <x:v>PASS</x:v>
      </x:c>
    </x:row>
    <x:row r="72">
      <x:c r="A72" s="65" t="str">
        <x:v>RG068</x:v>
      </x:c>
      <x:c r="B72" s="65" t="str">
        <x:v>RT-B-C</x:v>
      </x:c>
      <x:c r="C72" s="65" t="str">
        <x:v>RT-B</x:v>
      </x:c>
      <x:c r="D72" s="66" t="n">
        <x:v>1</x:v>
      </x:c>
      <x:c r="E72" s="65" t="str">
        <x:v>G08</x:v>
      </x:c>
      <x:c r="F72" s="65" t="str">
        <x:v>Independent data enclave and escrow route</x:v>
      </x:c>
      <x:c r="G72" s="66" t="n">
        <x:v>1</x:v>
      </x:c>
      <x:c r="H72" s="65" t="str">
        <x:v>Package custodian</x:v>
      </x:c>
      <x:c r="I72" s="65" t="str">
        <x:f>IF(AND(COUNTA(A72:F72)=6,G72=1,H72&lt;&gt;""),"PASS","FAIL")</x:f>
        <x:v>PASS</x:v>
      </x:c>
    </x:row>
    <x:row r="73">
      <x:c r="A73" s="65" t="str">
        <x:v>RG069</x:v>
      </x:c>
      <x:c r="B73" s="65" t="str">
        <x:v>RT-B-C</x:v>
      </x:c>
      <x:c r="C73" s="65" t="str">
        <x:v>RT-B</x:v>
      </x:c>
      <x:c r="D73" s="66" t="n">
        <x:v>1</x:v>
      </x:c>
      <x:c r="E73" s="65" t="str">
        <x:v>G09</x:v>
      </x:c>
      <x:c r="F73" s="65" t="str">
        <x:v>Root safety-change route active</x:v>
      </x:c>
      <x:c r="G73" s="66" t="n">
        <x:v>1</x:v>
      </x:c>
      <x:c r="H73" s="65" t="str">
        <x:v>Safety authority</x:v>
      </x:c>
      <x:c r="I73" s="65" t="str">
        <x:f>IF(AND(COUNTA(A73:F73)=6,G73=1,H73&lt;&gt;""),"PASS","FAIL")</x:f>
        <x:v>PASS</x:v>
      </x:c>
    </x:row>
    <x:row r="74">
      <x:c r="A74" s="65" t="str">
        <x:v>RG070</x:v>
      </x:c>
      <x:c r="B74" s="65" t="str">
        <x:v>RT-B-C</x:v>
      </x:c>
      <x:c r="C74" s="65" t="str">
        <x:v>RT-B</x:v>
      </x:c>
      <x:c r="D74" s="66" t="n">
        <x:v>1</x:v>
      </x:c>
      <x:c r="E74" s="65" t="str">
        <x:v>G10</x:v>
      </x:c>
      <x:c r="F74" s="65" t="str">
        <x:v>Five package records complete</x:v>
      </x:c>
      <x:c r="G74" s="66" t="n">
        <x:v>1</x:v>
      </x:c>
      <x:c r="H74" s="65" t="str">
        <x:v>Contracting authority</x:v>
      </x:c>
      <x:c r="I74" s="65" t="str">
        <x:f>IF(AND(COUNTA(A74:F74)=6,G74=1,H74&lt;&gt;""),"PASS","FAIL")</x:f>
        <x:v>PASS</x:v>
      </x:c>
    </x:row>
    <x:row r="75">
      <x:c r="A75" s="65" t="str">
        <x:v>RG071</x:v>
      </x:c>
      <x:c r="B75" s="65" t="str">
        <x:v>RT-B-C</x:v>
      </x:c>
      <x:c r="C75" s="65" t="str">
        <x:v>RT-B</x:v>
      </x:c>
      <x:c r="D75" s="66" t="n">
        <x:v>1</x:v>
      </x:c>
      <x:c r="E75" s="65" t="str">
        <x:v>G11</x:v>
      </x:c>
      <x:c r="F75" s="65" t="str">
        <x:v>Artifact acceptance separated from builder</x:v>
      </x:c>
      <x:c r="G75" s="66" t="n">
        <x:v>1</x:v>
      </x:c>
      <x:c r="H75" s="65" t="str">
        <x:v>Validity authority</x:v>
      </x:c>
      <x:c r="I75" s="65" t="str">
        <x:f>IF(AND(COUNTA(A75:F75)=6,G75=1,H75&lt;&gt;""),"PASS","FAIL")</x:f>
        <x:v>PASS</x:v>
      </x:c>
    </x:row>
    <x:row r="76">
      <x:c r="A76" s="68" t="str">
        <x:v>RG072</x:v>
      </x:c>
      <x:c r="B76" s="68" t="str">
        <x:v>RT-B-C</x:v>
      </x:c>
      <x:c r="C76" s="68" t="str">
        <x:v>RT-B</x:v>
      </x:c>
      <x:c r="D76" s="70" t="n">
        <x:v>1</x:v>
      </x:c>
      <x:c r="E76" s="68" t="str">
        <x:v>G12</x:v>
      </x:c>
      <x:c r="F76" s="68" t="str">
        <x:v>Stop, rollback and expiry authority active</x:v>
      </x:c>
      <x:c r="G76" s="70" t="n">
        <x:v>1</x:v>
      </x:c>
      <x:c r="H76" s="68" t="str">
        <x:v>Campaign authority</x:v>
      </x:c>
      <x:c r="I76" s="68" t="str">
        <x:f>IF(AND(COUNTA(A76:F76)=6,G76=1,H76&lt;&gt;""),"PASS","FAIL")</x:f>
        <x:v>PASS</x:v>
      </x:c>
    </x:row>
  </x:sheetData>
  <x:mergeCells>
    <x:mergeCell ref="A2:I2"/>
  </x:mergeCells>
  <x:conditionalFormatting sqref="I5:I76">
    <x:cfRule type="containsText" dxfId="2" priority="1" operator="containsText" text="FAIL"/>
  </x:conditionalFormatting>
  <x:pageMargins left="0.7" right="0.7" top="0.75" bottom="0.75" header="0.3" footer="0.3"/>
</x:worksheet>
</file>

<file path=xl/worksheets/sheet7.xml><?xml version="1.0" encoding="utf-8"?>
<x:worksheet xmlns:x="http://schemas.openxmlformats.org/spreadsheetml/2006/main">
  <x:sheetViews>
    <x:sheetView showGridLines="0" workbookViewId="0">
      <x:pane xSplit="3" ySplit="4" topLeftCell="D5" activePane="bottomRight" state="frozen"/>
    </x:sheetView>
  </x:sheetViews>
  <x:sheetFormatPr defaultRowHeight="15"/>
  <x:cols>
    <x:col min="1" max="1" width="14" hidden="0" customWidth="1"/>
    <x:col min="2" max="2" width="16" hidden="0" customWidth="1"/>
    <x:col min="3" max="3" width="11" hidden="0" customWidth="1"/>
    <x:col min="4" max="4" width="12" hidden="0" customWidth="1"/>
    <x:col min="5" max="5" width="13" hidden="0" customWidth="1"/>
    <x:col min="6" max="6" width="14" hidden="0" customWidth="1"/>
    <x:col min="7" max="7" width="47" hidden="0" customWidth="1"/>
    <x:col min="8" max="8" width="18" hidden="0" customWidth="1"/>
    <x:col min="9" max="9" width="22" hidden="0" customWidth="1"/>
    <x:col min="10" max="10" width="18" hidden="0" customWidth="1"/>
    <x:col min="11" max="11" width="18" hidden="0" customWidth="1"/>
    <x:col min="12" max="12" width="18" hidden="0" customWidth="1"/>
    <x:col min="13" max="13" width="20" hidden="0" customWidth="1"/>
    <x:col min="14" max="14" width="14" hidden="0" customWidth="1"/>
    <x:col min="15" max="15" width="20" hidden="0" customWidth="1"/>
    <x:col min="16" max="16" width="20" hidden="0" customWidth="1"/>
    <x:col min="17" max="17" width="20" hidden="0" customWidth="1"/>
    <x:col min="18" max="18" width="16" hidden="0" customWidth="1"/>
    <x:col min="19" max="19" width="24" hidden="0" customWidth="1"/>
    <x:col min="20" max="20" width="17" hidden="0" customWidth="1"/>
    <x:col min="21" max="21" width="25" hidden="0" customWidth="1"/>
    <x:col min="22" max="22" width="20" hidden="0" customWidth="1"/>
  </x:cols>
  <x:sheetData>
    <x:row r="2">
      <x:c r="A2" s="58" t="str">
        <x:v>Ninety FRAME package obligations and holds</x:v>
      </x:c>
      <x:c r="B2" s="59"/>
      <x:c r="C2" s="59"/>
      <x:c r="D2" s="59"/>
      <x:c r="E2" s="59"/>
      <x:c r="F2" s="59"/>
      <x:c r="G2" s="59"/>
      <x:c r="H2" s="59"/>
      <x:c r="I2" s="59"/>
      <x:c r="J2" s="59"/>
      <x:c r="K2" s="59"/>
      <x:c r="L2" s="59"/>
      <x:c r="M2" s="59"/>
      <x:c r="N2" s="59"/>
      <x:c r="O2" s="59"/>
      <x:c r="P2" s="59"/>
      <x:c r="Q2" s="59"/>
      <x:c r="R2" s="59"/>
      <x:c r="S2" s="59"/>
      <x:c r="T2" s="59"/>
      <x:c r="U2" s="59"/>
      <x:c r="V2" s="59"/>
    </x:row>
    <x:row r="3">
      <x:c r="A3" s="60"/>
      <x:c r="B3" s="60"/>
      <x:c r="C3" s="60"/>
      <x:c r="D3" s="60"/>
      <x:c r="E3" s="60"/>
      <x:c r="F3" s="60"/>
      <x:c r="G3" s="60"/>
      <x:c r="H3" s="60"/>
      <x:c r="I3" s="60"/>
      <x:c r="J3" s="60"/>
      <x:c r="K3" s="60"/>
      <x:c r="L3" s="60"/>
      <x:c r="M3" s="60"/>
      <x:c r="N3" s="60"/>
      <x:c r="O3" s="60"/>
      <x:c r="P3" s="60"/>
      <x:c r="Q3" s="60"/>
      <x:c r="R3" s="60"/>
      <x:c r="S3" s="60"/>
      <x:c r="T3" s="60"/>
      <x:c r="U3" s="60"/>
      <x:c r="V3" s="60"/>
    </x:row>
    <x:row r="4" ht="32" customHeight="1">
      <x:c r="A4" s="14" t="str">
        <x:v>Package</x:v>
      </x:c>
      <x:c r="B4" s="15" t="str">
        <x:v>Form</x:v>
      </x:c>
      <x:c r="C4" s="15" t="str">
        <x:v>Root</x:v>
      </x:c>
      <x:c r="D4" s="15" t="str">
        <x:v>Variant</x:v>
      </x:c>
      <x:c r="E4" s="15" t="str">
        <x:v>Cohort</x:v>
      </x:c>
      <x:c r="F4" s="15" t="str">
        <x:v>Code</x:v>
      </x:c>
      <x:c r="G4" s="15" t="str">
        <x:v>Work package</x:v>
      </x:c>
      <x:c r="H4" s="15" t="str">
        <x:v>Budget share</x:v>
      </x:c>
      <x:c r="I4" s="15" t="str">
        <x:v>Relative start week</x:v>
      </x:c>
      <x:c r="J4" s="15" t="str">
        <x:v>Duration weeks</x:v>
      </x:c>
      <x:c r="K4" s="15" t="str">
        <x:v>Absolute start</x:v>
      </x:c>
      <x:c r="L4" s="15" t="str">
        <x:v>Absolute end</x:v>
      </x:c>
      <x:c r="M4" s="15" t="str">
        <x:v>Ceiling USD B</x:v>
      </x:c>
      <x:c r="N4" s="15" t="str">
        <x:v>Reserved</x:v>
      </x:c>
      <x:c r="O4" s="15" t="str">
        <x:v>Obligated USD B</x:v>
      </x:c>
      <x:c r="P4" s="15" t="str">
        <x:v>Notice to proceed</x:v>
      </x:c>
      <x:c r="Q4" s="15" t="str">
        <x:v>Accepted artifact</x:v>
      </x:c>
      <x:c r="R4" s="15" t="str">
        <x:v>Paid USD B</x:v>
      </x:c>
      <x:c r="S4" s="15" t="str">
        <x:v>Accepted observations</x:v>
      </x:c>
      <x:c r="T4" s="15" t="str">
        <x:v>Selected form</x:v>
      </x:c>
      <x:c r="U4" s="15" t="str">
        <x:v>Package state</x:v>
      </x:c>
      <x:c r="V4" s="16" t="str">
        <x:v>Packages per form</x:v>
      </x:c>
    </x:row>
    <x:row r="5">
      <x:c r="A5" s="61" t="str">
        <x:v>P001</x:v>
      </x:c>
      <x:c r="B5" s="61" t="str">
        <x:v>ET-A-A</x:v>
      </x:c>
      <x:c r="C5" s="61" t="str">
        <x:v>ET-A</x:v>
      </x:c>
      <x:c r="D5" s="61" t="str">
        <x:v>A</x:v>
      </x:c>
      <x:c r="E5" s="62" t="n">
        <x:v>1</x:v>
      </x:c>
      <x:c r="F5" s="62" t="str">
        <x:v>METHOD</x:v>
      </x:c>
      <x:c r="G5" s="61" t="str">
        <x:v>Event method and denominator</x:v>
      </x:c>
      <x:c r="H5" s="76" t="n">
        <x:v>0.2</x:v>
      </x:c>
      <x:c r="I5" s="62" t="n">
        <x:v>0</x:v>
      </x:c>
      <x:c r="J5" s="62" t="n">
        <x:v>4</x:v>
      </x:c>
      <x:c r="K5" s="62" t="n">
        <x:f>(E5-1)*Controls!$B$14+I5</x:f>
        <x:v>0</x:v>
      </x:c>
      <x:c r="L5" s="62" t="n">
        <x:f>K5+J5</x:f>
        <x:v>4</x:v>
      </x:c>
      <x:c r="M5" s="64" t="n">
        <x:v>0.0050047461808185</x:v>
      </x:c>
      <x:c r="N5" s="62" t="n">
        <x:f>IF(M5&gt;0,1,0)</x:f>
        <x:v>1</x:v>
      </x:c>
      <x:c r="O5" s="64" t="n">
        <x:f>IF(E5=1,M5,0)</x:f>
        <x:v>0.0050047461808185</x:v>
      </x:c>
      <x:c r="P5" s="62" t="n">
        <x:f>IF(E5=1,1,0)</x:f>
        <x:v>1</x:v>
      </x:c>
      <x:c r="Q5" s="62" t="n">
        <x:v>0</x:v>
      </x:c>
      <x:c r="R5" s="64" t="n">
        <x:v>0</x:v>
      </x:c>
      <x:c r="S5" s="62" t="n">
        <x:v>0</x:v>
      </x:c>
      <x:c r="T5" s="62" t="n">
        <x:v>0</x:v>
      </x:c>
      <x:c r="U5" s="61" t="str">
        <x:f>IF(E5=1,IF(AND(N5=1,ABS(O5-M5)&lt;0.0000001,P5=1,Q5=0,R5=0,S5=0,T5=0,L5&lt;=Controls!$B$14),"OBLIGATED / ACTIVE","INVALID"),IF(AND(N5=1,O5=0,P5=0,Q5=0,R5=0,S5=0,T5=0),"RESERVED / HELD","INVALID"))</x:f>
        <x:v>OBLIGATED / ACTIVE</x:v>
      </x:c>
      <x:c r="V5" s="62" t="n">
        <x:f>COUNTIFS($B$5:$B$94,B5)</x:f>
        <x:v>5</x:v>
      </x:c>
    </x:row>
    <x:row r="6">
      <x:c r="A6" s="65" t="str">
        <x:v>P002</x:v>
      </x:c>
      <x:c r="B6" s="65" t="str">
        <x:v>ET-A-A</x:v>
      </x:c>
      <x:c r="C6" s="65" t="str">
        <x:v>ET-A</x:v>
      </x:c>
      <x:c r="D6" s="65" t="str">
        <x:v>A</x:v>
      </x:c>
      <x:c r="E6" s="66" t="n">
        <x:v>1</x:v>
      </x:c>
      <x:c r="F6" s="66" t="str">
        <x:v>MEASURE</x:v>
      </x:c>
      <x:c r="G6" s="65" t="str">
        <x:v>Instrumentation, custody and validity</x:v>
      </x:c>
      <x:c r="H6" s="77" t="n">
        <x:v>0.25</x:v>
      </x:c>
      <x:c r="I6" s="66" t="n">
        <x:v>2</x:v>
      </x:c>
      <x:c r="J6" s="66" t="n">
        <x:v>8</x:v>
      </x:c>
      <x:c r="K6" s="66" t="n">
        <x:f>(E6-1)*Controls!$B$14+I6</x:f>
        <x:v>2</x:v>
      </x:c>
      <x:c r="L6" s="66" t="n">
        <x:f>K6+J6</x:f>
        <x:v>10</x:v>
      </x:c>
      <x:c r="M6" s="67" t="n">
        <x:f>H6*INDEX('Form Warrants'!$H$5:$H$22,MATCH(B6,'Form Warrants'!$A$5:$A$22,0))</x:f>
        <x:v>0.006255932726023125</x:v>
      </x:c>
      <x:c r="N6" s="66" t="n">
        <x:f>IF(M6&gt;0,1,0)</x:f>
        <x:v>1</x:v>
      </x:c>
      <x:c r="O6" s="67" t="n">
        <x:f>IF(E6=1,M6,0)</x:f>
        <x:v>0.006255932726023125</x:v>
      </x:c>
      <x:c r="P6" s="66" t="n">
        <x:f>IF(E6=1,1,0)</x:f>
        <x:v>1</x:v>
      </x:c>
      <x:c r="Q6" s="66" t="n">
        <x:v>0</x:v>
      </x:c>
      <x:c r="R6" s="67" t="n">
        <x:v>0</x:v>
      </x:c>
      <x:c r="S6" s="66" t="n">
        <x:v>0</x:v>
      </x:c>
      <x:c r="T6" s="66" t="n">
        <x:v>0</x:v>
      </x:c>
      <x:c r="U6" s="65" t="str">
        <x:f>IF(E6=1,IF(AND(N6=1,ABS(O6-M6)&lt;0.0000001,P6=1,Q6=0,R6=0,S6=0,T6=0,L6&lt;=Controls!$B$14),"OBLIGATED / ACTIVE","INVALID"),IF(AND(N6=1,O6=0,P6=0,Q6=0,R6=0,S6=0,T6=0),"RESERVED / HELD","INVALID"))</x:f>
        <x:v>OBLIGATED / ACTIVE</x:v>
      </x:c>
      <x:c r="V6" s="66" t="n">
        <x:f>COUNTIFS($B$5:$B$94,B6)</x:f>
        <x:v>5</x:v>
      </x:c>
    </x:row>
    <x:row r="7">
      <x:c r="A7" s="65" t="str">
        <x:v>P003</x:v>
      </x:c>
      <x:c r="B7" s="65" t="str">
        <x:v>ET-A-A</x:v>
      </x:c>
      <x:c r="C7" s="65" t="str">
        <x:v>ET-A</x:v>
      </x:c>
      <x:c r="D7" s="65" t="str">
        <x:v>A</x:v>
      </x:c>
      <x:c r="E7" s="66" t="n">
        <x:v>1</x:v>
      </x:c>
      <x:c r="F7" s="66" t="str">
        <x:v>CIVIL</x:v>
      </x:c>
      <x:c r="G7" s="65" t="str">
        <x:v>Rights, receiver and residual closure</x:v>
      </x:c>
      <x:c r="H7" s="77" t="n">
        <x:v>0.15</x:v>
      </x:c>
      <x:c r="I7" s="66" t="n">
        <x:v>0</x:v>
      </x:c>
      <x:c r="J7" s="66" t="n">
        <x:v>8</x:v>
      </x:c>
      <x:c r="K7" s="66" t="n">
        <x:f>(E7-1)*Controls!$B$14+I7</x:f>
        <x:v>0</x:v>
      </x:c>
      <x:c r="L7" s="66" t="n">
        <x:f>K7+J7</x:f>
        <x:v>8</x:v>
      </x:c>
      <x:c r="M7" s="67" t="n">
        <x:f>H7*INDEX('Form Warrants'!$H$5:$H$22,MATCH(B7,'Form Warrants'!$A$5:$A$22,0))</x:f>
        <x:v>0.003753559635613875</x:v>
      </x:c>
      <x:c r="N7" s="66" t="n">
        <x:f>IF(M7&gt;0,1,0)</x:f>
        <x:v>1</x:v>
      </x:c>
      <x:c r="O7" s="67" t="n">
        <x:f>IF(E7=1,M7,0)</x:f>
        <x:v>0.003753559635613875</x:v>
      </x:c>
      <x:c r="P7" s="66" t="n">
        <x:f>IF(E7=1,1,0)</x:f>
        <x:v>1</x:v>
      </x:c>
      <x:c r="Q7" s="66" t="n">
        <x:v>0</x:v>
      </x:c>
      <x:c r="R7" s="67" t="n">
        <x:v>0</x:v>
      </x:c>
      <x:c r="S7" s="66" t="n">
        <x:v>0</x:v>
      </x:c>
      <x:c r="T7" s="66" t="n">
        <x:v>0</x:v>
      </x:c>
      <x:c r="U7" s="65" t="str">
        <x:f>IF(E7=1,IF(AND(N7=1,ABS(O7-M7)&lt;0.0000001,P7=1,Q7=0,R7=0,S7=0,T7=0,L7&lt;=Controls!$B$14),"OBLIGATED / ACTIVE","INVALID"),IF(AND(N7=1,O7=0,P7=0,Q7=0,R7=0,S7=0,T7=0),"RESERVED / HELD","INVALID"))</x:f>
        <x:v>OBLIGATED / ACTIVE</x:v>
      </x:c>
      <x:c r="V7" s="66" t="n">
        <x:f>COUNTIFS($B$5:$B$94,B7)</x:f>
        <x:v>5</x:v>
      </x:c>
    </x:row>
    <x:row r="8">
      <x:c r="A8" s="65" t="str">
        <x:v>P004</x:v>
      </x:c>
      <x:c r="B8" s="65" t="str">
        <x:v>ET-A-A</x:v>
      </x:c>
      <x:c r="C8" s="65" t="str">
        <x:v>ET-A</x:v>
      </x:c>
      <x:c r="D8" s="65" t="str">
        <x:v>A</x:v>
      </x:c>
      <x:c r="E8" s="66" t="n">
        <x:v>1</x:v>
      </x:c>
      <x:c r="F8" s="66" t="str">
        <x:v>ARTICLE</x:v>
      </x:c>
      <x:c r="G8" s="65" t="str">
        <x:v>Destructive-article engineering</x:v>
      </x:c>
      <x:c r="H8" s="77" t="n">
        <x:v>0.25</x:v>
      </x:c>
      <x:c r="I8" s="66" t="n">
        <x:v>6</x:v>
      </x:c>
      <x:c r="J8" s="66" t="n">
        <x:v>14</x:v>
      </x:c>
      <x:c r="K8" s="66" t="n">
        <x:f>(E8-1)*Controls!$B$14+I8</x:f>
        <x:v>6</x:v>
      </x:c>
      <x:c r="L8" s="66" t="n">
        <x:f>K8+J8</x:f>
        <x:v>20</x:v>
      </x:c>
      <x:c r="M8" s="67" t="n">
        <x:f>H8*INDEX('Form Warrants'!$H$5:$H$22,MATCH(B8,'Form Warrants'!$A$5:$A$22,0))</x:f>
        <x:v>0.006255932726023125</x:v>
      </x:c>
      <x:c r="N8" s="66" t="n">
        <x:f>IF(M8&gt;0,1,0)</x:f>
        <x:v>1</x:v>
      </x:c>
      <x:c r="O8" s="67" t="n">
        <x:f>IF(E8=1,M8,0)</x:f>
        <x:v>0.006255932726023125</x:v>
      </x:c>
      <x:c r="P8" s="66" t="n">
        <x:f>IF(E8=1,1,0)</x:f>
        <x:v>1</x:v>
      </x:c>
      <x:c r="Q8" s="66" t="n">
        <x:v>0</x:v>
      </x:c>
      <x:c r="R8" s="67" t="n">
        <x:v>0</x:v>
      </x:c>
      <x:c r="S8" s="66" t="n">
        <x:v>0</x:v>
      </x:c>
      <x:c r="T8" s="66" t="n">
        <x:v>0</x:v>
      </x:c>
      <x:c r="U8" s="65" t="str">
        <x:f>IF(E8=1,IF(AND(N8=1,ABS(O8-M8)&lt;0.0000001,P8=1,Q8=0,R8=0,S8=0,T8=0,L8&lt;=Controls!$B$14),"OBLIGATED / ACTIVE","INVALID"),IF(AND(N8=1,O8=0,P8=0,Q8=0,R8=0,S8=0,T8=0),"RESERVED / HELD","INVALID"))</x:f>
        <x:v>OBLIGATED / ACTIVE</x:v>
      </x:c>
      <x:c r="V8" s="66" t="n">
        <x:f>COUNTIFS($B$5:$B$94,B8)</x:f>
        <x:v>5</x:v>
      </x:c>
    </x:row>
    <x:row r="9">
      <x:c r="A9" s="65" t="str">
        <x:v>P005</x:v>
      </x:c>
      <x:c r="B9" s="65" t="str">
        <x:v>ET-A-A</x:v>
      </x:c>
      <x:c r="C9" s="65" t="str">
        <x:v>ET-A</x:v>
      </x:c>
      <x:c r="D9" s="65" t="str">
        <x:v>A</x:v>
      </x:c>
      <x:c r="E9" s="66" t="n">
        <x:v>1</x:v>
      </x:c>
      <x:c r="F9" s="66" t="str">
        <x:v>REBUILD</x:v>
      </x:c>
      <x:c r="G9" s="65" t="str">
        <x:v>Cold reconstruction and challenge</x:v>
      </x:c>
      <x:c r="H9" s="77" t="n">
        <x:v>0.15</x:v>
      </x:c>
      <x:c r="I9" s="66" t="n">
        <x:v>18</x:v>
      </x:c>
      <x:c r="J9" s="66" t="n">
        <x:v>6</x:v>
      </x:c>
      <x:c r="K9" s="66" t="n">
        <x:f>(E9-1)*Controls!$B$14+I9</x:f>
        <x:v>18</x:v>
      </x:c>
      <x:c r="L9" s="66" t="n">
        <x:f>K9+J9</x:f>
        <x:v>24</x:v>
      </x:c>
      <x:c r="M9" s="67" t="n">
        <x:f>H9*INDEX('Form Warrants'!$H$5:$H$22,MATCH(B9,'Form Warrants'!$A$5:$A$22,0))</x:f>
        <x:v>0.003753559635613875</x:v>
      </x:c>
      <x:c r="N9" s="66" t="n">
        <x:f>IF(M9&gt;0,1,0)</x:f>
        <x:v>1</x:v>
      </x:c>
      <x:c r="O9" s="67" t="n">
        <x:f>IF(E9=1,M9,0)</x:f>
        <x:v>0.003753559635613875</x:v>
      </x:c>
      <x:c r="P9" s="66" t="n">
        <x:f>IF(E9=1,1,0)</x:f>
        <x:v>1</x:v>
      </x:c>
      <x:c r="Q9" s="66" t="n">
        <x:v>0</x:v>
      </x:c>
      <x:c r="R9" s="67" t="n">
        <x:v>0</x:v>
      </x:c>
      <x:c r="S9" s="66" t="n">
        <x:v>0</x:v>
      </x:c>
      <x:c r="T9" s="66" t="n">
        <x:v>0</x:v>
      </x:c>
      <x:c r="U9" s="65" t="str">
        <x:f>IF(E9=1,IF(AND(N9=1,ABS(O9-M9)&lt;0.0000001,P9=1,Q9=0,R9=0,S9=0,T9=0,L9&lt;=Controls!$B$14),"OBLIGATED / ACTIVE","INVALID"),IF(AND(N9=1,O9=0,P9=0,Q9=0,R9=0,S9=0,T9=0),"RESERVED / HELD","INVALID"))</x:f>
        <x:v>OBLIGATED / ACTIVE</x:v>
      </x:c>
      <x:c r="V9" s="66" t="n">
        <x:f>COUNTIFS($B$5:$B$94,B9)</x:f>
        <x:v>5</x:v>
      </x:c>
    </x:row>
    <x:row r="10">
      <x:c r="A10" s="65" t="str">
        <x:v>P006</x:v>
      </x:c>
      <x:c r="B10" s="65" t="str">
        <x:v>ET-A-B</x:v>
      </x:c>
      <x:c r="C10" s="65" t="str">
        <x:v>ET-A</x:v>
      </x:c>
      <x:c r="D10" s="65" t="str">
        <x:v>B</x:v>
      </x:c>
      <x:c r="E10" s="66" t="n">
        <x:v>2</x:v>
      </x:c>
      <x:c r="F10" s="66" t="str">
        <x:v>METHOD</x:v>
      </x:c>
      <x:c r="G10" s="65" t="str">
        <x:v>Event method and denominator</x:v>
      </x:c>
      <x:c r="H10" s="77" t="n">
        <x:v>0.2</x:v>
      </x:c>
      <x:c r="I10" s="66" t="n">
        <x:v>0</x:v>
      </x:c>
      <x:c r="J10" s="66" t="n">
        <x:v>4</x:v>
      </x:c>
      <x:c r="K10" s="66" t="n">
        <x:f>(E10-1)*Controls!$B$14+I10</x:f>
        <x:v>24</x:v>
      </x:c>
      <x:c r="L10" s="66" t="n">
        <x:f>K10+J10</x:f>
        <x:v>28</x:v>
      </x:c>
      <x:c r="M10" s="67" t="n">
        <x:f>H10*INDEX('Form Warrants'!$H$5:$H$22,MATCH(B10,'Form Warrants'!$A$5:$A$22,0))</x:f>
        <x:v>0.0050047461808185</x:v>
      </x:c>
      <x:c r="N10" s="66" t="n">
        <x:f>IF(M10&gt;0,1,0)</x:f>
        <x:v>1</x:v>
      </x:c>
      <x:c r="O10" s="67" t="n">
        <x:f>IF(E10=1,M10,0)</x:f>
        <x:v>0</x:v>
      </x:c>
      <x:c r="P10" s="66" t="n">
        <x:v>0</x:v>
      </x:c>
      <x:c r="Q10" s="66" t="n">
        <x:v>0</x:v>
      </x:c>
      <x:c r="R10" s="67" t="n">
        <x:v>0</x:v>
      </x:c>
      <x:c r="S10" s="66" t="n">
        <x:v>0</x:v>
      </x:c>
      <x:c r="T10" s="66" t="n">
        <x:v>0</x:v>
      </x:c>
      <x:c r="U10" s="65" t="str">
        <x:f>IF(E10=1,IF(AND(N10=1,ABS(O10-M10)&lt;0.0000001,P10=1,Q10=0,R10=0,S10=0,T10=0,L10&lt;=Controls!$B$14),"OBLIGATED / ACTIVE","INVALID"),IF(AND(N10=1,O10=0,P10=0,Q10=0,R10=0,S10=0,T10=0),"RESERVED / HELD","INVALID"))</x:f>
        <x:v>RESERVED / HELD</x:v>
      </x:c>
      <x:c r="V10" s="66" t="n">
        <x:f>COUNTIFS($B$5:$B$94,B10)</x:f>
        <x:v>5</x:v>
      </x:c>
    </x:row>
    <x:row r="11">
      <x:c r="A11" s="65" t="str">
        <x:v>P007</x:v>
      </x:c>
      <x:c r="B11" s="65" t="str">
        <x:v>ET-A-B</x:v>
      </x:c>
      <x:c r="C11" s="65" t="str">
        <x:v>ET-A</x:v>
      </x:c>
      <x:c r="D11" s="65" t="str">
        <x:v>B</x:v>
      </x:c>
      <x:c r="E11" s="66" t="n">
        <x:v>2</x:v>
      </x:c>
      <x:c r="F11" s="66" t="str">
        <x:v>MEASURE</x:v>
      </x:c>
      <x:c r="G11" s="65" t="str">
        <x:v>Instrumentation, custody and validity</x:v>
      </x:c>
      <x:c r="H11" s="77" t="n">
        <x:v>0.25</x:v>
      </x:c>
      <x:c r="I11" s="66" t="n">
        <x:v>2</x:v>
      </x:c>
      <x:c r="J11" s="66" t="n">
        <x:v>8</x:v>
      </x:c>
      <x:c r="K11" s="66" t="n">
        <x:f>(E11-1)*Controls!$B$14+I11</x:f>
        <x:v>26</x:v>
      </x:c>
      <x:c r="L11" s="66" t="n">
        <x:f>K11+J11</x:f>
        <x:v>34</x:v>
      </x:c>
      <x:c r="M11" s="67" t="n">
        <x:f>H11*INDEX('Form Warrants'!$H$5:$H$22,MATCH(B11,'Form Warrants'!$A$5:$A$22,0))</x:f>
        <x:v>0.006255932726023125</x:v>
      </x:c>
      <x:c r="N11" s="66" t="n">
        <x:f>IF(M11&gt;0,1,0)</x:f>
        <x:v>1</x:v>
      </x:c>
      <x:c r="O11" s="67" t="n">
        <x:f>IF(E11=1,M11,0)</x:f>
        <x:v>0</x:v>
      </x:c>
      <x:c r="P11" s="66" t="n">
        <x:f>IF(E11=1,1,0)</x:f>
        <x:v>0</x:v>
      </x:c>
      <x:c r="Q11" s="66" t="n">
        <x:v>0</x:v>
      </x:c>
      <x:c r="R11" s="67" t="n">
        <x:v>0</x:v>
      </x:c>
      <x:c r="S11" s="66" t="n">
        <x:v>0</x:v>
      </x:c>
      <x:c r="T11" s="66" t="n">
        <x:v>0</x:v>
      </x:c>
      <x:c r="U11" s="65" t="str">
        <x:f>IF(E11=1,IF(AND(N11=1,ABS(O11-M11)&lt;0.0000001,P11=1,Q11=0,R11=0,S11=0,T11=0,L11&lt;=Controls!$B$14),"OBLIGATED / ACTIVE","INVALID"),IF(AND(N11=1,O11=0,P11=0,Q11=0,R11=0,S11=0,T11=0),"RESERVED / HELD","INVALID"))</x:f>
        <x:v>RESERVED / HELD</x:v>
      </x:c>
      <x:c r="V11" s="66" t="n">
        <x:f>COUNTIFS($B$5:$B$94,B11)</x:f>
        <x:v>5</x:v>
      </x:c>
    </x:row>
    <x:row r="12">
      <x:c r="A12" s="65" t="str">
        <x:v>P008</x:v>
      </x:c>
      <x:c r="B12" s="65" t="str">
        <x:v>ET-A-B</x:v>
      </x:c>
      <x:c r="C12" s="65" t="str">
        <x:v>ET-A</x:v>
      </x:c>
      <x:c r="D12" s="65" t="str">
        <x:v>B</x:v>
      </x:c>
      <x:c r="E12" s="66" t="n">
        <x:v>2</x:v>
      </x:c>
      <x:c r="F12" s="66" t="str">
        <x:v>CIVIL</x:v>
      </x:c>
      <x:c r="G12" s="65" t="str">
        <x:v>Rights, receiver and residual closure</x:v>
      </x:c>
      <x:c r="H12" s="77" t="n">
        <x:v>0.15</x:v>
      </x:c>
      <x:c r="I12" s="66" t="n">
        <x:v>0</x:v>
      </x:c>
      <x:c r="J12" s="66" t="n">
        <x:v>8</x:v>
      </x:c>
      <x:c r="K12" s="66" t="n">
        <x:f>(E12-1)*Controls!$B$14+I12</x:f>
        <x:v>24</x:v>
      </x:c>
      <x:c r="L12" s="66" t="n">
        <x:f>K12+J12</x:f>
        <x:v>32</x:v>
      </x:c>
      <x:c r="M12" s="67" t="n">
        <x:f>H12*INDEX('Form Warrants'!$H$5:$H$22,MATCH(B12,'Form Warrants'!$A$5:$A$22,0))</x:f>
        <x:v>0.003753559635613875</x:v>
      </x:c>
      <x:c r="N12" s="66" t="n">
        <x:f>IF(M12&gt;0,1,0)</x:f>
        <x:v>1</x:v>
      </x:c>
      <x:c r="O12" s="67" t="n">
        <x:f>IF(E12=1,M12,0)</x:f>
        <x:v>0</x:v>
      </x:c>
      <x:c r="P12" s="66" t="n">
        <x:f>IF(E12=1,1,0)</x:f>
        <x:v>0</x:v>
      </x:c>
      <x:c r="Q12" s="66" t="n">
        <x:v>0</x:v>
      </x:c>
      <x:c r="R12" s="67" t="n">
        <x:v>0</x:v>
      </x:c>
      <x:c r="S12" s="66" t="n">
        <x:v>0</x:v>
      </x:c>
      <x:c r="T12" s="66" t="n">
        <x:v>0</x:v>
      </x:c>
      <x:c r="U12" s="65" t="str">
        <x:f>IF(E12=1,IF(AND(N12=1,ABS(O12-M12)&lt;0.0000001,P12=1,Q12=0,R12=0,S12=0,T12=0,L12&lt;=Controls!$B$14),"OBLIGATED / ACTIVE","INVALID"),IF(AND(N12=1,O12=0,P12=0,Q12=0,R12=0,S12=0,T12=0),"RESERVED / HELD","INVALID"))</x:f>
        <x:v>RESERVED / HELD</x:v>
      </x:c>
      <x:c r="V12" s="66" t="n">
        <x:f>COUNTIFS($B$5:$B$94,B12)</x:f>
        <x:v>5</x:v>
      </x:c>
    </x:row>
    <x:row r="13">
      <x:c r="A13" s="65" t="str">
        <x:v>P009</x:v>
      </x:c>
      <x:c r="B13" s="65" t="str">
        <x:v>ET-A-B</x:v>
      </x:c>
      <x:c r="C13" s="65" t="str">
        <x:v>ET-A</x:v>
      </x:c>
      <x:c r="D13" s="65" t="str">
        <x:v>B</x:v>
      </x:c>
      <x:c r="E13" s="66" t="n">
        <x:v>2</x:v>
      </x:c>
      <x:c r="F13" s="66" t="str">
        <x:v>ARTICLE</x:v>
      </x:c>
      <x:c r="G13" s="65" t="str">
        <x:v>Destructive-article engineering</x:v>
      </x:c>
      <x:c r="H13" s="77" t="n">
        <x:v>0.25</x:v>
      </x:c>
      <x:c r="I13" s="66" t="n">
        <x:v>6</x:v>
      </x:c>
      <x:c r="J13" s="66" t="n">
        <x:v>14</x:v>
      </x:c>
      <x:c r="K13" s="66" t="n">
        <x:f>(E13-1)*Controls!$B$14+I13</x:f>
        <x:v>30</x:v>
      </x:c>
      <x:c r="L13" s="66" t="n">
        <x:f>K13+J13</x:f>
        <x:v>44</x:v>
      </x:c>
      <x:c r="M13" s="67" t="n">
        <x:f>H13*INDEX('Form Warrants'!$H$5:$H$22,MATCH(B13,'Form Warrants'!$A$5:$A$22,0))</x:f>
        <x:v>0.006255932726023125</x:v>
      </x:c>
      <x:c r="N13" s="66" t="n">
        <x:f>IF(M13&gt;0,1,0)</x:f>
        <x:v>1</x:v>
      </x:c>
      <x:c r="O13" s="67" t="n">
        <x:f>IF(E13=1,M13,0)</x:f>
        <x:v>0</x:v>
      </x:c>
      <x:c r="P13" s="66" t="n">
        <x:f>IF(E13=1,1,0)</x:f>
        <x:v>0</x:v>
      </x:c>
      <x:c r="Q13" s="66" t="n">
        <x:v>0</x:v>
      </x:c>
      <x:c r="R13" s="67" t="n">
        <x:v>0</x:v>
      </x:c>
      <x:c r="S13" s="66" t="n">
        <x:v>0</x:v>
      </x:c>
      <x:c r="T13" s="66" t="n">
        <x:v>0</x:v>
      </x:c>
      <x:c r="U13" s="65" t="str">
        <x:f>IF(E13=1,IF(AND(N13=1,ABS(O13-M13)&lt;0.0000001,P13=1,Q13=0,R13=0,S13=0,T13=0,L13&lt;=Controls!$B$14),"OBLIGATED / ACTIVE","INVALID"),IF(AND(N13=1,O13=0,P13=0,Q13=0,R13=0,S13=0,T13=0),"RESERVED / HELD","INVALID"))</x:f>
        <x:v>RESERVED / HELD</x:v>
      </x:c>
      <x:c r="V13" s="66" t="n">
        <x:f>COUNTIFS($B$5:$B$94,B13)</x:f>
        <x:v>5</x:v>
      </x:c>
    </x:row>
    <x:row r="14">
      <x:c r="A14" s="65" t="str">
        <x:v>P010</x:v>
      </x:c>
      <x:c r="B14" s="65" t="str">
        <x:v>ET-A-B</x:v>
      </x:c>
      <x:c r="C14" s="65" t="str">
        <x:v>ET-A</x:v>
      </x:c>
      <x:c r="D14" s="65" t="str">
        <x:v>B</x:v>
      </x:c>
      <x:c r="E14" s="66" t="n">
        <x:v>2</x:v>
      </x:c>
      <x:c r="F14" s="66" t="str">
        <x:v>REBUILD</x:v>
      </x:c>
      <x:c r="G14" s="65" t="str">
        <x:v>Cold reconstruction and challenge</x:v>
      </x:c>
      <x:c r="H14" s="77" t="n">
        <x:v>0.15</x:v>
      </x:c>
      <x:c r="I14" s="66" t="n">
        <x:v>18</x:v>
      </x:c>
      <x:c r="J14" s="66" t="n">
        <x:v>6</x:v>
      </x:c>
      <x:c r="K14" s="66" t="n">
        <x:f>(E14-1)*Controls!$B$14+I14</x:f>
        <x:v>42</x:v>
      </x:c>
      <x:c r="L14" s="66" t="n">
        <x:f>K14+J14</x:f>
        <x:v>48</x:v>
      </x:c>
      <x:c r="M14" s="67" t="n">
        <x:f>H14*INDEX('Form Warrants'!$H$5:$H$22,MATCH(B14,'Form Warrants'!$A$5:$A$22,0))</x:f>
        <x:v>0.003753559635613875</x:v>
      </x:c>
      <x:c r="N14" s="66" t="n">
        <x:f>IF(M14&gt;0,1,0)</x:f>
        <x:v>1</x:v>
      </x:c>
      <x:c r="O14" s="67" t="n">
        <x:f>IF(E14=1,M14,0)</x:f>
        <x:v>0</x:v>
      </x:c>
      <x:c r="P14" s="66" t="n">
        <x:f>IF(E14=1,1,0)</x:f>
        <x:v>0</x:v>
      </x:c>
      <x:c r="Q14" s="66" t="n">
        <x:v>0</x:v>
      </x:c>
      <x:c r="R14" s="67" t="n">
        <x:v>0</x:v>
      </x:c>
      <x:c r="S14" s="66" t="n">
        <x:v>0</x:v>
      </x:c>
      <x:c r="T14" s="66" t="n">
        <x:v>0</x:v>
      </x:c>
      <x:c r="U14" s="65" t="str">
        <x:f>IF(E14=1,IF(AND(N14=1,ABS(O14-M14)&lt;0.0000001,P14=1,Q14=0,R14=0,S14=0,T14=0,L14&lt;=Controls!$B$14),"OBLIGATED / ACTIVE","INVALID"),IF(AND(N14=1,O14=0,P14=0,Q14=0,R14=0,S14=0,T14=0),"RESERVED / HELD","INVALID"))</x:f>
        <x:v>RESERVED / HELD</x:v>
      </x:c>
      <x:c r="V14" s="66" t="n">
        <x:f>COUNTIFS($B$5:$B$94,B14)</x:f>
        <x:v>5</x:v>
      </x:c>
    </x:row>
    <x:row r="15">
      <x:c r="A15" s="65" t="str">
        <x:v>P011</x:v>
      </x:c>
      <x:c r="B15" s="65" t="str">
        <x:v>ET-A-C</x:v>
      </x:c>
      <x:c r="C15" s="65" t="str">
        <x:v>ET-A</x:v>
      </x:c>
      <x:c r="D15" s="65" t="str">
        <x:v>C</x:v>
      </x:c>
      <x:c r="E15" s="66" t="n">
        <x:v>3</x:v>
      </x:c>
      <x:c r="F15" s="66" t="str">
        <x:v>METHOD</x:v>
      </x:c>
      <x:c r="G15" s="65" t="str">
        <x:v>Event method and denominator</x:v>
      </x:c>
      <x:c r="H15" s="77" t="n">
        <x:v>0.2</x:v>
      </x:c>
      <x:c r="I15" s="66" t="n">
        <x:v>0</x:v>
      </x:c>
      <x:c r="J15" s="66" t="n">
        <x:v>4</x:v>
      </x:c>
      <x:c r="K15" s="66" t="n">
        <x:f>(E15-1)*Controls!$B$14+I15</x:f>
        <x:v>48</x:v>
      </x:c>
      <x:c r="L15" s="66" t="n">
        <x:f>K15+J15</x:f>
        <x:v>52</x:v>
      </x:c>
      <x:c r="M15" s="67" t="n">
        <x:f>H15*INDEX('Form Warrants'!$H$5:$H$22,MATCH(B15,'Form Warrants'!$A$5:$A$22,0))</x:f>
        <x:v>0.0050047461808185</x:v>
      </x:c>
      <x:c r="N15" s="66" t="n">
        <x:f>IF(M15&gt;0,1,0)</x:f>
        <x:v>1</x:v>
      </x:c>
      <x:c r="O15" s="67" t="n">
        <x:f>IF(E15=1,M15,0)</x:f>
        <x:v>0</x:v>
      </x:c>
      <x:c r="P15" s="66" t="n">
        <x:f>IF(E15=1,1,0)</x:f>
        <x:v>0</x:v>
      </x:c>
      <x:c r="Q15" s="66" t="n">
        <x:v>0</x:v>
      </x:c>
      <x:c r="R15" s="67" t="n">
        <x:v>0</x:v>
      </x:c>
      <x:c r="S15" s="66" t="n">
        <x:v>0</x:v>
      </x:c>
      <x:c r="T15" s="66" t="n">
        <x:v>0</x:v>
      </x:c>
      <x:c r="U15" s="65" t="str">
        <x:f>IF(E15=1,IF(AND(N15=1,ABS(O15-M15)&lt;0.0000001,P15=1,Q15=0,R15=0,S15=0,T15=0,L15&lt;=Controls!$B$14),"OBLIGATED / ACTIVE","INVALID"),IF(AND(N15=1,O15=0,P15=0,Q15=0,R15=0,S15=0,T15=0),"RESERVED / HELD","INVALID"))</x:f>
        <x:v>RESERVED / HELD</x:v>
      </x:c>
      <x:c r="V15" s="66" t="n">
        <x:f>COUNTIFS($B$5:$B$94,B15)</x:f>
        <x:v>5</x:v>
      </x:c>
    </x:row>
    <x:row r="16">
      <x:c r="A16" s="65" t="str">
        <x:v>P012</x:v>
      </x:c>
      <x:c r="B16" s="65" t="str">
        <x:v>ET-A-C</x:v>
      </x:c>
      <x:c r="C16" s="65" t="str">
        <x:v>ET-A</x:v>
      </x:c>
      <x:c r="D16" s="65" t="str">
        <x:v>C</x:v>
      </x:c>
      <x:c r="E16" s="66" t="n">
        <x:v>3</x:v>
      </x:c>
      <x:c r="F16" s="66" t="str">
        <x:v>MEASURE</x:v>
      </x:c>
      <x:c r="G16" s="65" t="str">
        <x:v>Instrumentation, custody and validity</x:v>
      </x:c>
      <x:c r="H16" s="77" t="n">
        <x:v>0.25</x:v>
      </x:c>
      <x:c r="I16" s="66" t="n">
        <x:v>2</x:v>
      </x:c>
      <x:c r="J16" s="66" t="n">
        <x:v>8</x:v>
      </x:c>
      <x:c r="K16" s="66" t="n">
        <x:f>(E16-1)*Controls!$B$14+I16</x:f>
        <x:v>50</x:v>
      </x:c>
      <x:c r="L16" s="66" t="n">
        <x:f>K16+J16</x:f>
        <x:v>58</x:v>
      </x:c>
      <x:c r="M16" s="67" t="n">
        <x:f>H16*INDEX('Form Warrants'!$H$5:$H$22,MATCH(B16,'Form Warrants'!$A$5:$A$22,0))</x:f>
        <x:v>0.006255932726023125</x:v>
      </x:c>
      <x:c r="N16" s="66" t="n">
        <x:f>IF(M16&gt;0,1,0)</x:f>
        <x:v>1</x:v>
      </x:c>
      <x:c r="O16" s="67" t="n">
        <x:f>IF(E16=1,M16,0)</x:f>
        <x:v>0</x:v>
      </x:c>
      <x:c r="P16" s="66" t="n">
        <x:f>IF(E16=1,1,0)</x:f>
        <x:v>0</x:v>
      </x:c>
      <x:c r="Q16" s="66" t="n">
        <x:v>0</x:v>
      </x:c>
      <x:c r="R16" s="67" t="n">
        <x:v>0</x:v>
      </x:c>
      <x:c r="S16" s="66" t="n">
        <x:v>0</x:v>
      </x:c>
      <x:c r="T16" s="66" t="n">
        <x:v>0</x:v>
      </x:c>
      <x:c r="U16" s="65" t="str">
        <x:f>IF(E16=1,IF(AND(N16=1,ABS(O16-M16)&lt;0.0000001,P16=1,Q16=0,R16=0,S16=0,T16=0,L16&lt;=Controls!$B$14),"OBLIGATED / ACTIVE","INVALID"),IF(AND(N16=1,O16=0,P16=0,Q16=0,R16=0,S16=0,T16=0),"RESERVED / HELD","INVALID"))</x:f>
        <x:v>RESERVED / HELD</x:v>
      </x:c>
      <x:c r="V16" s="66" t="n">
        <x:f>COUNTIFS($B$5:$B$94,B16)</x:f>
        <x:v>5</x:v>
      </x:c>
    </x:row>
    <x:row r="17">
      <x:c r="A17" s="65" t="str">
        <x:v>P013</x:v>
      </x:c>
      <x:c r="B17" s="65" t="str">
        <x:v>ET-A-C</x:v>
      </x:c>
      <x:c r="C17" s="65" t="str">
        <x:v>ET-A</x:v>
      </x:c>
      <x:c r="D17" s="65" t="str">
        <x:v>C</x:v>
      </x:c>
      <x:c r="E17" s="66" t="n">
        <x:v>3</x:v>
      </x:c>
      <x:c r="F17" s="66" t="str">
        <x:v>CIVIL</x:v>
      </x:c>
      <x:c r="G17" s="65" t="str">
        <x:v>Rights, receiver and residual closure</x:v>
      </x:c>
      <x:c r="H17" s="77" t="n">
        <x:v>0.15</x:v>
      </x:c>
      <x:c r="I17" s="66" t="n">
        <x:v>0</x:v>
      </x:c>
      <x:c r="J17" s="66" t="n">
        <x:v>8</x:v>
      </x:c>
      <x:c r="K17" s="66" t="n">
        <x:f>(E17-1)*Controls!$B$14+I17</x:f>
        <x:v>48</x:v>
      </x:c>
      <x:c r="L17" s="66" t="n">
        <x:f>K17+J17</x:f>
        <x:v>56</x:v>
      </x:c>
      <x:c r="M17" s="67" t="n">
        <x:f>H17*INDEX('Form Warrants'!$H$5:$H$22,MATCH(B17,'Form Warrants'!$A$5:$A$22,0))</x:f>
        <x:v>0.003753559635613875</x:v>
      </x:c>
      <x:c r="N17" s="66" t="n">
        <x:f>IF(M17&gt;0,1,0)</x:f>
        <x:v>1</x:v>
      </x:c>
      <x:c r="O17" s="67" t="n">
        <x:f>IF(E17=1,M17,0)</x:f>
        <x:v>0</x:v>
      </x:c>
      <x:c r="P17" s="66" t="n">
        <x:f>IF(E17=1,1,0)</x:f>
        <x:v>0</x:v>
      </x:c>
      <x:c r="Q17" s="66" t="n">
        <x:v>0</x:v>
      </x:c>
      <x:c r="R17" s="67" t="n">
        <x:v>0</x:v>
      </x:c>
      <x:c r="S17" s="66" t="n">
        <x:v>0</x:v>
      </x:c>
      <x:c r="T17" s="66" t="n">
        <x:v>0</x:v>
      </x:c>
      <x:c r="U17" s="65" t="str">
        <x:f>IF(E17=1,IF(AND(N17=1,ABS(O17-M17)&lt;0.0000001,P17=1,Q17=0,R17=0,S17=0,T17=0,L17&lt;=Controls!$B$14),"OBLIGATED / ACTIVE","INVALID"),IF(AND(N17=1,O17=0,P17=0,Q17=0,R17=0,S17=0,T17=0),"RESERVED / HELD","INVALID"))</x:f>
        <x:v>RESERVED / HELD</x:v>
      </x:c>
      <x:c r="V17" s="66" t="n">
        <x:f>COUNTIFS($B$5:$B$94,B17)</x:f>
        <x:v>5</x:v>
      </x:c>
    </x:row>
    <x:row r="18">
      <x:c r="A18" s="65" t="str">
        <x:v>P014</x:v>
      </x:c>
      <x:c r="B18" s="65" t="str">
        <x:v>ET-A-C</x:v>
      </x:c>
      <x:c r="C18" s="65" t="str">
        <x:v>ET-A</x:v>
      </x:c>
      <x:c r="D18" s="65" t="str">
        <x:v>C</x:v>
      </x:c>
      <x:c r="E18" s="66" t="n">
        <x:v>3</x:v>
      </x:c>
      <x:c r="F18" s="66" t="str">
        <x:v>ARTICLE</x:v>
      </x:c>
      <x:c r="G18" s="65" t="str">
        <x:v>Destructive-article engineering</x:v>
      </x:c>
      <x:c r="H18" s="77" t="n">
        <x:v>0.25</x:v>
      </x:c>
      <x:c r="I18" s="66" t="n">
        <x:v>6</x:v>
      </x:c>
      <x:c r="J18" s="66" t="n">
        <x:v>14</x:v>
      </x:c>
      <x:c r="K18" s="66" t="n">
        <x:f>(E18-1)*Controls!$B$14+I18</x:f>
        <x:v>54</x:v>
      </x:c>
      <x:c r="L18" s="66" t="n">
        <x:f>K18+J18</x:f>
        <x:v>68</x:v>
      </x:c>
      <x:c r="M18" s="67" t="n">
        <x:f>H18*INDEX('Form Warrants'!$H$5:$H$22,MATCH(B18,'Form Warrants'!$A$5:$A$22,0))</x:f>
        <x:v>0.006255932726023125</x:v>
      </x:c>
      <x:c r="N18" s="66" t="n">
        <x:f>IF(M18&gt;0,1,0)</x:f>
        <x:v>1</x:v>
      </x:c>
      <x:c r="O18" s="67" t="n">
        <x:f>IF(E18=1,M18,0)</x:f>
        <x:v>0</x:v>
      </x:c>
      <x:c r="P18" s="66" t="n">
        <x:f>IF(E18=1,1,0)</x:f>
        <x:v>0</x:v>
      </x:c>
      <x:c r="Q18" s="66" t="n">
        <x:v>0</x:v>
      </x:c>
      <x:c r="R18" s="67" t="n">
        <x:v>0</x:v>
      </x:c>
      <x:c r="S18" s="66" t="n">
        <x:v>0</x:v>
      </x:c>
      <x:c r="T18" s="66" t="n">
        <x:v>0</x:v>
      </x:c>
      <x:c r="U18" s="65" t="str">
        <x:f>IF(E18=1,IF(AND(N18=1,ABS(O18-M18)&lt;0.0000001,P18=1,Q18=0,R18=0,S18=0,T18=0,L18&lt;=Controls!$B$14),"OBLIGATED / ACTIVE","INVALID"),IF(AND(N18=1,O18=0,P18=0,Q18=0,R18=0,S18=0,T18=0),"RESERVED / HELD","INVALID"))</x:f>
        <x:v>RESERVED / HELD</x:v>
      </x:c>
      <x:c r="V18" s="66" t="n">
        <x:f>COUNTIFS($B$5:$B$94,B18)</x:f>
        <x:v>5</x:v>
      </x:c>
    </x:row>
    <x:row r="19">
      <x:c r="A19" s="65" t="str">
        <x:v>P015</x:v>
      </x:c>
      <x:c r="B19" s="65" t="str">
        <x:v>ET-A-C</x:v>
      </x:c>
      <x:c r="C19" s="65" t="str">
        <x:v>ET-A</x:v>
      </x:c>
      <x:c r="D19" s="65" t="str">
        <x:v>C</x:v>
      </x:c>
      <x:c r="E19" s="66" t="n">
        <x:v>3</x:v>
      </x:c>
      <x:c r="F19" s="66" t="str">
        <x:v>REBUILD</x:v>
      </x:c>
      <x:c r="G19" s="65" t="str">
        <x:v>Cold reconstruction and challenge</x:v>
      </x:c>
      <x:c r="H19" s="77" t="n">
        <x:v>0.15</x:v>
      </x:c>
      <x:c r="I19" s="66" t="n">
        <x:v>18</x:v>
      </x:c>
      <x:c r="J19" s="66" t="n">
        <x:v>6</x:v>
      </x:c>
      <x:c r="K19" s="66" t="n">
        <x:f>(E19-1)*Controls!$B$14+I19</x:f>
        <x:v>66</x:v>
      </x:c>
      <x:c r="L19" s="66" t="n">
        <x:f>K19+J19</x:f>
        <x:v>72</x:v>
      </x:c>
      <x:c r="M19" s="67" t="n">
        <x:f>H19*INDEX('Form Warrants'!$H$5:$H$22,MATCH(B19,'Form Warrants'!$A$5:$A$22,0))</x:f>
        <x:v>0.003753559635613875</x:v>
      </x:c>
      <x:c r="N19" s="66" t="n">
        <x:f>IF(M19&gt;0,1,0)</x:f>
        <x:v>1</x:v>
      </x:c>
      <x:c r="O19" s="67" t="n">
        <x:f>IF(E19=1,M19,0)</x:f>
        <x:v>0</x:v>
      </x:c>
      <x:c r="P19" s="66" t="n">
        <x:f>IF(E19=1,1,0)</x:f>
        <x:v>0</x:v>
      </x:c>
      <x:c r="Q19" s="66" t="n">
        <x:v>0</x:v>
      </x:c>
      <x:c r="R19" s="67" t="n">
        <x:v>0</x:v>
      </x:c>
      <x:c r="S19" s="66" t="n">
        <x:v>0</x:v>
      </x:c>
      <x:c r="T19" s="66" t="n">
        <x:v>0</x:v>
      </x:c>
      <x:c r="U19" s="65" t="str">
        <x:f>IF(E19=1,IF(AND(N19=1,ABS(O19-M19)&lt;0.0000001,P19=1,Q19=0,R19=0,S19=0,T19=0,L19&lt;=Controls!$B$14),"OBLIGATED / ACTIVE","INVALID"),IF(AND(N19=1,O19=0,P19=0,Q19=0,R19=0,S19=0,T19=0),"RESERVED / HELD","INVALID"))</x:f>
        <x:v>RESERVED / HELD</x:v>
      </x:c>
      <x:c r="V19" s="66" t="n">
        <x:f>COUNTIFS($B$5:$B$94,B19)</x:f>
        <x:v>5</x:v>
      </x:c>
    </x:row>
    <x:row r="20">
      <x:c r="A20" s="65" t="str">
        <x:v>P016</x:v>
      </x:c>
      <x:c r="B20" s="65" t="str">
        <x:v>CT-C-A</x:v>
      </x:c>
      <x:c r="C20" s="65" t="str">
        <x:v>CT-C</x:v>
      </x:c>
      <x:c r="D20" s="65" t="str">
        <x:v>A</x:v>
      </x:c>
      <x:c r="E20" s="66" t="n">
        <x:v>3</x:v>
      </x:c>
      <x:c r="F20" s="66" t="str">
        <x:v>METHOD</x:v>
      </x:c>
      <x:c r="G20" s="65" t="str">
        <x:v>Event method and denominator</x:v>
      </x:c>
      <x:c r="H20" s="77" t="n">
        <x:v>0.2</x:v>
      </x:c>
      <x:c r="I20" s="66" t="n">
        <x:v>0</x:v>
      </x:c>
      <x:c r="J20" s="66" t="n">
        <x:v>4</x:v>
      </x:c>
      <x:c r="K20" s="66" t="n">
        <x:f>(E20-1)*Controls!$B$14+I20</x:f>
        <x:v>48</x:v>
      </x:c>
      <x:c r="L20" s="66" t="n">
        <x:f>K20+J20</x:f>
        <x:v>52</x:v>
      </x:c>
      <x:c r="M20" s="67" t="n">
        <x:f>H20*INDEX('Form Warrants'!$H$5:$H$22,MATCH(B20,'Form Warrants'!$A$5:$A$22,0))</x:f>
        <x:v>0.0051649348177396</x:v>
      </x:c>
      <x:c r="N20" s="66" t="n">
        <x:f>IF(M20&gt;0,1,0)</x:f>
        <x:v>1</x:v>
      </x:c>
      <x:c r="O20" s="67" t="n">
        <x:f>IF(E20=1,M20,0)</x:f>
        <x:v>0</x:v>
      </x:c>
      <x:c r="P20" s="66" t="n">
        <x:f>IF(E20=1,1,0)</x:f>
        <x:v>0</x:v>
      </x:c>
      <x:c r="Q20" s="66" t="n">
        <x:v>0</x:v>
      </x:c>
      <x:c r="R20" s="67" t="n">
        <x:v>0</x:v>
      </x:c>
      <x:c r="S20" s="66" t="n">
        <x:v>0</x:v>
      </x:c>
      <x:c r="T20" s="66" t="n">
        <x:v>0</x:v>
      </x:c>
      <x:c r="U20" s="65" t="str">
        <x:f>IF(E20=1,IF(AND(N20=1,ABS(O20-M20)&lt;0.0000001,P20=1,Q20=0,R20=0,S20=0,T20=0,L20&lt;=Controls!$B$14),"OBLIGATED / ACTIVE","INVALID"),IF(AND(N20=1,O20=0,P20=0,Q20=0,R20=0,S20=0,T20=0),"RESERVED / HELD","INVALID"))</x:f>
        <x:v>RESERVED / HELD</x:v>
      </x:c>
      <x:c r="V20" s="66" t="n">
        <x:f>COUNTIFS($B$5:$B$94,B20)</x:f>
        <x:v>5</x:v>
      </x:c>
    </x:row>
    <x:row r="21">
      <x:c r="A21" s="65" t="str">
        <x:v>P017</x:v>
      </x:c>
      <x:c r="B21" s="65" t="str">
        <x:v>CT-C-A</x:v>
      </x:c>
      <x:c r="C21" s="65" t="str">
        <x:v>CT-C</x:v>
      </x:c>
      <x:c r="D21" s="65" t="str">
        <x:v>A</x:v>
      </x:c>
      <x:c r="E21" s="66" t="n">
        <x:v>3</x:v>
      </x:c>
      <x:c r="F21" s="66" t="str">
        <x:v>MEASURE</x:v>
      </x:c>
      <x:c r="G21" s="65" t="str">
        <x:v>Instrumentation, custody and validity</x:v>
      </x:c>
      <x:c r="H21" s="77" t="n">
        <x:v>0.25</x:v>
      </x:c>
      <x:c r="I21" s="66" t="n">
        <x:v>2</x:v>
      </x:c>
      <x:c r="J21" s="66" t="n">
        <x:v>8</x:v>
      </x:c>
      <x:c r="K21" s="66" t="n">
        <x:f>(E21-1)*Controls!$B$14+I21</x:f>
        <x:v>50</x:v>
      </x:c>
      <x:c r="L21" s="66" t="n">
        <x:f>K21+J21</x:f>
        <x:v>58</x:v>
      </x:c>
      <x:c r="M21" s="67" t="n">
        <x:f>H21*INDEX('Form Warrants'!$H$5:$H$22,MATCH(B21,'Form Warrants'!$A$5:$A$22,0))</x:f>
        <x:v>0.0064561685221745</x:v>
      </x:c>
      <x:c r="N21" s="66" t="n">
        <x:f>IF(M21&gt;0,1,0)</x:f>
        <x:v>1</x:v>
      </x:c>
      <x:c r="O21" s="67" t="n">
        <x:f>IF(E21=1,M21,0)</x:f>
        <x:v>0</x:v>
      </x:c>
      <x:c r="P21" s="66" t="n">
        <x:f>IF(E21=1,1,0)</x:f>
        <x:v>0</x:v>
      </x:c>
      <x:c r="Q21" s="66" t="n">
        <x:v>0</x:v>
      </x:c>
      <x:c r="R21" s="67" t="n">
        <x:v>0</x:v>
      </x:c>
      <x:c r="S21" s="66" t="n">
        <x:v>0</x:v>
      </x:c>
      <x:c r="T21" s="66" t="n">
        <x:v>0</x:v>
      </x:c>
      <x:c r="U21" s="65" t="str">
        <x:f>IF(E21=1,IF(AND(N21=1,ABS(O21-M21)&lt;0.0000001,P21=1,Q21=0,R21=0,S21=0,T21=0,L21&lt;=Controls!$B$14),"OBLIGATED / ACTIVE","INVALID"),IF(AND(N21=1,O21=0,P21=0,Q21=0,R21=0,S21=0,T21=0),"RESERVED / HELD","INVALID"))</x:f>
        <x:v>RESERVED / HELD</x:v>
      </x:c>
      <x:c r="V21" s="66" t="n">
        <x:f>COUNTIFS($B$5:$B$94,B21)</x:f>
        <x:v>5</x:v>
      </x:c>
    </x:row>
    <x:row r="22">
      <x:c r="A22" s="65" t="str">
        <x:v>P018</x:v>
      </x:c>
      <x:c r="B22" s="65" t="str">
        <x:v>CT-C-A</x:v>
      </x:c>
      <x:c r="C22" s="65" t="str">
        <x:v>CT-C</x:v>
      </x:c>
      <x:c r="D22" s="65" t="str">
        <x:v>A</x:v>
      </x:c>
      <x:c r="E22" s="66" t="n">
        <x:v>3</x:v>
      </x:c>
      <x:c r="F22" s="66" t="str">
        <x:v>CIVIL</x:v>
      </x:c>
      <x:c r="G22" s="65" t="str">
        <x:v>Rights, receiver and residual closure</x:v>
      </x:c>
      <x:c r="H22" s="77" t="n">
        <x:v>0.15</x:v>
      </x:c>
      <x:c r="I22" s="66" t="n">
        <x:v>0</x:v>
      </x:c>
      <x:c r="J22" s="66" t="n">
        <x:v>8</x:v>
      </x:c>
      <x:c r="K22" s="66" t="n">
        <x:f>(E22-1)*Controls!$B$14+I22</x:f>
        <x:v>48</x:v>
      </x:c>
      <x:c r="L22" s="66" t="n">
        <x:f>K22+J22</x:f>
        <x:v>56</x:v>
      </x:c>
      <x:c r="M22" s="67" t="n">
        <x:f>H22*INDEX('Form Warrants'!$H$5:$H$22,MATCH(B22,'Form Warrants'!$A$5:$A$22,0))</x:f>
        <x:v>0.0038737011133046996</x:v>
      </x:c>
      <x:c r="N22" s="66" t="n">
        <x:f>IF(M22&gt;0,1,0)</x:f>
        <x:v>1</x:v>
      </x:c>
      <x:c r="O22" s="67" t="n">
        <x:f>IF(E22=1,M22,0)</x:f>
        <x:v>0</x:v>
      </x:c>
      <x:c r="P22" s="66" t="n">
        <x:f>IF(E22=1,1,0)</x:f>
        <x:v>0</x:v>
      </x:c>
      <x:c r="Q22" s="66" t="n">
        <x:v>0</x:v>
      </x:c>
      <x:c r="R22" s="67" t="n">
        <x:v>0</x:v>
      </x:c>
      <x:c r="S22" s="66" t="n">
        <x:v>0</x:v>
      </x:c>
      <x:c r="T22" s="66" t="n">
        <x:v>0</x:v>
      </x:c>
      <x:c r="U22" s="65" t="str">
        <x:f>IF(E22=1,IF(AND(N22=1,ABS(O22-M22)&lt;0.0000001,P22=1,Q22=0,R22=0,S22=0,T22=0,L22&lt;=Controls!$B$14),"OBLIGATED / ACTIVE","INVALID"),IF(AND(N22=1,O22=0,P22=0,Q22=0,R22=0,S22=0,T22=0),"RESERVED / HELD","INVALID"))</x:f>
        <x:v>RESERVED / HELD</x:v>
      </x:c>
      <x:c r="V22" s="66" t="n">
        <x:f>COUNTIFS($B$5:$B$94,B22)</x:f>
        <x:v>5</x:v>
      </x:c>
    </x:row>
    <x:row r="23">
      <x:c r="A23" s="65" t="str">
        <x:v>P019</x:v>
      </x:c>
      <x:c r="B23" s="65" t="str">
        <x:v>CT-C-A</x:v>
      </x:c>
      <x:c r="C23" s="65" t="str">
        <x:v>CT-C</x:v>
      </x:c>
      <x:c r="D23" s="65" t="str">
        <x:v>A</x:v>
      </x:c>
      <x:c r="E23" s="66" t="n">
        <x:v>3</x:v>
      </x:c>
      <x:c r="F23" s="66" t="str">
        <x:v>ARTICLE</x:v>
      </x:c>
      <x:c r="G23" s="65" t="str">
        <x:v>Destructive-article engineering</x:v>
      </x:c>
      <x:c r="H23" s="77" t="n">
        <x:v>0.25</x:v>
      </x:c>
      <x:c r="I23" s="66" t="n">
        <x:v>6</x:v>
      </x:c>
      <x:c r="J23" s="66" t="n">
        <x:v>14</x:v>
      </x:c>
      <x:c r="K23" s="66" t="n">
        <x:f>(E23-1)*Controls!$B$14+I23</x:f>
        <x:v>54</x:v>
      </x:c>
      <x:c r="L23" s="66" t="n">
        <x:f>K23+J23</x:f>
        <x:v>68</x:v>
      </x:c>
      <x:c r="M23" s="67" t="n">
        <x:f>H23*INDEX('Form Warrants'!$H$5:$H$22,MATCH(B23,'Form Warrants'!$A$5:$A$22,0))</x:f>
        <x:v>0.0064561685221745</x:v>
      </x:c>
      <x:c r="N23" s="66" t="n">
        <x:f>IF(M23&gt;0,1,0)</x:f>
        <x:v>1</x:v>
      </x:c>
      <x:c r="O23" s="67" t="n">
        <x:f>IF(E23=1,M23,0)</x:f>
        <x:v>0</x:v>
      </x:c>
      <x:c r="P23" s="66" t="n">
        <x:f>IF(E23=1,1,0)</x:f>
        <x:v>0</x:v>
      </x:c>
      <x:c r="Q23" s="66" t="n">
        <x:v>0</x:v>
      </x:c>
      <x:c r="R23" s="67" t="n">
        <x:v>0</x:v>
      </x:c>
      <x:c r="S23" s="66" t="n">
        <x:v>0</x:v>
      </x:c>
      <x:c r="T23" s="66" t="n">
        <x:v>0</x:v>
      </x:c>
      <x:c r="U23" s="65" t="str">
        <x:f>IF(E23=1,IF(AND(N23=1,ABS(O23-M23)&lt;0.0000001,P23=1,Q23=0,R23=0,S23=0,T23=0,L23&lt;=Controls!$B$14),"OBLIGATED / ACTIVE","INVALID"),IF(AND(N23=1,O23=0,P23=0,Q23=0,R23=0,S23=0,T23=0),"RESERVED / HELD","INVALID"))</x:f>
        <x:v>RESERVED / HELD</x:v>
      </x:c>
      <x:c r="V23" s="66" t="n">
        <x:f>COUNTIFS($B$5:$B$94,B23)</x:f>
        <x:v>5</x:v>
      </x:c>
    </x:row>
    <x:row r="24">
      <x:c r="A24" s="65" t="str">
        <x:v>P020</x:v>
      </x:c>
      <x:c r="B24" s="65" t="str">
        <x:v>CT-C-A</x:v>
      </x:c>
      <x:c r="C24" s="65" t="str">
        <x:v>CT-C</x:v>
      </x:c>
      <x:c r="D24" s="65" t="str">
        <x:v>A</x:v>
      </x:c>
      <x:c r="E24" s="66" t="n">
        <x:v>3</x:v>
      </x:c>
      <x:c r="F24" s="66" t="str">
        <x:v>REBUILD</x:v>
      </x:c>
      <x:c r="G24" s="65" t="str">
        <x:v>Cold reconstruction and challenge</x:v>
      </x:c>
      <x:c r="H24" s="77" t="n">
        <x:v>0.15</x:v>
      </x:c>
      <x:c r="I24" s="66" t="n">
        <x:v>18</x:v>
      </x:c>
      <x:c r="J24" s="66" t="n">
        <x:v>6</x:v>
      </x:c>
      <x:c r="K24" s="66" t="n">
        <x:f>(E24-1)*Controls!$B$14+I24</x:f>
        <x:v>66</x:v>
      </x:c>
      <x:c r="L24" s="66" t="n">
        <x:f>K24+J24</x:f>
        <x:v>72</x:v>
      </x:c>
      <x:c r="M24" s="67" t="n">
        <x:f>H24*INDEX('Form Warrants'!$H$5:$H$22,MATCH(B24,'Form Warrants'!$A$5:$A$22,0))</x:f>
        <x:v>0.0038737011133046996</x:v>
      </x:c>
      <x:c r="N24" s="66" t="n">
        <x:f>IF(M24&gt;0,1,0)</x:f>
        <x:v>1</x:v>
      </x:c>
      <x:c r="O24" s="67" t="n">
        <x:f>IF(E24=1,M24,0)</x:f>
        <x:v>0</x:v>
      </x:c>
      <x:c r="P24" s="66" t="n">
        <x:f>IF(E24=1,1,0)</x:f>
        <x:v>0</x:v>
      </x:c>
      <x:c r="Q24" s="66" t="n">
        <x:v>0</x:v>
      </x:c>
      <x:c r="R24" s="67" t="n">
        <x:v>0</x:v>
      </x:c>
      <x:c r="S24" s="66" t="n">
        <x:v>0</x:v>
      </x:c>
      <x:c r="T24" s="66" t="n">
        <x:v>0</x:v>
      </x:c>
      <x:c r="U24" s="65" t="str">
        <x:f>IF(E24=1,IF(AND(N24=1,ABS(O24-M24)&lt;0.0000001,P24=1,Q24=0,R24=0,S24=0,T24=0,L24&lt;=Controls!$B$14),"OBLIGATED / ACTIVE","INVALID"),IF(AND(N24=1,O24=0,P24=0,Q24=0,R24=0,S24=0,T24=0),"RESERVED / HELD","INVALID"))</x:f>
        <x:v>RESERVED / HELD</x:v>
      </x:c>
      <x:c r="V24" s="66" t="n">
        <x:f>COUNTIFS($B$5:$B$94,B24)</x:f>
        <x:v>5</x:v>
      </x:c>
    </x:row>
    <x:row r="25">
      <x:c r="A25" s="65" t="str">
        <x:v>P021</x:v>
      </x:c>
      <x:c r="B25" s="65" t="str">
        <x:v>CT-C-B</x:v>
      </x:c>
      <x:c r="C25" s="65" t="str">
        <x:v>CT-C</x:v>
      </x:c>
      <x:c r="D25" s="65" t="str">
        <x:v>B</x:v>
      </x:c>
      <x:c r="E25" s="66" t="n">
        <x:v>1</x:v>
      </x:c>
      <x:c r="F25" s="66" t="str">
        <x:v>METHOD</x:v>
      </x:c>
      <x:c r="G25" s="65" t="str">
        <x:v>Event method and denominator</x:v>
      </x:c>
      <x:c r="H25" s="77" t="n">
        <x:v>0.2</x:v>
      </x:c>
      <x:c r="I25" s="66" t="n">
        <x:v>0</x:v>
      </x:c>
      <x:c r="J25" s="66" t="n">
        <x:v>4</x:v>
      </x:c>
      <x:c r="K25" s="66" t="n">
        <x:f>(E25-1)*Controls!$B$14+I25</x:f>
        <x:v>0</x:v>
      </x:c>
      <x:c r="L25" s="66" t="n">
        <x:f>K25+J25</x:f>
        <x:v>4</x:v>
      </x:c>
      <x:c r="M25" s="67" t="n">
        <x:f>H25*INDEX('Form Warrants'!$H$5:$H$22,MATCH(B25,'Form Warrants'!$A$5:$A$22,0))</x:f>
        <x:v>0.0051649348177396</x:v>
      </x:c>
      <x:c r="N25" s="66" t="n">
        <x:f>IF(M25&gt;0,1,0)</x:f>
        <x:v>1</x:v>
      </x:c>
      <x:c r="O25" s="67" t="n">
        <x:f>IF(E25=1,M25,0)</x:f>
        <x:v>0.0051649348177396</x:v>
      </x:c>
      <x:c r="P25" s="66" t="n">
        <x:f>IF(E25=1,1,0)</x:f>
        <x:v>1</x:v>
      </x:c>
      <x:c r="Q25" s="66" t="n">
        <x:v>0</x:v>
      </x:c>
      <x:c r="R25" s="67" t="n">
        <x:v>0</x:v>
      </x:c>
      <x:c r="S25" s="66" t="n">
        <x:v>0</x:v>
      </x:c>
      <x:c r="T25" s="66" t="n">
        <x:v>0</x:v>
      </x:c>
      <x:c r="U25" s="65" t="str">
        <x:f>IF(E25=1,IF(AND(N25=1,ABS(O25-M25)&lt;0.0000001,P25=1,Q25=0,R25=0,S25=0,T25=0,L25&lt;=Controls!$B$14),"OBLIGATED / ACTIVE","INVALID"),IF(AND(N25=1,O25=0,P25=0,Q25=0,R25=0,S25=0,T25=0),"RESERVED / HELD","INVALID"))</x:f>
        <x:v>OBLIGATED / ACTIVE</x:v>
      </x:c>
      <x:c r="V25" s="66" t="n">
        <x:f>COUNTIFS($B$5:$B$94,B25)</x:f>
        <x:v>5</x:v>
      </x:c>
    </x:row>
    <x:row r="26">
      <x:c r="A26" s="65" t="str">
        <x:v>P022</x:v>
      </x:c>
      <x:c r="B26" s="65" t="str">
        <x:v>CT-C-B</x:v>
      </x:c>
      <x:c r="C26" s="65" t="str">
        <x:v>CT-C</x:v>
      </x:c>
      <x:c r="D26" s="65" t="str">
        <x:v>B</x:v>
      </x:c>
      <x:c r="E26" s="66" t="n">
        <x:v>1</x:v>
      </x:c>
      <x:c r="F26" s="66" t="str">
        <x:v>MEASURE</x:v>
      </x:c>
      <x:c r="G26" s="65" t="str">
        <x:v>Instrumentation, custody and validity</x:v>
      </x:c>
      <x:c r="H26" s="77" t="n">
        <x:v>0.25</x:v>
      </x:c>
      <x:c r="I26" s="66" t="n">
        <x:v>2</x:v>
      </x:c>
      <x:c r="J26" s="66" t="n">
        <x:v>8</x:v>
      </x:c>
      <x:c r="K26" s="66" t="n">
        <x:f>(E26-1)*Controls!$B$14+I26</x:f>
        <x:v>2</x:v>
      </x:c>
      <x:c r="L26" s="66" t="n">
        <x:f>K26+J26</x:f>
        <x:v>10</x:v>
      </x:c>
      <x:c r="M26" s="67" t="n">
        <x:f>H26*INDEX('Form Warrants'!$H$5:$H$22,MATCH(B26,'Form Warrants'!$A$5:$A$22,0))</x:f>
        <x:v>0.0064561685221745</x:v>
      </x:c>
      <x:c r="N26" s="66" t="n">
        <x:f>IF(M26&gt;0,1,0)</x:f>
        <x:v>1</x:v>
      </x:c>
      <x:c r="O26" s="67" t="n">
        <x:f>IF(E26=1,M26,0)</x:f>
        <x:v>0.0064561685221745</x:v>
      </x:c>
      <x:c r="P26" s="66" t="n">
        <x:f>IF(E26=1,1,0)</x:f>
        <x:v>1</x:v>
      </x:c>
      <x:c r="Q26" s="66" t="n">
        <x:v>0</x:v>
      </x:c>
      <x:c r="R26" s="67" t="n">
        <x:v>0</x:v>
      </x:c>
      <x:c r="S26" s="66" t="n">
        <x:v>0</x:v>
      </x:c>
      <x:c r="T26" s="66" t="n">
        <x:v>0</x:v>
      </x:c>
      <x:c r="U26" s="65" t="str">
        <x:f>IF(E26=1,IF(AND(N26=1,ABS(O26-M26)&lt;0.0000001,P26=1,Q26=0,R26=0,S26=0,T26=0,L26&lt;=Controls!$B$14),"OBLIGATED / ACTIVE","INVALID"),IF(AND(N26=1,O26=0,P26=0,Q26=0,R26=0,S26=0,T26=0),"RESERVED / HELD","INVALID"))</x:f>
        <x:v>OBLIGATED / ACTIVE</x:v>
      </x:c>
      <x:c r="V26" s="66" t="n">
        <x:f>COUNTIFS($B$5:$B$94,B26)</x:f>
        <x:v>5</x:v>
      </x:c>
    </x:row>
    <x:row r="27">
      <x:c r="A27" s="65" t="str">
        <x:v>P023</x:v>
      </x:c>
      <x:c r="B27" s="65" t="str">
        <x:v>CT-C-B</x:v>
      </x:c>
      <x:c r="C27" s="65" t="str">
        <x:v>CT-C</x:v>
      </x:c>
      <x:c r="D27" s="65" t="str">
        <x:v>B</x:v>
      </x:c>
      <x:c r="E27" s="66" t="n">
        <x:v>1</x:v>
      </x:c>
      <x:c r="F27" s="66" t="str">
        <x:v>CIVIL</x:v>
      </x:c>
      <x:c r="G27" s="65" t="str">
        <x:v>Rights, receiver and residual closure</x:v>
      </x:c>
      <x:c r="H27" s="77" t="n">
        <x:v>0.15</x:v>
      </x:c>
      <x:c r="I27" s="66" t="n">
        <x:v>0</x:v>
      </x:c>
      <x:c r="J27" s="66" t="n">
        <x:v>8</x:v>
      </x:c>
      <x:c r="K27" s="66" t="n">
        <x:f>(E27-1)*Controls!$B$14+I27</x:f>
        <x:v>0</x:v>
      </x:c>
      <x:c r="L27" s="66" t="n">
        <x:f>K27+J27</x:f>
        <x:v>8</x:v>
      </x:c>
      <x:c r="M27" s="67" t="n">
        <x:f>H27*INDEX('Form Warrants'!$H$5:$H$22,MATCH(B27,'Form Warrants'!$A$5:$A$22,0))</x:f>
        <x:v>0.0038737011133046996</x:v>
      </x:c>
      <x:c r="N27" s="66" t="n">
        <x:f>IF(M27&gt;0,1,0)</x:f>
        <x:v>1</x:v>
      </x:c>
      <x:c r="O27" s="67" t="n">
        <x:f>IF(E27=1,M27,0)</x:f>
        <x:v>0.0038737011133046996</x:v>
      </x:c>
      <x:c r="P27" s="66" t="n">
        <x:f>IF(E27=1,1,0)</x:f>
        <x:v>1</x:v>
      </x:c>
      <x:c r="Q27" s="66" t="n">
        <x:v>0</x:v>
      </x:c>
      <x:c r="R27" s="67" t="n">
        <x:v>0</x:v>
      </x:c>
      <x:c r="S27" s="66" t="n">
        <x:v>0</x:v>
      </x:c>
      <x:c r="T27" s="66" t="n">
        <x:v>0</x:v>
      </x:c>
      <x:c r="U27" s="65" t="str">
        <x:f>IF(E27=1,IF(AND(N27=1,ABS(O27-M27)&lt;0.0000001,P27=1,Q27=0,R27=0,S27=0,T27=0,L27&lt;=Controls!$B$14),"OBLIGATED / ACTIVE","INVALID"),IF(AND(N27=1,O27=0,P27=0,Q27=0,R27=0,S27=0,T27=0),"RESERVED / HELD","INVALID"))</x:f>
        <x:v>OBLIGATED / ACTIVE</x:v>
      </x:c>
      <x:c r="V27" s="66" t="n">
        <x:f>COUNTIFS($B$5:$B$94,B27)</x:f>
        <x:v>5</x:v>
      </x:c>
    </x:row>
    <x:row r="28">
      <x:c r="A28" s="65" t="str">
        <x:v>P024</x:v>
      </x:c>
      <x:c r="B28" s="65" t="str">
        <x:v>CT-C-B</x:v>
      </x:c>
      <x:c r="C28" s="65" t="str">
        <x:v>CT-C</x:v>
      </x:c>
      <x:c r="D28" s="65" t="str">
        <x:v>B</x:v>
      </x:c>
      <x:c r="E28" s="66" t="n">
        <x:v>1</x:v>
      </x:c>
      <x:c r="F28" s="66" t="str">
        <x:v>ARTICLE</x:v>
      </x:c>
      <x:c r="G28" s="65" t="str">
        <x:v>Destructive-article engineering</x:v>
      </x:c>
      <x:c r="H28" s="77" t="n">
        <x:v>0.25</x:v>
      </x:c>
      <x:c r="I28" s="66" t="n">
        <x:v>6</x:v>
      </x:c>
      <x:c r="J28" s="66" t="n">
        <x:v>14</x:v>
      </x:c>
      <x:c r="K28" s="66" t="n">
        <x:f>(E28-1)*Controls!$B$14+I28</x:f>
        <x:v>6</x:v>
      </x:c>
      <x:c r="L28" s="66" t="n">
        <x:f>K28+J28</x:f>
        <x:v>20</x:v>
      </x:c>
      <x:c r="M28" s="67" t="n">
        <x:f>H28*INDEX('Form Warrants'!$H$5:$H$22,MATCH(B28,'Form Warrants'!$A$5:$A$22,0))</x:f>
        <x:v>0.0064561685221745</x:v>
      </x:c>
      <x:c r="N28" s="66" t="n">
        <x:f>IF(M28&gt;0,1,0)</x:f>
        <x:v>1</x:v>
      </x:c>
      <x:c r="O28" s="67" t="n">
        <x:f>IF(E28=1,M28,0)</x:f>
        <x:v>0.0064561685221745</x:v>
      </x:c>
      <x:c r="P28" s="66" t="n">
        <x:f>IF(E28=1,1,0)</x:f>
        <x:v>1</x:v>
      </x:c>
      <x:c r="Q28" s="66" t="n">
        <x:v>0</x:v>
      </x:c>
      <x:c r="R28" s="67" t="n">
        <x:v>0</x:v>
      </x:c>
      <x:c r="S28" s="66" t="n">
        <x:v>0</x:v>
      </x:c>
      <x:c r="T28" s="66" t="n">
        <x:v>0</x:v>
      </x:c>
      <x:c r="U28" s="65" t="str">
        <x:f>IF(E28=1,IF(AND(N28=1,ABS(O28-M28)&lt;0.0000001,P28=1,Q28=0,R28=0,S28=0,T28=0,L28&lt;=Controls!$B$14),"OBLIGATED / ACTIVE","INVALID"),IF(AND(N28=1,O28=0,P28=0,Q28=0,R28=0,S28=0,T28=0),"RESERVED / HELD","INVALID"))</x:f>
        <x:v>OBLIGATED / ACTIVE</x:v>
      </x:c>
      <x:c r="V28" s="66" t="n">
        <x:f>COUNTIFS($B$5:$B$94,B28)</x:f>
        <x:v>5</x:v>
      </x:c>
    </x:row>
    <x:row r="29">
      <x:c r="A29" s="65" t="str">
        <x:v>P025</x:v>
      </x:c>
      <x:c r="B29" s="65" t="str">
        <x:v>CT-C-B</x:v>
      </x:c>
      <x:c r="C29" s="65" t="str">
        <x:v>CT-C</x:v>
      </x:c>
      <x:c r="D29" s="65" t="str">
        <x:v>B</x:v>
      </x:c>
      <x:c r="E29" s="66" t="n">
        <x:v>1</x:v>
      </x:c>
      <x:c r="F29" s="66" t="str">
        <x:v>REBUILD</x:v>
      </x:c>
      <x:c r="G29" s="65" t="str">
        <x:v>Cold reconstruction and challenge</x:v>
      </x:c>
      <x:c r="H29" s="77" t="n">
        <x:v>0.15</x:v>
      </x:c>
      <x:c r="I29" s="66" t="n">
        <x:v>18</x:v>
      </x:c>
      <x:c r="J29" s="66" t="n">
        <x:v>6</x:v>
      </x:c>
      <x:c r="K29" s="66" t="n">
        <x:f>(E29-1)*Controls!$B$14+I29</x:f>
        <x:v>18</x:v>
      </x:c>
      <x:c r="L29" s="66" t="n">
        <x:f>K29+J29</x:f>
        <x:v>24</x:v>
      </x:c>
      <x:c r="M29" s="67" t="n">
        <x:f>H29*INDEX('Form Warrants'!$H$5:$H$22,MATCH(B29,'Form Warrants'!$A$5:$A$22,0))</x:f>
        <x:v>0.0038737011133046996</x:v>
      </x:c>
      <x:c r="N29" s="66" t="n">
        <x:f>IF(M29&gt;0,1,0)</x:f>
        <x:v>1</x:v>
      </x:c>
      <x:c r="O29" s="67" t="n">
        <x:f>IF(E29=1,M29,0)</x:f>
        <x:v>0.0038737011133046996</x:v>
      </x:c>
      <x:c r="P29" s="66" t="n">
        <x:f>IF(E29=1,1,0)</x:f>
        <x:v>1</x:v>
      </x:c>
      <x:c r="Q29" s="66" t="n">
        <x:v>0</x:v>
      </x:c>
      <x:c r="R29" s="67" t="n">
        <x:v>0</x:v>
      </x:c>
      <x:c r="S29" s="66" t="n">
        <x:v>0</x:v>
      </x:c>
      <x:c r="T29" s="66" t="n">
        <x:v>0</x:v>
      </x:c>
      <x:c r="U29" s="65" t="str">
        <x:f>IF(E29=1,IF(AND(N29=1,ABS(O29-M29)&lt;0.0000001,P29=1,Q29=0,R29=0,S29=0,T29=0,L29&lt;=Controls!$B$14),"OBLIGATED / ACTIVE","INVALID"),IF(AND(N29=1,O29=0,P29=0,Q29=0,R29=0,S29=0,T29=0),"RESERVED / HELD","INVALID"))</x:f>
        <x:v>OBLIGATED / ACTIVE</x:v>
      </x:c>
      <x:c r="V29" s="66" t="n">
        <x:f>COUNTIFS($B$5:$B$94,B29)</x:f>
        <x:v>5</x:v>
      </x:c>
    </x:row>
    <x:row r="30">
      <x:c r="A30" s="65" t="str">
        <x:v>P026</x:v>
      </x:c>
      <x:c r="B30" s="65" t="str">
        <x:v>CT-C-C</x:v>
      </x:c>
      <x:c r="C30" s="65" t="str">
        <x:v>CT-C</x:v>
      </x:c>
      <x:c r="D30" s="65" t="str">
        <x:v>C</x:v>
      </x:c>
      <x:c r="E30" s="66" t="n">
        <x:v>2</x:v>
      </x:c>
      <x:c r="F30" s="66" t="str">
        <x:v>METHOD</x:v>
      </x:c>
      <x:c r="G30" s="65" t="str">
        <x:v>Event method and denominator</x:v>
      </x:c>
      <x:c r="H30" s="77" t="n">
        <x:v>0.2</x:v>
      </x:c>
      <x:c r="I30" s="66" t="n">
        <x:v>0</x:v>
      </x:c>
      <x:c r="J30" s="66" t="n">
        <x:v>4</x:v>
      </x:c>
      <x:c r="K30" s="66" t="n">
        <x:f>(E30-1)*Controls!$B$14+I30</x:f>
        <x:v>24</x:v>
      </x:c>
      <x:c r="L30" s="66" t="n">
        <x:f>K30+J30</x:f>
        <x:v>28</x:v>
      </x:c>
      <x:c r="M30" s="67" t="n">
        <x:f>H30*INDEX('Form Warrants'!$H$5:$H$22,MATCH(B30,'Form Warrants'!$A$5:$A$22,0))</x:f>
        <x:v>0.0051649348177396</x:v>
      </x:c>
      <x:c r="N30" s="66" t="n">
        <x:f>IF(M30&gt;0,1,0)</x:f>
        <x:v>1</x:v>
      </x:c>
      <x:c r="O30" s="67" t="n">
        <x:f>IF(E30=1,M30,0)</x:f>
        <x:v>0</x:v>
      </x:c>
      <x:c r="P30" s="66" t="n">
        <x:f>IF(E30=1,1,0)</x:f>
        <x:v>0</x:v>
      </x:c>
      <x:c r="Q30" s="66" t="n">
        <x:v>0</x:v>
      </x:c>
      <x:c r="R30" s="67" t="n">
        <x:v>0</x:v>
      </x:c>
      <x:c r="S30" s="66" t="n">
        <x:v>0</x:v>
      </x:c>
      <x:c r="T30" s="66" t="n">
        <x:v>0</x:v>
      </x:c>
      <x:c r="U30" s="65" t="str">
        <x:f>IF(E30=1,IF(AND(N30=1,ABS(O30-M30)&lt;0.0000001,P30=1,Q30=0,R30=0,S30=0,T30=0,L30&lt;=Controls!$B$14),"OBLIGATED / ACTIVE","INVALID"),IF(AND(N30=1,O30=0,P30=0,Q30=0,R30=0,S30=0,T30=0),"RESERVED / HELD","INVALID"))</x:f>
        <x:v>RESERVED / HELD</x:v>
      </x:c>
      <x:c r="V30" s="66" t="n">
        <x:f>COUNTIFS($B$5:$B$94,B30)</x:f>
        <x:v>5</x:v>
      </x:c>
    </x:row>
    <x:row r="31">
      <x:c r="A31" s="65" t="str">
        <x:v>P027</x:v>
      </x:c>
      <x:c r="B31" s="65" t="str">
        <x:v>CT-C-C</x:v>
      </x:c>
      <x:c r="C31" s="65" t="str">
        <x:v>CT-C</x:v>
      </x:c>
      <x:c r="D31" s="65" t="str">
        <x:v>C</x:v>
      </x:c>
      <x:c r="E31" s="66" t="n">
        <x:v>2</x:v>
      </x:c>
      <x:c r="F31" s="66" t="str">
        <x:v>MEASURE</x:v>
      </x:c>
      <x:c r="G31" s="65" t="str">
        <x:v>Instrumentation, custody and validity</x:v>
      </x:c>
      <x:c r="H31" s="77" t="n">
        <x:v>0.25</x:v>
      </x:c>
      <x:c r="I31" s="66" t="n">
        <x:v>2</x:v>
      </x:c>
      <x:c r="J31" s="66" t="n">
        <x:v>8</x:v>
      </x:c>
      <x:c r="K31" s="66" t="n">
        <x:f>(E31-1)*Controls!$B$14+I31</x:f>
        <x:v>26</x:v>
      </x:c>
      <x:c r="L31" s="66" t="n">
        <x:f>K31+J31</x:f>
        <x:v>34</x:v>
      </x:c>
      <x:c r="M31" s="67" t="n">
        <x:f>H31*INDEX('Form Warrants'!$H$5:$H$22,MATCH(B31,'Form Warrants'!$A$5:$A$22,0))</x:f>
        <x:v>0.0064561685221745</x:v>
      </x:c>
      <x:c r="N31" s="66" t="n">
        <x:f>IF(M31&gt;0,1,0)</x:f>
        <x:v>1</x:v>
      </x:c>
      <x:c r="O31" s="67" t="n">
        <x:f>IF(E31=1,M31,0)</x:f>
        <x:v>0</x:v>
      </x:c>
      <x:c r="P31" s="66" t="n">
        <x:f>IF(E31=1,1,0)</x:f>
        <x:v>0</x:v>
      </x:c>
      <x:c r="Q31" s="66" t="n">
        <x:v>0</x:v>
      </x:c>
      <x:c r="R31" s="67" t="n">
        <x:v>0</x:v>
      </x:c>
      <x:c r="S31" s="66" t="n">
        <x:v>0</x:v>
      </x:c>
      <x:c r="T31" s="66" t="n">
        <x:v>0</x:v>
      </x:c>
      <x:c r="U31" s="65" t="str">
        <x:f>IF(E31=1,IF(AND(N31=1,ABS(O31-M31)&lt;0.0000001,P31=1,Q31=0,R31=0,S31=0,T31=0,L31&lt;=Controls!$B$14),"OBLIGATED / ACTIVE","INVALID"),IF(AND(N31=1,O31=0,P31=0,Q31=0,R31=0,S31=0,T31=0),"RESERVED / HELD","INVALID"))</x:f>
        <x:v>RESERVED / HELD</x:v>
      </x:c>
      <x:c r="V31" s="66" t="n">
        <x:f>COUNTIFS($B$5:$B$94,B31)</x:f>
        <x:v>5</x:v>
      </x:c>
    </x:row>
    <x:row r="32">
      <x:c r="A32" s="65" t="str">
        <x:v>P028</x:v>
      </x:c>
      <x:c r="B32" s="65" t="str">
        <x:v>CT-C-C</x:v>
      </x:c>
      <x:c r="C32" s="65" t="str">
        <x:v>CT-C</x:v>
      </x:c>
      <x:c r="D32" s="65" t="str">
        <x:v>C</x:v>
      </x:c>
      <x:c r="E32" s="66" t="n">
        <x:v>2</x:v>
      </x:c>
      <x:c r="F32" s="66" t="str">
        <x:v>CIVIL</x:v>
      </x:c>
      <x:c r="G32" s="65" t="str">
        <x:v>Rights, receiver and residual closure</x:v>
      </x:c>
      <x:c r="H32" s="77" t="n">
        <x:v>0.15</x:v>
      </x:c>
      <x:c r="I32" s="66" t="n">
        <x:v>0</x:v>
      </x:c>
      <x:c r="J32" s="66" t="n">
        <x:v>8</x:v>
      </x:c>
      <x:c r="K32" s="66" t="n">
        <x:f>(E32-1)*Controls!$B$14+I32</x:f>
        <x:v>24</x:v>
      </x:c>
      <x:c r="L32" s="66" t="n">
        <x:f>K32+J32</x:f>
        <x:v>32</x:v>
      </x:c>
      <x:c r="M32" s="67" t="n">
        <x:f>H32*INDEX('Form Warrants'!$H$5:$H$22,MATCH(B32,'Form Warrants'!$A$5:$A$22,0))</x:f>
        <x:v>0.0038737011133046996</x:v>
      </x:c>
      <x:c r="N32" s="66" t="n">
        <x:f>IF(M32&gt;0,1,0)</x:f>
        <x:v>1</x:v>
      </x:c>
      <x:c r="O32" s="67" t="n">
        <x:f>IF(E32=1,M32,0)</x:f>
        <x:v>0</x:v>
      </x:c>
      <x:c r="P32" s="66" t="n">
        <x:f>IF(E32=1,1,0)</x:f>
        <x:v>0</x:v>
      </x:c>
      <x:c r="Q32" s="66" t="n">
        <x:v>0</x:v>
      </x:c>
      <x:c r="R32" s="67" t="n">
        <x:v>0</x:v>
      </x:c>
      <x:c r="S32" s="66" t="n">
        <x:v>0</x:v>
      </x:c>
      <x:c r="T32" s="66" t="n">
        <x:v>0</x:v>
      </x:c>
      <x:c r="U32" s="65" t="str">
        <x:f>IF(E32=1,IF(AND(N32=1,ABS(O32-M32)&lt;0.0000001,P32=1,Q32=0,R32=0,S32=0,T32=0,L32&lt;=Controls!$B$14),"OBLIGATED / ACTIVE","INVALID"),IF(AND(N32=1,O32=0,P32=0,Q32=0,R32=0,S32=0,T32=0),"RESERVED / HELD","INVALID"))</x:f>
        <x:v>RESERVED / HELD</x:v>
      </x:c>
      <x:c r="V32" s="66" t="n">
        <x:f>COUNTIFS($B$5:$B$94,B32)</x:f>
        <x:v>5</x:v>
      </x:c>
    </x:row>
    <x:row r="33">
      <x:c r="A33" s="65" t="str">
        <x:v>P029</x:v>
      </x:c>
      <x:c r="B33" s="65" t="str">
        <x:v>CT-C-C</x:v>
      </x:c>
      <x:c r="C33" s="65" t="str">
        <x:v>CT-C</x:v>
      </x:c>
      <x:c r="D33" s="65" t="str">
        <x:v>C</x:v>
      </x:c>
      <x:c r="E33" s="66" t="n">
        <x:v>2</x:v>
      </x:c>
      <x:c r="F33" s="66" t="str">
        <x:v>ARTICLE</x:v>
      </x:c>
      <x:c r="G33" s="65" t="str">
        <x:v>Destructive-article engineering</x:v>
      </x:c>
      <x:c r="H33" s="77" t="n">
        <x:v>0.25</x:v>
      </x:c>
      <x:c r="I33" s="66" t="n">
        <x:v>6</x:v>
      </x:c>
      <x:c r="J33" s="66" t="n">
        <x:v>14</x:v>
      </x:c>
      <x:c r="K33" s="66" t="n">
        <x:f>(E33-1)*Controls!$B$14+I33</x:f>
        <x:v>30</x:v>
      </x:c>
      <x:c r="L33" s="66" t="n">
        <x:f>K33+J33</x:f>
        <x:v>44</x:v>
      </x:c>
      <x:c r="M33" s="67" t="n">
        <x:f>H33*INDEX('Form Warrants'!$H$5:$H$22,MATCH(B33,'Form Warrants'!$A$5:$A$22,0))</x:f>
        <x:v>0.0064561685221745</x:v>
      </x:c>
      <x:c r="N33" s="66" t="n">
        <x:f>IF(M33&gt;0,1,0)</x:f>
        <x:v>1</x:v>
      </x:c>
      <x:c r="O33" s="67" t="n">
        <x:f>IF(E33=1,M33,0)</x:f>
        <x:v>0</x:v>
      </x:c>
      <x:c r="P33" s="66" t="n">
        <x:f>IF(E33=1,1,0)</x:f>
        <x:v>0</x:v>
      </x:c>
      <x:c r="Q33" s="66" t="n">
        <x:v>0</x:v>
      </x:c>
      <x:c r="R33" s="67" t="n">
        <x:v>0</x:v>
      </x:c>
      <x:c r="S33" s="66" t="n">
        <x:v>0</x:v>
      </x:c>
      <x:c r="T33" s="66" t="n">
        <x:v>0</x:v>
      </x:c>
      <x:c r="U33" s="65" t="str">
        <x:f>IF(E33=1,IF(AND(N33=1,ABS(O33-M33)&lt;0.0000001,P33=1,Q33=0,R33=0,S33=0,T33=0,L33&lt;=Controls!$B$14),"OBLIGATED / ACTIVE","INVALID"),IF(AND(N33=1,O33=0,P33=0,Q33=0,R33=0,S33=0,T33=0),"RESERVED / HELD","INVALID"))</x:f>
        <x:v>RESERVED / HELD</x:v>
      </x:c>
      <x:c r="V33" s="66" t="n">
        <x:f>COUNTIFS($B$5:$B$94,B33)</x:f>
        <x:v>5</x:v>
      </x:c>
    </x:row>
    <x:row r="34">
      <x:c r="A34" s="65" t="str">
        <x:v>P030</x:v>
      </x:c>
      <x:c r="B34" s="65" t="str">
        <x:v>CT-C-C</x:v>
      </x:c>
      <x:c r="C34" s="65" t="str">
        <x:v>CT-C</x:v>
      </x:c>
      <x:c r="D34" s="65" t="str">
        <x:v>C</x:v>
      </x:c>
      <x:c r="E34" s="66" t="n">
        <x:v>2</x:v>
      </x:c>
      <x:c r="F34" s="66" t="str">
        <x:v>REBUILD</x:v>
      </x:c>
      <x:c r="G34" s="65" t="str">
        <x:v>Cold reconstruction and challenge</x:v>
      </x:c>
      <x:c r="H34" s="77" t="n">
        <x:v>0.15</x:v>
      </x:c>
      <x:c r="I34" s="66" t="n">
        <x:v>18</x:v>
      </x:c>
      <x:c r="J34" s="66" t="n">
        <x:v>6</x:v>
      </x:c>
      <x:c r="K34" s="66" t="n">
        <x:f>(E34-1)*Controls!$B$14+I34</x:f>
        <x:v>42</x:v>
      </x:c>
      <x:c r="L34" s="66" t="n">
        <x:f>K34+J34</x:f>
        <x:v>48</x:v>
      </x:c>
      <x:c r="M34" s="67" t="n">
        <x:f>H34*INDEX('Form Warrants'!$H$5:$H$22,MATCH(B34,'Form Warrants'!$A$5:$A$22,0))</x:f>
        <x:v>0.0038737011133046996</x:v>
      </x:c>
      <x:c r="N34" s="66" t="n">
        <x:f>IF(M34&gt;0,1,0)</x:f>
        <x:v>1</x:v>
      </x:c>
      <x:c r="O34" s="67" t="n">
        <x:f>IF(E34=1,M34,0)</x:f>
        <x:v>0</x:v>
      </x:c>
      <x:c r="P34" s="66" t="n">
        <x:f>IF(E34=1,1,0)</x:f>
        <x:v>0</x:v>
      </x:c>
      <x:c r="Q34" s="66" t="n">
        <x:v>0</x:v>
      </x:c>
      <x:c r="R34" s="67" t="n">
        <x:v>0</x:v>
      </x:c>
      <x:c r="S34" s="66" t="n">
        <x:v>0</x:v>
      </x:c>
      <x:c r="T34" s="66" t="n">
        <x:v>0</x:v>
      </x:c>
      <x:c r="U34" s="65" t="str">
        <x:f>IF(E34=1,IF(AND(N34=1,ABS(O34-M34)&lt;0.0000001,P34=1,Q34=0,R34=0,S34=0,T34=0,L34&lt;=Controls!$B$14),"OBLIGATED / ACTIVE","INVALID"),IF(AND(N34=1,O34=0,P34=0,Q34=0,R34=0,S34=0,T34=0),"RESERVED / HELD","INVALID"))</x:f>
        <x:v>RESERVED / HELD</x:v>
      </x:c>
      <x:c r="V34" s="66" t="n">
        <x:f>COUNTIFS($B$5:$B$94,B34)</x:f>
        <x:v>5</x:v>
      </x:c>
    </x:row>
    <x:row r="35">
      <x:c r="A35" s="65" t="str">
        <x:v>P031</x:v>
      </x:c>
      <x:c r="B35" s="65" t="str">
        <x:v>HC-A-A</x:v>
      </x:c>
      <x:c r="C35" s="65" t="str">
        <x:v>HC-A</x:v>
      </x:c>
      <x:c r="D35" s="65" t="str">
        <x:v>A</x:v>
      </x:c>
      <x:c r="E35" s="66" t="n">
        <x:v>2</x:v>
      </x:c>
      <x:c r="F35" s="66" t="str">
        <x:v>METHOD</x:v>
      </x:c>
      <x:c r="G35" s="65" t="str">
        <x:v>Event method and denominator</x:v>
      </x:c>
      <x:c r="H35" s="77" t="n">
        <x:v>0.2</x:v>
      </x:c>
      <x:c r="I35" s="66" t="n">
        <x:v>0</x:v>
      </x:c>
      <x:c r="J35" s="66" t="n">
        <x:v>4</x:v>
      </x:c>
      <x:c r="K35" s="66" t="n">
        <x:f>(E35-1)*Controls!$B$14+I35</x:f>
        <x:v>24</x:v>
      </x:c>
      <x:c r="L35" s="66" t="n">
        <x:f>K35+J35</x:f>
        <x:v>28</x:v>
      </x:c>
      <x:c r="M35" s="67" t="n">
        <x:f>H35*INDEX('Form Warrants'!$H$5:$H$22,MATCH(B35,'Form Warrants'!$A$5:$A$22,0))</x:f>
        <x:v>0.0030722165406713298</x:v>
      </x:c>
      <x:c r="N35" s="66" t="n">
        <x:f>IF(M35&gt;0,1,0)</x:f>
        <x:v>1</x:v>
      </x:c>
      <x:c r="O35" s="67" t="n">
        <x:f>IF(E35=1,M35,0)</x:f>
        <x:v>0</x:v>
      </x:c>
      <x:c r="P35" s="66" t="n">
        <x:f>IF(E35=1,1,0)</x:f>
        <x:v>0</x:v>
      </x:c>
      <x:c r="Q35" s="66" t="n">
        <x:v>0</x:v>
      </x:c>
      <x:c r="R35" s="67" t="n">
        <x:v>0</x:v>
      </x:c>
      <x:c r="S35" s="66" t="n">
        <x:v>0</x:v>
      </x:c>
      <x:c r="T35" s="66" t="n">
        <x:v>0</x:v>
      </x:c>
      <x:c r="U35" s="65" t="str">
        <x:f>IF(E35=1,IF(AND(N35=1,ABS(O35-M35)&lt;0.0000001,P35=1,Q35=0,R35=0,S35=0,T35=0,L35&lt;=Controls!$B$14),"OBLIGATED / ACTIVE","INVALID"),IF(AND(N35=1,O35=0,P35=0,Q35=0,R35=0,S35=0,T35=0),"RESERVED / HELD","INVALID"))</x:f>
        <x:v>RESERVED / HELD</x:v>
      </x:c>
      <x:c r="V35" s="66" t="n">
        <x:f>COUNTIFS($B$5:$B$94,B35)</x:f>
        <x:v>5</x:v>
      </x:c>
    </x:row>
    <x:row r="36">
      <x:c r="A36" s="65" t="str">
        <x:v>P032</x:v>
      </x:c>
      <x:c r="B36" s="65" t="str">
        <x:v>HC-A-A</x:v>
      </x:c>
      <x:c r="C36" s="65" t="str">
        <x:v>HC-A</x:v>
      </x:c>
      <x:c r="D36" s="65" t="str">
        <x:v>A</x:v>
      </x:c>
      <x:c r="E36" s="66" t="n">
        <x:v>2</x:v>
      </x:c>
      <x:c r="F36" s="66" t="str">
        <x:v>MEASURE</x:v>
      </x:c>
      <x:c r="G36" s="65" t="str">
        <x:v>Instrumentation, custody and validity</x:v>
      </x:c>
      <x:c r="H36" s="77" t="n">
        <x:v>0.25</x:v>
      </x:c>
      <x:c r="I36" s="66" t="n">
        <x:v>2</x:v>
      </x:c>
      <x:c r="J36" s="66" t="n">
        <x:v>8</x:v>
      </x:c>
      <x:c r="K36" s="66" t="n">
        <x:f>(E36-1)*Controls!$B$14+I36</x:f>
        <x:v>26</x:v>
      </x:c>
      <x:c r="L36" s="66" t="n">
        <x:f>K36+J36</x:f>
        <x:v>34</x:v>
      </x:c>
      <x:c r="M36" s="67" t="n">
        <x:f>H36*INDEX('Form Warrants'!$H$5:$H$22,MATCH(B36,'Form Warrants'!$A$5:$A$22,0))</x:f>
        <x:v>0.003840270675839162</x:v>
      </x:c>
      <x:c r="N36" s="66" t="n">
        <x:f>IF(M36&gt;0,1,0)</x:f>
        <x:v>1</x:v>
      </x:c>
      <x:c r="O36" s="67" t="n">
        <x:f>IF(E36=1,M36,0)</x:f>
        <x:v>0</x:v>
      </x:c>
      <x:c r="P36" s="66" t="n">
        <x:f>IF(E36=1,1,0)</x:f>
        <x:v>0</x:v>
      </x:c>
      <x:c r="Q36" s="66" t="n">
        <x:v>0</x:v>
      </x:c>
      <x:c r="R36" s="67" t="n">
        <x:v>0</x:v>
      </x:c>
      <x:c r="S36" s="66" t="n">
        <x:v>0</x:v>
      </x:c>
      <x:c r="T36" s="66" t="n">
        <x:v>0</x:v>
      </x:c>
      <x:c r="U36" s="65" t="str">
        <x:f>IF(E36=1,IF(AND(N36=1,ABS(O36-M36)&lt;0.0000001,P36=1,Q36=0,R36=0,S36=0,T36=0,L36&lt;=Controls!$B$14),"OBLIGATED / ACTIVE","INVALID"),IF(AND(N36=1,O36=0,P36=0,Q36=0,R36=0,S36=0,T36=0),"RESERVED / HELD","INVALID"))</x:f>
        <x:v>RESERVED / HELD</x:v>
      </x:c>
      <x:c r="V36" s="66" t="n">
        <x:f>COUNTIFS($B$5:$B$94,B36)</x:f>
        <x:v>5</x:v>
      </x:c>
    </x:row>
    <x:row r="37">
      <x:c r="A37" s="65" t="str">
        <x:v>P033</x:v>
      </x:c>
      <x:c r="B37" s="65" t="str">
        <x:v>HC-A-A</x:v>
      </x:c>
      <x:c r="C37" s="65" t="str">
        <x:v>HC-A</x:v>
      </x:c>
      <x:c r="D37" s="65" t="str">
        <x:v>A</x:v>
      </x:c>
      <x:c r="E37" s="66" t="n">
        <x:v>2</x:v>
      </x:c>
      <x:c r="F37" s="66" t="str">
        <x:v>CIVIL</x:v>
      </x:c>
      <x:c r="G37" s="65" t="str">
        <x:v>Rights, receiver and residual closure</x:v>
      </x:c>
      <x:c r="H37" s="77" t="n">
        <x:v>0.15</x:v>
      </x:c>
      <x:c r="I37" s="66" t="n">
        <x:v>0</x:v>
      </x:c>
      <x:c r="J37" s="66" t="n">
        <x:v>8</x:v>
      </x:c>
      <x:c r="K37" s="66" t="n">
        <x:f>(E37-1)*Controls!$B$14+I37</x:f>
        <x:v>24</x:v>
      </x:c>
      <x:c r="L37" s="66" t="n">
        <x:f>K37+J37</x:f>
        <x:v>32</x:v>
      </x:c>
      <x:c r="M37" s="67" t="n">
        <x:f>H37*INDEX('Form Warrants'!$H$5:$H$22,MATCH(B37,'Form Warrants'!$A$5:$A$22,0))</x:f>
        <x:v>0.0023041624055034973</x:v>
      </x:c>
      <x:c r="N37" s="66" t="n">
        <x:f>IF(M37&gt;0,1,0)</x:f>
        <x:v>1</x:v>
      </x:c>
      <x:c r="O37" s="67" t="n">
        <x:f>IF(E37=1,M37,0)</x:f>
        <x:v>0</x:v>
      </x:c>
      <x:c r="P37" s="66" t="n">
        <x:f>IF(E37=1,1,0)</x:f>
        <x:v>0</x:v>
      </x:c>
      <x:c r="Q37" s="66" t="n">
        <x:v>0</x:v>
      </x:c>
      <x:c r="R37" s="67" t="n">
        <x:v>0</x:v>
      </x:c>
      <x:c r="S37" s="66" t="n">
        <x:v>0</x:v>
      </x:c>
      <x:c r="T37" s="66" t="n">
        <x:v>0</x:v>
      </x:c>
      <x:c r="U37" s="65" t="str">
        <x:f>IF(E37=1,IF(AND(N37=1,ABS(O37-M37)&lt;0.0000001,P37=1,Q37=0,R37=0,S37=0,T37=0,L37&lt;=Controls!$B$14),"OBLIGATED / ACTIVE","INVALID"),IF(AND(N37=1,O37=0,P37=0,Q37=0,R37=0,S37=0,T37=0),"RESERVED / HELD","INVALID"))</x:f>
        <x:v>RESERVED / HELD</x:v>
      </x:c>
      <x:c r="V37" s="66" t="n">
        <x:f>COUNTIFS($B$5:$B$94,B37)</x:f>
        <x:v>5</x:v>
      </x:c>
    </x:row>
    <x:row r="38">
      <x:c r="A38" s="65" t="str">
        <x:v>P034</x:v>
      </x:c>
      <x:c r="B38" s="65" t="str">
        <x:v>HC-A-A</x:v>
      </x:c>
      <x:c r="C38" s="65" t="str">
        <x:v>HC-A</x:v>
      </x:c>
      <x:c r="D38" s="65" t="str">
        <x:v>A</x:v>
      </x:c>
      <x:c r="E38" s="66" t="n">
        <x:v>2</x:v>
      </x:c>
      <x:c r="F38" s="66" t="str">
        <x:v>ARTICLE</x:v>
      </x:c>
      <x:c r="G38" s="65" t="str">
        <x:v>Destructive-article engineering</x:v>
      </x:c>
      <x:c r="H38" s="77" t="n">
        <x:v>0.25</x:v>
      </x:c>
      <x:c r="I38" s="66" t="n">
        <x:v>6</x:v>
      </x:c>
      <x:c r="J38" s="66" t="n">
        <x:v>14</x:v>
      </x:c>
      <x:c r="K38" s="66" t="n">
        <x:f>(E38-1)*Controls!$B$14+I38</x:f>
        <x:v>30</x:v>
      </x:c>
      <x:c r="L38" s="66" t="n">
        <x:f>K38+J38</x:f>
        <x:v>44</x:v>
      </x:c>
      <x:c r="M38" s="67" t="n">
        <x:f>H38*INDEX('Form Warrants'!$H$5:$H$22,MATCH(B38,'Form Warrants'!$A$5:$A$22,0))</x:f>
        <x:v>0.003840270675839162</x:v>
      </x:c>
      <x:c r="N38" s="66" t="n">
        <x:f>IF(M38&gt;0,1,0)</x:f>
        <x:v>1</x:v>
      </x:c>
      <x:c r="O38" s="67" t="n">
        <x:f>IF(E38=1,M38,0)</x:f>
        <x:v>0</x:v>
      </x:c>
      <x:c r="P38" s="66" t="n">
        <x:f>IF(E38=1,1,0)</x:f>
        <x:v>0</x:v>
      </x:c>
      <x:c r="Q38" s="66" t="n">
        <x:v>0</x:v>
      </x:c>
      <x:c r="R38" s="67" t="n">
        <x:v>0</x:v>
      </x:c>
      <x:c r="S38" s="66" t="n">
        <x:v>0</x:v>
      </x:c>
      <x:c r="T38" s="66" t="n">
        <x:v>0</x:v>
      </x:c>
      <x:c r="U38" s="65" t="str">
        <x:f>IF(E38=1,IF(AND(N38=1,ABS(O38-M38)&lt;0.0000001,P38=1,Q38=0,R38=0,S38=0,T38=0,L38&lt;=Controls!$B$14),"OBLIGATED / ACTIVE","INVALID"),IF(AND(N38=1,O38=0,P38=0,Q38=0,R38=0,S38=0,T38=0),"RESERVED / HELD","INVALID"))</x:f>
        <x:v>RESERVED / HELD</x:v>
      </x:c>
      <x:c r="V38" s="66" t="n">
        <x:f>COUNTIFS($B$5:$B$94,B38)</x:f>
        <x:v>5</x:v>
      </x:c>
    </x:row>
    <x:row r="39">
      <x:c r="A39" s="65" t="str">
        <x:v>P035</x:v>
      </x:c>
      <x:c r="B39" s="65" t="str">
        <x:v>HC-A-A</x:v>
      </x:c>
      <x:c r="C39" s="65" t="str">
        <x:v>HC-A</x:v>
      </x:c>
      <x:c r="D39" s="65" t="str">
        <x:v>A</x:v>
      </x:c>
      <x:c r="E39" s="66" t="n">
        <x:v>2</x:v>
      </x:c>
      <x:c r="F39" s="66" t="str">
        <x:v>REBUILD</x:v>
      </x:c>
      <x:c r="G39" s="65" t="str">
        <x:v>Cold reconstruction and challenge</x:v>
      </x:c>
      <x:c r="H39" s="77" t="n">
        <x:v>0.15</x:v>
      </x:c>
      <x:c r="I39" s="66" t="n">
        <x:v>18</x:v>
      </x:c>
      <x:c r="J39" s="66" t="n">
        <x:v>6</x:v>
      </x:c>
      <x:c r="K39" s="66" t="n">
        <x:f>(E39-1)*Controls!$B$14+I39</x:f>
        <x:v>42</x:v>
      </x:c>
      <x:c r="L39" s="66" t="n">
        <x:f>K39+J39</x:f>
        <x:v>48</x:v>
      </x:c>
      <x:c r="M39" s="67" t="n">
        <x:f>H39*INDEX('Form Warrants'!$H$5:$H$22,MATCH(B39,'Form Warrants'!$A$5:$A$22,0))</x:f>
        <x:v>0.0023041624055034973</x:v>
      </x:c>
      <x:c r="N39" s="66" t="n">
        <x:f>IF(M39&gt;0,1,0)</x:f>
        <x:v>1</x:v>
      </x:c>
      <x:c r="O39" s="67" t="n">
        <x:f>IF(E39=1,M39,0)</x:f>
        <x:v>0</x:v>
      </x:c>
      <x:c r="P39" s="66" t="n">
        <x:f>IF(E39=1,1,0)</x:f>
        <x:v>0</x:v>
      </x:c>
      <x:c r="Q39" s="66" t="n">
        <x:v>0</x:v>
      </x:c>
      <x:c r="R39" s="67" t="n">
        <x:v>0</x:v>
      </x:c>
      <x:c r="S39" s="66" t="n">
        <x:v>0</x:v>
      </x:c>
      <x:c r="T39" s="66" t="n">
        <x:v>0</x:v>
      </x:c>
      <x:c r="U39" s="65" t="str">
        <x:f>IF(E39=1,IF(AND(N39=1,ABS(O39-M39)&lt;0.0000001,P39=1,Q39=0,R39=0,S39=0,T39=0,L39&lt;=Controls!$B$14),"OBLIGATED / ACTIVE","INVALID"),IF(AND(N39=1,O39=0,P39=0,Q39=0,R39=0,S39=0,T39=0),"RESERVED / HELD","INVALID"))</x:f>
        <x:v>RESERVED / HELD</x:v>
      </x:c>
      <x:c r="V39" s="66" t="n">
        <x:f>COUNTIFS($B$5:$B$94,B39)</x:f>
        <x:v>5</x:v>
      </x:c>
    </x:row>
    <x:row r="40">
      <x:c r="A40" s="65" t="str">
        <x:v>P036</x:v>
      </x:c>
      <x:c r="B40" s="65" t="str">
        <x:v>HC-A-B</x:v>
      </x:c>
      <x:c r="C40" s="65" t="str">
        <x:v>HC-A</x:v>
      </x:c>
      <x:c r="D40" s="65" t="str">
        <x:v>B</x:v>
      </x:c>
      <x:c r="E40" s="66" t="n">
        <x:v>3</x:v>
      </x:c>
      <x:c r="F40" s="66" t="str">
        <x:v>METHOD</x:v>
      </x:c>
      <x:c r="G40" s="65" t="str">
        <x:v>Event method and denominator</x:v>
      </x:c>
      <x:c r="H40" s="77" t="n">
        <x:v>0.2</x:v>
      </x:c>
      <x:c r="I40" s="66" t="n">
        <x:v>0</x:v>
      </x:c>
      <x:c r="J40" s="66" t="n">
        <x:v>4</x:v>
      </x:c>
      <x:c r="K40" s="66" t="n">
        <x:f>(E40-1)*Controls!$B$14+I40</x:f>
        <x:v>48</x:v>
      </x:c>
      <x:c r="L40" s="66" t="n">
        <x:f>K40+J40</x:f>
        <x:v>52</x:v>
      </x:c>
      <x:c r="M40" s="67" t="n">
        <x:f>H40*INDEX('Form Warrants'!$H$5:$H$22,MATCH(B40,'Form Warrants'!$A$5:$A$22,0))</x:f>
        <x:v>0.0030722165406713298</x:v>
      </x:c>
      <x:c r="N40" s="66" t="n">
        <x:f>IF(M40&gt;0,1,0)</x:f>
        <x:v>1</x:v>
      </x:c>
      <x:c r="O40" s="67" t="n">
        <x:f>IF(E40=1,M40,0)</x:f>
        <x:v>0</x:v>
      </x:c>
      <x:c r="P40" s="66" t="n">
        <x:f>IF(E40=1,1,0)</x:f>
        <x:v>0</x:v>
      </x:c>
      <x:c r="Q40" s="66" t="n">
        <x:v>0</x:v>
      </x:c>
      <x:c r="R40" s="67" t="n">
        <x:v>0</x:v>
      </x:c>
      <x:c r="S40" s="66" t="n">
        <x:v>0</x:v>
      </x:c>
      <x:c r="T40" s="66" t="n">
        <x:v>0</x:v>
      </x:c>
      <x:c r="U40" s="65" t="str">
        <x:f>IF(E40=1,IF(AND(N40=1,ABS(O40-M40)&lt;0.0000001,P40=1,Q40=0,R40=0,S40=0,T40=0,L40&lt;=Controls!$B$14),"OBLIGATED / ACTIVE","INVALID"),IF(AND(N40=1,O40=0,P40=0,Q40=0,R40=0,S40=0,T40=0),"RESERVED / HELD","INVALID"))</x:f>
        <x:v>RESERVED / HELD</x:v>
      </x:c>
      <x:c r="V40" s="66" t="n">
        <x:f>COUNTIFS($B$5:$B$94,B40)</x:f>
        <x:v>5</x:v>
      </x:c>
    </x:row>
    <x:row r="41">
      <x:c r="A41" s="65" t="str">
        <x:v>P037</x:v>
      </x:c>
      <x:c r="B41" s="65" t="str">
        <x:v>HC-A-B</x:v>
      </x:c>
      <x:c r="C41" s="65" t="str">
        <x:v>HC-A</x:v>
      </x:c>
      <x:c r="D41" s="65" t="str">
        <x:v>B</x:v>
      </x:c>
      <x:c r="E41" s="66" t="n">
        <x:v>3</x:v>
      </x:c>
      <x:c r="F41" s="66" t="str">
        <x:v>MEASURE</x:v>
      </x:c>
      <x:c r="G41" s="65" t="str">
        <x:v>Instrumentation, custody and validity</x:v>
      </x:c>
      <x:c r="H41" s="77" t="n">
        <x:v>0.25</x:v>
      </x:c>
      <x:c r="I41" s="66" t="n">
        <x:v>2</x:v>
      </x:c>
      <x:c r="J41" s="66" t="n">
        <x:v>8</x:v>
      </x:c>
      <x:c r="K41" s="66" t="n">
        <x:f>(E41-1)*Controls!$B$14+I41</x:f>
        <x:v>50</x:v>
      </x:c>
      <x:c r="L41" s="66" t="n">
        <x:f>K41+J41</x:f>
        <x:v>58</x:v>
      </x:c>
      <x:c r="M41" s="67" t="n">
        <x:f>H41*INDEX('Form Warrants'!$H$5:$H$22,MATCH(B41,'Form Warrants'!$A$5:$A$22,0))</x:f>
        <x:v>0.003840270675839162</x:v>
      </x:c>
      <x:c r="N41" s="66" t="n">
        <x:f>IF(M41&gt;0,1,0)</x:f>
        <x:v>1</x:v>
      </x:c>
      <x:c r="O41" s="67" t="n">
        <x:f>IF(E41=1,M41,0)</x:f>
        <x:v>0</x:v>
      </x:c>
      <x:c r="P41" s="66" t="n">
        <x:f>IF(E41=1,1,0)</x:f>
        <x:v>0</x:v>
      </x:c>
      <x:c r="Q41" s="66" t="n">
        <x:v>0</x:v>
      </x:c>
      <x:c r="R41" s="67" t="n">
        <x:v>0</x:v>
      </x:c>
      <x:c r="S41" s="66" t="n">
        <x:v>0</x:v>
      </x:c>
      <x:c r="T41" s="66" t="n">
        <x:v>0</x:v>
      </x:c>
      <x:c r="U41" s="65" t="str">
        <x:f>IF(E41=1,IF(AND(N41=1,ABS(O41-M41)&lt;0.0000001,P41=1,Q41=0,R41=0,S41=0,T41=0,L41&lt;=Controls!$B$14),"OBLIGATED / ACTIVE","INVALID"),IF(AND(N41=1,O41=0,P41=0,Q41=0,R41=0,S41=0,T41=0),"RESERVED / HELD","INVALID"))</x:f>
        <x:v>RESERVED / HELD</x:v>
      </x:c>
      <x:c r="V41" s="66" t="n">
        <x:f>COUNTIFS($B$5:$B$94,B41)</x:f>
        <x:v>5</x:v>
      </x:c>
    </x:row>
    <x:row r="42">
      <x:c r="A42" s="65" t="str">
        <x:v>P038</x:v>
      </x:c>
      <x:c r="B42" s="65" t="str">
        <x:v>HC-A-B</x:v>
      </x:c>
      <x:c r="C42" s="65" t="str">
        <x:v>HC-A</x:v>
      </x:c>
      <x:c r="D42" s="65" t="str">
        <x:v>B</x:v>
      </x:c>
      <x:c r="E42" s="66" t="n">
        <x:v>3</x:v>
      </x:c>
      <x:c r="F42" s="66" t="str">
        <x:v>CIVIL</x:v>
      </x:c>
      <x:c r="G42" s="65" t="str">
        <x:v>Rights, receiver and residual closure</x:v>
      </x:c>
      <x:c r="H42" s="77" t="n">
        <x:v>0.15</x:v>
      </x:c>
      <x:c r="I42" s="66" t="n">
        <x:v>0</x:v>
      </x:c>
      <x:c r="J42" s="66" t="n">
        <x:v>8</x:v>
      </x:c>
      <x:c r="K42" s="66" t="n">
        <x:f>(E42-1)*Controls!$B$14+I42</x:f>
        <x:v>48</x:v>
      </x:c>
      <x:c r="L42" s="66" t="n">
        <x:f>K42+J42</x:f>
        <x:v>56</x:v>
      </x:c>
      <x:c r="M42" s="67" t="n">
        <x:f>H42*INDEX('Form Warrants'!$H$5:$H$22,MATCH(B42,'Form Warrants'!$A$5:$A$22,0))</x:f>
        <x:v>0.0023041624055034973</x:v>
      </x:c>
      <x:c r="N42" s="66" t="n">
        <x:f>IF(M42&gt;0,1,0)</x:f>
        <x:v>1</x:v>
      </x:c>
      <x:c r="O42" s="67" t="n">
        <x:f>IF(E42=1,M42,0)</x:f>
        <x:v>0</x:v>
      </x:c>
      <x:c r="P42" s="66" t="n">
        <x:f>IF(E42=1,1,0)</x:f>
        <x:v>0</x:v>
      </x:c>
      <x:c r="Q42" s="66" t="n">
        <x:v>0</x:v>
      </x:c>
      <x:c r="R42" s="67" t="n">
        <x:v>0</x:v>
      </x:c>
      <x:c r="S42" s="66" t="n">
        <x:v>0</x:v>
      </x:c>
      <x:c r="T42" s="66" t="n">
        <x:v>0</x:v>
      </x:c>
      <x:c r="U42" s="65" t="str">
        <x:f>IF(E42=1,IF(AND(N42=1,ABS(O42-M42)&lt;0.0000001,P42=1,Q42=0,R42=0,S42=0,T42=0,L42&lt;=Controls!$B$14),"OBLIGATED / ACTIVE","INVALID"),IF(AND(N42=1,O42=0,P42=0,Q42=0,R42=0,S42=0,T42=0),"RESERVED / HELD","INVALID"))</x:f>
        <x:v>RESERVED / HELD</x:v>
      </x:c>
      <x:c r="V42" s="66" t="n">
        <x:f>COUNTIFS($B$5:$B$94,B42)</x:f>
        <x:v>5</x:v>
      </x:c>
    </x:row>
    <x:row r="43">
      <x:c r="A43" s="65" t="str">
        <x:v>P039</x:v>
      </x:c>
      <x:c r="B43" s="65" t="str">
        <x:v>HC-A-B</x:v>
      </x:c>
      <x:c r="C43" s="65" t="str">
        <x:v>HC-A</x:v>
      </x:c>
      <x:c r="D43" s="65" t="str">
        <x:v>B</x:v>
      </x:c>
      <x:c r="E43" s="66" t="n">
        <x:v>3</x:v>
      </x:c>
      <x:c r="F43" s="66" t="str">
        <x:v>ARTICLE</x:v>
      </x:c>
      <x:c r="G43" s="65" t="str">
        <x:v>Destructive-article engineering</x:v>
      </x:c>
      <x:c r="H43" s="77" t="n">
        <x:v>0.25</x:v>
      </x:c>
      <x:c r="I43" s="66" t="n">
        <x:v>6</x:v>
      </x:c>
      <x:c r="J43" s="66" t="n">
        <x:v>14</x:v>
      </x:c>
      <x:c r="K43" s="66" t="n">
        <x:f>(E43-1)*Controls!$B$14+I43</x:f>
        <x:v>54</x:v>
      </x:c>
      <x:c r="L43" s="66" t="n">
        <x:f>K43+J43</x:f>
        <x:v>68</x:v>
      </x:c>
      <x:c r="M43" s="67" t="n">
        <x:f>H43*INDEX('Form Warrants'!$H$5:$H$22,MATCH(B43,'Form Warrants'!$A$5:$A$22,0))</x:f>
        <x:v>0.003840270675839162</x:v>
      </x:c>
      <x:c r="N43" s="66" t="n">
        <x:f>IF(M43&gt;0,1,0)</x:f>
        <x:v>1</x:v>
      </x:c>
      <x:c r="O43" s="67" t="n">
        <x:f>IF(E43=1,M43,0)</x:f>
        <x:v>0</x:v>
      </x:c>
      <x:c r="P43" s="66" t="n">
        <x:f>IF(E43=1,1,0)</x:f>
        <x:v>0</x:v>
      </x:c>
      <x:c r="Q43" s="66" t="n">
        <x:v>0</x:v>
      </x:c>
      <x:c r="R43" s="67" t="n">
        <x:v>0</x:v>
      </x:c>
      <x:c r="S43" s="66" t="n">
        <x:v>0</x:v>
      </x:c>
      <x:c r="T43" s="66" t="n">
        <x:v>0</x:v>
      </x:c>
      <x:c r="U43" s="65" t="str">
        <x:f>IF(E43=1,IF(AND(N43=1,ABS(O43-M43)&lt;0.0000001,P43=1,Q43=0,R43=0,S43=0,T43=0,L43&lt;=Controls!$B$14),"OBLIGATED / ACTIVE","INVALID"),IF(AND(N43=1,O43=0,P43=0,Q43=0,R43=0,S43=0,T43=0),"RESERVED / HELD","INVALID"))</x:f>
        <x:v>RESERVED / HELD</x:v>
      </x:c>
      <x:c r="V43" s="66" t="n">
        <x:f>COUNTIFS($B$5:$B$94,B43)</x:f>
        <x:v>5</x:v>
      </x:c>
    </x:row>
    <x:row r="44">
      <x:c r="A44" s="65" t="str">
        <x:v>P040</x:v>
      </x:c>
      <x:c r="B44" s="65" t="str">
        <x:v>HC-A-B</x:v>
      </x:c>
      <x:c r="C44" s="65" t="str">
        <x:v>HC-A</x:v>
      </x:c>
      <x:c r="D44" s="65" t="str">
        <x:v>B</x:v>
      </x:c>
      <x:c r="E44" s="66" t="n">
        <x:v>3</x:v>
      </x:c>
      <x:c r="F44" s="66" t="str">
        <x:v>REBUILD</x:v>
      </x:c>
      <x:c r="G44" s="65" t="str">
        <x:v>Cold reconstruction and challenge</x:v>
      </x:c>
      <x:c r="H44" s="77" t="n">
        <x:v>0.15</x:v>
      </x:c>
      <x:c r="I44" s="66" t="n">
        <x:v>18</x:v>
      </x:c>
      <x:c r="J44" s="66" t="n">
        <x:v>6</x:v>
      </x:c>
      <x:c r="K44" s="66" t="n">
        <x:f>(E44-1)*Controls!$B$14+I44</x:f>
        <x:v>66</x:v>
      </x:c>
      <x:c r="L44" s="66" t="n">
        <x:f>K44+J44</x:f>
        <x:v>72</x:v>
      </x:c>
      <x:c r="M44" s="67" t="n">
        <x:f>H44*INDEX('Form Warrants'!$H$5:$H$22,MATCH(B44,'Form Warrants'!$A$5:$A$22,0))</x:f>
        <x:v>0.0023041624055034973</x:v>
      </x:c>
      <x:c r="N44" s="66" t="n">
        <x:f>IF(M44&gt;0,1,0)</x:f>
        <x:v>1</x:v>
      </x:c>
      <x:c r="O44" s="67" t="n">
        <x:f>IF(E44=1,M44,0)</x:f>
        <x:v>0</x:v>
      </x:c>
      <x:c r="P44" s="66" t="n">
        <x:f>IF(E44=1,1,0)</x:f>
        <x:v>0</x:v>
      </x:c>
      <x:c r="Q44" s="66" t="n">
        <x:v>0</x:v>
      </x:c>
      <x:c r="R44" s="67" t="n">
        <x:v>0</x:v>
      </x:c>
      <x:c r="S44" s="66" t="n">
        <x:v>0</x:v>
      </x:c>
      <x:c r="T44" s="66" t="n">
        <x:v>0</x:v>
      </x:c>
      <x:c r="U44" s="65" t="str">
        <x:f>IF(E44=1,IF(AND(N44=1,ABS(O44-M44)&lt;0.0000001,P44=1,Q44=0,R44=0,S44=0,T44=0,L44&lt;=Controls!$B$14),"OBLIGATED / ACTIVE","INVALID"),IF(AND(N44=1,O44=0,P44=0,Q44=0,R44=0,S44=0,T44=0),"RESERVED / HELD","INVALID"))</x:f>
        <x:v>RESERVED / HELD</x:v>
      </x:c>
      <x:c r="V44" s="66" t="n">
        <x:f>COUNTIFS($B$5:$B$94,B44)</x:f>
        <x:v>5</x:v>
      </x:c>
    </x:row>
    <x:row r="45">
      <x:c r="A45" s="65" t="str">
        <x:v>P041</x:v>
      </x:c>
      <x:c r="B45" s="65" t="str">
        <x:v>HC-A-C</x:v>
      </x:c>
      <x:c r="C45" s="65" t="str">
        <x:v>HC-A</x:v>
      </x:c>
      <x:c r="D45" s="65" t="str">
        <x:v>C</x:v>
      </x:c>
      <x:c r="E45" s="66" t="n">
        <x:v>1</x:v>
      </x:c>
      <x:c r="F45" s="66" t="str">
        <x:v>METHOD</x:v>
      </x:c>
      <x:c r="G45" s="65" t="str">
        <x:v>Event method and denominator</x:v>
      </x:c>
      <x:c r="H45" s="77" t="n">
        <x:v>0.2</x:v>
      </x:c>
      <x:c r="I45" s="66" t="n">
        <x:v>0</x:v>
      </x:c>
      <x:c r="J45" s="66" t="n">
        <x:v>4</x:v>
      </x:c>
      <x:c r="K45" s="66" t="n">
        <x:f>(E45-1)*Controls!$B$14+I45</x:f>
        <x:v>0</x:v>
      </x:c>
      <x:c r="L45" s="66" t="n">
        <x:f>K45+J45</x:f>
        <x:v>4</x:v>
      </x:c>
      <x:c r="M45" s="67" t="n">
        <x:f>H45*INDEX('Form Warrants'!$H$5:$H$22,MATCH(B45,'Form Warrants'!$A$5:$A$22,0))</x:f>
        <x:v>0.0030722165406713298</x:v>
      </x:c>
      <x:c r="N45" s="66" t="n">
        <x:f>IF(M45&gt;0,1,0)</x:f>
        <x:v>1</x:v>
      </x:c>
      <x:c r="O45" s="67" t="n">
        <x:f>IF(E45=1,M45,0)</x:f>
        <x:v>0.0030722165406713298</x:v>
      </x:c>
      <x:c r="P45" s="66" t="n">
        <x:f>IF(E45=1,1,0)</x:f>
        <x:v>1</x:v>
      </x:c>
      <x:c r="Q45" s="66" t="n">
        <x:v>0</x:v>
      </x:c>
      <x:c r="R45" s="67" t="n">
        <x:v>0</x:v>
      </x:c>
      <x:c r="S45" s="66" t="n">
        <x:v>0</x:v>
      </x:c>
      <x:c r="T45" s="66" t="n">
        <x:v>0</x:v>
      </x:c>
      <x:c r="U45" s="65" t="str">
        <x:f>IF(E45=1,IF(AND(N45=1,ABS(O45-M45)&lt;0.0000001,P45=1,Q45=0,R45=0,S45=0,T45=0,L45&lt;=Controls!$B$14),"OBLIGATED / ACTIVE","INVALID"),IF(AND(N45=1,O45=0,P45=0,Q45=0,R45=0,S45=0,T45=0),"RESERVED / HELD","INVALID"))</x:f>
        <x:v>OBLIGATED / ACTIVE</x:v>
      </x:c>
      <x:c r="V45" s="66" t="n">
        <x:f>COUNTIFS($B$5:$B$94,B45)</x:f>
        <x:v>5</x:v>
      </x:c>
    </x:row>
    <x:row r="46">
      <x:c r="A46" s="65" t="str">
        <x:v>P042</x:v>
      </x:c>
      <x:c r="B46" s="65" t="str">
        <x:v>HC-A-C</x:v>
      </x:c>
      <x:c r="C46" s="65" t="str">
        <x:v>HC-A</x:v>
      </x:c>
      <x:c r="D46" s="65" t="str">
        <x:v>C</x:v>
      </x:c>
      <x:c r="E46" s="66" t="n">
        <x:v>1</x:v>
      </x:c>
      <x:c r="F46" s="66" t="str">
        <x:v>MEASURE</x:v>
      </x:c>
      <x:c r="G46" s="65" t="str">
        <x:v>Instrumentation, custody and validity</x:v>
      </x:c>
      <x:c r="H46" s="77" t="n">
        <x:v>0.25</x:v>
      </x:c>
      <x:c r="I46" s="66" t="n">
        <x:v>2</x:v>
      </x:c>
      <x:c r="J46" s="66" t="n">
        <x:v>8</x:v>
      </x:c>
      <x:c r="K46" s="66" t="n">
        <x:f>(E46-1)*Controls!$B$14+I46</x:f>
        <x:v>2</x:v>
      </x:c>
      <x:c r="L46" s="66" t="n">
        <x:f>K46+J46</x:f>
        <x:v>10</x:v>
      </x:c>
      <x:c r="M46" s="67" t="n">
        <x:f>H46*INDEX('Form Warrants'!$H$5:$H$22,MATCH(B46,'Form Warrants'!$A$5:$A$22,0))</x:f>
        <x:v>0.003840270675839162</x:v>
      </x:c>
      <x:c r="N46" s="66" t="n">
        <x:f>IF(M46&gt;0,1,0)</x:f>
        <x:v>1</x:v>
      </x:c>
      <x:c r="O46" s="67" t="n">
        <x:f>IF(E46=1,M46,0)</x:f>
        <x:v>0.003840270675839162</x:v>
      </x:c>
      <x:c r="P46" s="66" t="n">
        <x:f>IF(E46=1,1,0)</x:f>
        <x:v>1</x:v>
      </x:c>
      <x:c r="Q46" s="66" t="n">
        <x:v>0</x:v>
      </x:c>
      <x:c r="R46" s="67" t="n">
        <x:v>0</x:v>
      </x:c>
      <x:c r="S46" s="66" t="n">
        <x:v>0</x:v>
      </x:c>
      <x:c r="T46" s="66" t="n">
        <x:v>0</x:v>
      </x:c>
      <x:c r="U46" s="65" t="str">
        <x:f>IF(E46=1,IF(AND(N46=1,ABS(O46-M46)&lt;0.0000001,P46=1,Q46=0,R46=0,S46=0,T46=0,L46&lt;=Controls!$B$14),"OBLIGATED / ACTIVE","INVALID"),IF(AND(N46=1,O46=0,P46=0,Q46=0,R46=0,S46=0,T46=0),"RESERVED / HELD","INVALID"))</x:f>
        <x:v>OBLIGATED / ACTIVE</x:v>
      </x:c>
      <x:c r="V46" s="66" t="n">
        <x:f>COUNTIFS($B$5:$B$94,B46)</x:f>
        <x:v>5</x:v>
      </x:c>
    </x:row>
    <x:row r="47">
      <x:c r="A47" s="65" t="str">
        <x:v>P043</x:v>
      </x:c>
      <x:c r="B47" s="65" t="str">
        <x:v>HC-A-C</x:v>
      </x:c>
      <x:c r="C47" s="65" t="str">
        <x:v>HC-A</x:v>
      </x:c>
      <x:c r="D47" s="65" t="str">
        <x:v>C</x:v>
      </x:c>
      <x:c r="E47" s="66" t="n">
        <x:v>1</x:v>
      </x:c>
      <x:c r="F47" s="66" t="str">
        <x:v>CIVIL</x:v>
      </x:c>
      <x:c r="G47" s="65" t="str">
        <x:v>Rights, receiver and residual closure</x:v>
      </x:c>
      <x:c r="H47" s="77" t="n">
        <x:v>0.15</x:v>
      </x:c>
      <x:c r="I47" s="66" t="n">
        <x:v>0</x:v>
      </x:c>
      <x:c r="J47" s="66" t="n">
        <x:v>8</x:v>
      </x:c>
      <x:c r="K47" s="66" t="n">
        <x:f>(E47-1)*Controls!$B$14+I47</x:f>
        <x:v>0</x:v>
      </x:c>
      <x:c r="L47" s="66" t="n">
        <x:f>K47+J47</x:f>
        <x:v>8</x:v>
      </x:c>
      <x:c r="M47" s="67" t="n">
        <x:f>H47*INDEX('Form Warrants'!$H$5:$H$22,MATCH(B47,'Form Warrants'!$A$5:$A$22,0))</x:f>
        <x:v>0.0023041624055034973</x:v>
      </x:c>
      <x:c r="N47" s="66" t="n">
        <x:f>IF(M47&gt;0,1,0)</x:f>
        <x:v>1</x:v>
      </x:c>
      <x:c r="O47" s="67" t="n">
        <x:f>IF(E47=1,M47,0)</x:f>
        <x:v>0.0023041624055034973</x:v>
      </x:c>
      <x:c r="P47" s="66" t="n">
        <x:f>IF(E47=1,1,0)</x:f>
        <x:v>1</x:v>
      </x:c>
      <x:c r="Q47" s="66" t="n">
        <x:v>0</x:v>
      </x:c>
      <x:c r="R47" s="67" t="n">
        <x:v>0</x:v>
      </x:c>
      <x:c r="S47" s="66" t="n">
        <x:v>0</x:v>
      </x:c>
      <x:c r="T47" s="66" t="n">
        <x:v>0</x:v>
      </x:c>
      <x:c r="U47" s="65" t="str">
        <x:f>IF(E47=1,IF(AND(N47=1,ABS(O47-M47)&lt;0.0000001,P47=1,Q47=0,R47=0,S47=0,T47=0,L47&lt;=Controls!$B$14),"OBLIGATED / ACTIVE","INVALID"),IF(AND(N47=1,O47=0,P47=0,Q47=0,R47=0,S47=0,T47=0),"RESERVED / HELD","INVALID"))</x:f>
        <x:v>OBLIGATED / ACTIVE</x:v>
      </x:c>
      <x:c r="V47" s="66" t="n">
        <x:f>COUNTIFS($B$5:$B$94,B47)</x:f>
        <x:v>5</x:v>
      </x:c>
    </x:row>
    <x:row r="48">
      <x:c r="A48" s="65" t="str">
        <x:v>P044</x:v>
      </x:c>
      <x:c r="B48" s="65" t="str">
        <x:v>HC-A-C</x:v>
      </x:c>
      <x:c r="C48" s="65" t="str">
        <x:v>HC-A</x:v>
      </x:c>
      <x:c r="D48" s="65" t="str">
        <x:v>C</x:v>
      </x:c>
      <x:c r="E48" s="66" t="n">
        <x:v>1</x:v>
      </x:c>
      <x:c r="F48" s="66" t="str">
        <x:v>ARTICLE</x:v>
      </x:c>
      <x:c r="G48" s="65" t="str">
        <x:v>Destructive-article engineering</x:v>
      </x:c>
      <x:c r="H48" s="77" t="n">
        <x:v>0.25</x:v>
      </x:c>
      <x:c r="I48" s="66" t="n">
        <x:v>6</x:v>
      </x:c>
      <x:c r="J48" s="66" t="n">
        <x:v>14</x:v>
      </x:c>
      <x:c r="K48" s="66" t="n">
        <x:f>(E48-1)*Controls!$B$14+I48</x:f>
        <x:v>6</x:v>
      </x:c>
      <x:c r="L48" s="66" t="n">
        <x:f>K48+J48</x:f>
        <x:v>20</x:v>
      </x:c>
      <x:c r="M48" s="67" t="n">
        <x:f>H48*INDEX('Form Warrants'!$H$5:$H$22,MATCH(B48,'Form Warrants'!$A$5:$A$22,0))</x:f>
        <x:v>0.003840270675839162</x:v>
      </x:c>
      <x:c r="N48" s="66" t="n">
        <x:f>IF(M48&gt;0,1,0)</x:f>
        <x:v>1</x:v>
      </x:c>
      <x:c r="O48" s="67" t="n">
        <x:f>IF(E48=1,M48,0)</x:f>
        <x:v>0.003840270675839162</x:v>
      </x:c>
      <x:c r="P48" s="66" t="n">
        <x:f>IF(E48=1,1,0)</x:f>
        <x:v>1</x:v>
      </x:c>
      <x:c r="Q48" s="66" t="n">
        <x:v>0</x:v>
      </x:c>
      <x:c r="R48" s="67" t="n">
        <x:v>0</x:v>
      </x:c>
      <x:c r="S48" s="66" t="n">
        <x:v>0</x:v>
      </x:c>
      <x:c r="T48" s="66" t="n">
        <x:v>0</x:v>
      </x:c>
      <x:c r="U48" s="65" t="str">
        <x:f>IF(E48=1,IF(AND(N48=1,ABS(O48-M48)&lt;0.0000001,P48=1,Q48=0,R48=0,S48=0,T48=0,L48&lt;=Controls!$B$14),"OBLIGATED / ACTIVE","INVALID"),IF(AND(N48=1,O48=0,P48=0,Q48=0,R48=0,S48=0,T48=0),"RESERVED / HELD","INVALID"))</x:f>
        <x:v>OBLIGATED / ACTIVE</x:v>
      </x:c>
      <x:c r="V48" s="66" t="n">
        <x:f>COUNTIFS($B$5:$B$94,B48)</x:f>
        <x:v>5</x:v>
      </x:c>
    </x:row>
    <x:row r="49">
      <x:c r="A49" s="65" t="str">
        <x:v>P045</x:v>
      </x:c>
      <x:c r="B49" s="65" t="str">
        <x:v>HC-A-C</x:v>
      </x:c>
      <x:c r="C49" s="65" t="str">
        <x:v>HC-A</x:v>
      </x:c>
      <x:c r="D49" s="65" t="str">
        <x:v>C</x:v>
      </x:c>
      <x:c r="E49" s="66" t="n">
        <x:v>1</x:v>
      </x:c>
      <x:c r="F49" s="66" t="str">
        <x:v>REBUILD</x:v>
      </x:c>
      <x:c r="G49" s="65" t="str">
        <x:v>Cold reconstruction and challenge</x:v>
      </x:c>
      <x:c r="H49" s="77" t="n">
        <x:v>0.15</x:v>
      </x:c>
      <x:c r="I49" s="66" t="n">
        <x:v>18</x:v>
      </x:c>
      <x:c r="J49" s="66" t="n">
        <x:v>6</x:v>
      </x:c>
      <x:c r="K49" s="66" t="n">
        <x:f>(E49-1)*Controls!$B$14+I49</x:f>
        <x:v>18</x:v>
      </x:c>
      <x:c r="L49" s="66" t="n">
        <x:f>K49+J49</x:f>
        <x:v>24</x:v>
      </x:c>
      <x:c r="M49" s="67" t="n">
        <x:f>H49*INDEX('Form Warrants'!$H$5:$H$22,MATCH(B49,'Form Warrants'!$A$5:$A$22,0))</x:f>
        <x:v>0.0023041624055034973</x:v>
      </x:c>
      <x:c r="N49" s="66" t="n">
        <x:f>IF(M49&gt;0,1,0)</x:f>
        <x:v>1</x:v>
      </x:c>
      <x:c r="O49" s="67" t="n">
        <x:f>IF(E49=1,M49,0)</x:f>
        <x:v>0.0023041624055034973</x:v>
      </x:c>
      <x:c r="P49" s="66" t="n">
        <x:f>IF(E49=1,1,0)</x:f>
        <x:v>1</x:v>
      </x:c>
      <x:c r="Q49" s="66" t="n">
        <x:v>0</x:v>
      </x:c>
      <x:c r="R49" s="67" t="n">
        <x:v>0</x:v>
      </x:c>
      <x:c r="S49" s="66" t="n">
        <x:v>0</x:v>
      </x:c>
      <x:c r="T49" s="66" t="n">
        <x:v>0</x:v>
      </x:c>
      <x:c r="U49" s="65" t="str">
        <x:f>IF(E49=1,IF(AND(N49=1,ABS(O49-M49)&lt;0.0000001,P49=1,Q49=0,R49=0,S49=0,T49=0,L49&lt;=Controls!$B$14),"OBLIGATED / ACTIVE","INVALID"),IF(AND(N49=1,O49=0,P49=0,Q49=0,R49=0,S49=0,T49=0),"RESERVED / HELD","INVALID"))</x:f>
        <x:v>OBLIGATED / ACTIVE</x:v>
      </x:c>
      <x:c r="V49" s="66" t="n">
        <x:f>COUNTIFS($B$5:$B$94,B49)</x:f>
        <x:v>5</x:v>
      </x:c>
    </x:row>
    <x:row r="50">
      <x:c r="A50" s="65" t="str">
        <x:v>P046</x:v>
      </x:c>
      <x:c r="B50" s="65" t="str">
        <x:v>LF-B-A</x:v>
      </x:c>
      <x:c r="C50" s="65" t="str">
        <x:v>LF-B</x:v>
      </x:c>
      <x:c r="D50" s="65" t="str">
        <x:v>A</x:v>
      </x:c>
      <x:c r="E50" s="66" t="n">
        <x:v>1</x:v>
      </x:c>
      <x:c r="F50" s="66" t="str">
        <x:v>METHOD</x:v>
      </x:c>
      <x:c r="G50" s="65" t="str">
        <x:v>Event method and denominator</x:v>
      </x:c>
      <x:c r="H50" s="77" t="n">
        <x:v>0.2</x:v>
      </x:c>
      <x:c r="I50" s="66" t="n">
        <x:v>0</x:v>
      </x:c>
      <x:c r="J50" s="66" t="n">
        <x:v>4</x:v>
      </x:c>
      <x:c r="K50" s="66" t="n">
        <x:f>(E50-1)*Controls!$B$14+I50</x:f>
        <x:v>0</x:v>
      </x:c>
      <x:c r="L50" s="66" t="n">
        <x:f>K50+J50</x:f>
        <x:v>4</x:v>
      </x:c>
      <x:c r="M50" s="67" t="n">
        <x:f>H50*INDEX('Form Warrants'!$H$5:$H$22,MATCH(B50,'Form Warrants'!$A$5:$A$22,0))</x:f>
        <x:v>0.008994128193205652</x:v>
      </x:c>
      <x:c r="N50" s="66" t="n">
        <x:f>IF(M50&gt;0,1,0)</x:f>
        <x:v>1</x:v>
      </x:c>
      <x:c r="O50" s="67" t="n">
        <x:f>IF(E50=1,M50,0)</x:f>
        <x:v>0.008994128193205652</x:v>
      </x:c>
      <x:c r="P50" s="66" t="n">
        <x:f>IF(E50=1,1,0)</x:f>
        <x:v>1</x:v>
      </x:c>
      <x:c r="Q50" s="66" t="n">
        <x:v>0</x:v>
      </x:c>
      <x:c r="R50" s="67" t="n">
        <x:v>0</x:v>
      </x:c>
      <x:c r="S50" s="66" t="n">
        <x:v>0</x:v>
      </x:c>
      <x:c r="T50" s="66" t="n">
        <x:v>0</x:v>
      </x:c>
      <x:c r="U50" s="65" t="str">
        <x:f>IF(E50=1,IF(AND(N50=1,ABS(O50-M50)&lt;0.0000001,P50=1,Q50=0,R50=0,S50=0,T50=0,L50&lt;=Controls!$B$14),"OBLIGATED / ACTIVE","INVALID"),IF(AND(N50=1,O50=0,P50=0,Q50=0,R50=0,S50=0,T50=0),"RESERVED / HELD","INVALID"))</x:f>
        <x:v>OBLIGATED / ACTIVE</x:v>
      </x:c>
      <x:c r="V50" s="66" t="n">
        <x:f>COUNTIFS($B$5:$B$94,B50)</x:f>
        <x:v>5</x:v>
      </x:c>
    </x:row>
    <x:row r="51">
      <x:c r="A51" s="65" t="str">
        <x:v>P047</x:v>
      </x:c>
      <x:c r="B51" s="65" t="str">
        <x:v>LF-B-A</x:v>
      </x:c>
      <x:c r="C51" s="65" t="str">
        <x:v>LF-B</x:v>
      </x:c>
      <x:c r="D51" s="65" t="str">
        <x:v>A</x:v>
      </x:c>
      <x:c r="E51" s="66" t="n">
        <x:v>1</x:v>
      </x:c>
      <x:c r="F51" s="66" t="str">
        <x:v>MEASURE</x:v>
      </x:c>
      <x:c r="G51" s="65" t="str">
        <x:v>Instrumentation, custody and validity</x:v>
      </x:c>
      <x:c r="H51" s="77" t="n">
        <x:v>0.25</x:v>
      </x:c>
      <x:c r="I51" s="66" t="n">
        <x:v>2</x:v>
      </x:c>
      <x:c r="J51" s="66" t="n">
        <x:v>8</x:v>
      </x:c>
      <x:c r="K51" s="66" t="n">
        <x:f>(E51-1)*Controls!$B$14+I51</x:f>
        <x:v>2</x:v>
      </x:c>
      <x:c r="L51" s="66" t="n">
        <x:f>K51+J51</x:f>
        <x:v>10</x:v>
      </x:c>
      <x:c r="M51" s="67" t="n">
        <x:f>H51*INDEX('Form Warrants'!$H$5:$H$22,MATCH(B51,'Form Warrants'!$A$5:$A$22,0))</x:f>
        <x:v>0.011242660241507064</x:v>
      </x:c>
      <x:c r="N51" s="66" t="n">
        <x:f>IF(M51&gt;0,1,0)</x:f>
        <x:v>1</x:v>
      </x:c>
      <x:c r="O51" s="67" t="n">
        <x:f>IF(E51=1,M51,0)</x:f>
        <x:v>0.011242660241507064</x:v>
      </x:c>
      <x:c r="P51" s="66" t="n">
        <x:f>IF(E51=1,1,0)</x:f>
        <x:v>1</x:v>
      </x:c>
      <x:c r="Q51" s="66" t="n">
        <x:v>0</x:v>
      </x:c>
      <x:c r="R51" s="67" t="n">
        <x:v>0</x:v>
      </x:c>
      <x:c r="S51" s="66" t="n">
        <x:v>0</x:v>
      </x:c>
      <x:c r="T51" s="66" t="n">
        <x:v>0</x:v>
      </x:c>
      <x:c r="U51" s="65" t="str">
        <x:f>IF(E51=1,IF(AND(N51=1,ABS(O51-M51)&lt;0.0000001,P51=1,Q51=0,R51=0,S51=0,T51=0,L51&lt;=Controls!$B$14),"OBLIGATED / ACTIVE","INVALID"),IF(AND(N51=1,O51=0,P51=0,Q51=0,R51=0,S51=0,T51=0),"RESERVED / HELD","INVALID"))</x:f>
        <x:v>OBLIGATED / ACTIVE</x:v>
      </x:c>
      <x:c r="V51" s="66" t="n">
        <x:f>COUNTIFS($B$5:$B$94,B51)</x:f>
        <x:v>5</x:v>
      </x:c>
    </x:row>
    <x:row r="52">
      <x:c r="A52" s="65" t="str">
        <x:v>P048</x:v>
      </x:c>
      <x:c r="B52" s="65" t="str">
        <x:v>LF-B-A</x:v>
      </x:c>
      <x:c r="C52" s="65" t="str">
        <x:v>LF-B</x:v>
      </x:c>
      <x:c r="D52" s="65" t="str">
        <x:v>A</x:v>
      </x:c>
      <x:c r="E52" s="66" t="n">
        <x:v>1</x:v>
      </x:c>
      <x:c r="F52" s="66" t="str">
        <x:v>CIVIL</x:v>
      </x:c>
      <x:c r="G52" s="65" t="str">
        <x:v>Rights, receiver and residual closure</x:v>
      </x:c>
      <x:c r="H52" s="77" t="n">
        <x:v>0.15</x:v>
      </x:c>
      <x:c r="I52" s="66" t="n">
        <x:v>0</x:v>
      </x:c>
      <x:c r="J52" s="66" t="n">
        <x:v>8</x:v>
      </x:c>
      <x:c r="K52" s="66" t="n">
        <x:f>(E52-1)*Controls!$B$14+I52</x:f>
        <x:v>0</x:v>
      </x:c>
      <x:c r="L52" s="66" t="n">
        <x:f>K52+J52</x:f>
        <x:v>8</x:v>
      </x:c>
      <x:c r="M52" s="67" t="n">
        <x:f>H52*INDEX('Form Warrants'!$H$5:$H$22,MATCH(B52,'Form Warrants'!$A$5:$A$22,0))</x:f>
        <x:v>0.006745596144904238</x:v>
      </x:c>
      <x:c r="N52" s="66" t="n">
        <x:f>IF(M52&gt;0,1,0)</x:f>
        <x:v>1</x:v>
      </x:c>
      <x:c r="O52" s="67" t="n">
        <x:f>IF(E52=1,M52,0)</x:f>
        <x:v>0.006745596144904238</x:v>
      </x:c>
      <x:c r="P52" s="66" t="n">
        <x:f>IF(E52=1,1,0)</x:f>
        <x:v>1</x:v>
      </x:c>
      <x:c r="Q52" s="66" t="n">
        <x:v>0</x:v>
      </x:c>
      <x:c r="R52" s="67" t="n">
        <x:v>0</x:v>
      </x:c>
      <x:c r="S52" s="66" t="n">
        <x:v>0</x:v>
      </x:c>
      <x:c r="T52" s="66" t="n">
        <x:v>0</x:v>
      </x:c>
      <x:c r="U52" s="65" t="str">
        <x:f>IF(E52=1,IF(AND(N52=1,ABS(O52-M52)&lt;0.0000001,P52=1,Q52=0,R52=0,S52=0,T52=0,L52&lt;=Controls!$B$14),"OBLIGATED / ACTIVE","INVALID"),IF(AND(N52=1,O52=0,P52=0,Q52=0,R52=0,S52=0,T52=0),"RESERVED / HELD","INVALID"))</x:f>
        <x:v>OBLIGATED / ACTIVE</x:v>
      </x:c>
      <x:c r="V52" s="66" t="n">
        <x:f>COUNTIFS($B$5:$B$94,B52)</x:f>
        <x:v>5</x:v>
      </x:c>
    </x:row>
    <x:row r="53">
      <x:c r="A53" s="65" t="str">
        <x:v>P049</x:v>
      </x:c>
      <x:c r="B53" s="65" t="str">
        <x:v>LF-B-A</x:v>
      </x:c>
      <x:c r="C53" s="65" t="str">
        <x:v>LF-B</x:v>
      </x:c>
      <x:c r="D53" s="65" t="str">
        <x:v>A</x:v>
      </x:c>
      <x:c r="E53" s="66" t="n">
        <x:v>1</x:v>
      </x:c>
      <x:c r="F53" s="66" t="str">
        <x:v>ARTICLE</x:v>
      </x:c>
      <x:c r="G53" s="65" t="str">
        <x:v>Destructive-article engineering</x:v>
      </x:c>
      <x:c r="H53" s="77" t="n">
        <x:v>0.25</x:v>
      </x:c>
      <x:c r="I53" s="66" t="n">
        <x:v>6</x:v>
      </x:c>
      <x:c r="J53" s="66" t="n">
        <x:v>14</x:v>
      </x:c>
      <x:c r="K53" s="66" t="n">
        <x:f>(E53-1)*Controls!$B$14+I53</x:f>
        <x:v>6</x:v>
      </x:c>
      <x:c r="L53" s="66" t="n">
        <x:f>K53+J53</x:f>
        <x:v>20</x:v>
      </x:c>
      <x:c r="M53" s="67" t="n">
        <x:f>H53*INDEX('Form Warrants'!$H$5:$H$22,MATCH(B53,'Form Warrants'!$A$5:$A$22,0))</x:f>
        <x:v>0.011242660241507064</x:v>
      </x:c>
      <x:c r="N53" s="66" t="n">
        <x:f>IF(M53&gt;0,1,0)</x:f>
        <x:v>1</x:v>
      </x:c>
      <x:c r="O53" s="67" t="n">
        <x:f>IF(E53=1,M53,0)</x:f>
        <x:v>0.011242660241507064</x:v>
      </x:c>
      <x:c r="P53" s="66" t="n">
        <x:f>IF(E53=1,1,0)</x:f>
        <x:v>1</x:v>
      </x:c>
      <x:c r="Q53" s="66" t="n">
        <x:v>0</x:v>
      </x:c>
      <x:c r="R53" s="67" t="n">
        <x:v>0</x:v>
      </x:c>
      <x:c r="S53" s="66" t="n">
        <x:v>0</x:v>
      </x:c>
      <x:c r="T53" s="66" t="n">
        <x:v>0</x:v>
      </x:c>
      <x:c r="U53" s="65" t="str">
        <x:f>IF(E53=1,IF(AND(N53=1,ABS(O53-M53)&lt;0.0000001,P53=1,Q53=0,R53=0,S53=0,T53=0,L53&lt;=Controls!$B$14),"OBLIGATED / ACTIVE","INVALID"),IF(AND(N53=1,O53=0,P53=0,Q53=0,R53=0,S53=0,T53=0),"RESERVED / HELD","INVALID"))</x:f>
        <x:v>OBLIGATED / ACTIVE</x:v>
      </x:c>
      <x:c r="V53" s="66" t="n">
        <x:f>COUNTIFS($B$5:$B$94,B53)</x:f>
        <x:v>5</x:v>
      </x:c>
    </x:row>
    <x:row r="54">
      <x:c r="A54" s="65" t="str">
        <x:v>P050</x:v>
      </x:c>
      <x:c r="B54" s="65" t="str">
        <x:v>LF-B-A</x:v>
      </x:c>
      <x:c r="C54" s="65" t="str">
        <x:v>LF-B</x:v>
      </x:c>
      <x:c r="D54" s="65" t="str">
        <x:v>A</x:v>
      </x:c>
      <x:c r="E54" s="66" t="n">
        <x:v>1</x:v>
      </x:c>
      <x:c r="F54" s="66" t="str">
        <x:v>REBUILD</x:v>
      </x:c>
      <x:c r="G54" s="65" t="str">
        <x:v>Cold reconstruction and challenge</x:v>
      </x:c>
      <x:c r="H54" s="77" t="n">
        <x:v>0.15</x:v>
      </x:c>
      <x:c r="I54" s="66" t="n">
        <x:v>18</x:v>
      </x:c>
      <x:c r="J54" s="66" t="n">
        <x:v>6</x:v>
      </x:c>
      <x:c r="K54" s="66" t="n">
        <x:f>(E54-1)*Controls!$B$14+I54</x:f>
        <x:v>18</x:v>
      </x:c>
      <x:c r="L54" s="66" t="n">
        <x:f>K54+J54</x:f>
        <x:v>24</x:v>
      </x:c>
      <x:c r="M54" s="67" t="n">
        <x:f>H54*INDEX('Form Warrants'!$H$5:$H$22,MATCH(B54,'Form Warrants'!$A$5:$A$22,0))</x:f>
        <x:v>0.006745596144904238</x:v>
      </x:c>
      <x:c r="N54" s="66" t="n">
        <x:f>IF(M54&gt;0,1,0)</x:f>
        <x:v>1</x:v>
      </x:c>
      <x:c r="O54" s="67" t="n">
        <x:f>IF(E54=1,M54,0)</x:f>
        <x:v>0.006745596144904238</x:v>
      </x:c>
      <x:c r="P54" s="66" t="n">
        <x:f>IF(E54=1,1,0)</x:f>
        <x:v>1</x:v>
      </x:c>
      <x:c r="Q54" s="66" t="n">
        <x:v>0</x:v>
      </x:c>
      <x:c r="R54" s="67" t="n">
        <x:v>0</x:v>
      </x:c>
      <x:c r="S54" s="66" t="n">
        <x:v>0</x:v>
      </x:c>
      <x:c r="T54" s="66" t="n">
        <x:v>0</x:v>
      </x:c>
      <x:c r="U54" s="65" t="str">
        <x:f>IF(E54=1,IF(AND(N54=1,ABS(O54-M54)&lt;0.0000001,P54=1,Q54=0,R54=0,S54=0,T54=0,L54&lt;=Controls!$B$14),"OBLIGATED / ACTIVE","INVALID"),IF(AND(N54=1,O54=0,P54=0,Q54=0,R54=0,S54=0,T54=0),"RESERVED / HELD","INVALID"))</x:f>
        <x:v>OBLIGATED / ACTIVE</x:v>
      </x:c>
      <x:c r="V54" s="66" t="n">
        <x:f>COUNTIFS($B$5:$B$94,B54)</x:f>
        <x:v>5</x:v>
      </x:c>
    </x:row>
    <x:row r="55">
      <x:c r="A55" s="65" t="str">
        <x:v>P051</x:v>
      </x:c>
      <x:c r="B55" s="65" t="str">
        <x:v>LF-B-B</x:v>
      </x:c>
      <x:c r="C55" s="65" t="str">
        <x:v>LF-B</x:v>
      </x:c>
      <x:c r="D55" s="65" t="str">
        <x:v>B</x:v>
      </x:c>
      <x:c r="E55" s="66" t="n">
        <x:v>3</x:v>
      </x:c>
      <x:c r="F55" s="66" t="str">
        <x:v>METHOD</x:v>
      </x:c>
      <x:c r="G55" s="65" t="str">
        <x:v>Event method and denominator</x:v>
      </x:c>
      <x:c r="H55" s="77" t="n">
        <x:v>0.2</x:v>
      </x:c>
      <x:c r="I55" s="66" t="n">
        <x:v>0</x:v>
      </x:c>
      <x:c r="J55" s="66" t="n">
        <x:v>4</x:v>
      </x:c>
      <x:c r="K55" s="66" t="n">
        <x:f>(E55-1)*Controls!$B$14+I55</x:f>
        <x:v>48</x:v>
      </x:c>
      <x:c r="L55" s="66" t="n">
        <x:f>K55+J55</x:f>
        <x:v>52</x:v>
      </x:c>
      <x:c r="M55" s="67" t="n">
        <x:f>H55*INDEX('Form Warrants'!$H$5:$H$22,MATCH(B55,'Form Warrants'!$A$5:$A$22,0))</x:f>
        <x:v>0.008994128193205652</x:v>
      </x:c>
      <x:c r="N55" s="66" t="n">
        <x:f>IF(M55&gt;0,1,0)</x:f>
        <x:v>1</x:v>
      </x:c>
      <x:c r="O55" s="67" t="n">
        <x:f>IF(E55=1,M55,0)</x:f>
        <x:v>0</x:v>
      </x:c>
      <x:c r="P55" s="66" t="n">
        <x:f>IF(E55=1,1,0)</x:f>
        <x:v>0</x:v>
      </x:c>
      <x:c r="Q55" s="66" t="n">
        <x:v>0</x:v>
      </x:c>
      <x:c r="R55" s="67" t="n">
        <x:v>0</x:v>
      </x:c>
      <x:c r="S55" s="66" t="n">
        <x:v>0</x:v>
      </x:c>
      <x:c r="T55" s="66" t="n">
        <x:v>0</x:v>
      </x:c>
      <x:c r="U55" s="65" t="str">
        <x:f>IF(E55=1,IF(AND(N55=1,ABS(O55-M55)&lt;0.0000001,P55=1,Q55=0,R55=0,S55=0,T55=0,L55&lt;=Controls!$B$14),"OBLIGATED / ACTIVE","INVALID"),IF(AND(N55=1,O55=0,P55=0,Q55=0,R55=0,S55=0,T55=0),"RESERVED / HELD","INVALID"))</x:f>
        <x:v>RESERVED / HELD</x:v>
      </x:c>
      <x:c r="V55" s="66" t="n">
        <x:f>COUNTIFS($B$5:$B$94,B55)</x:f>
        <x:v>5</x:v>
      </x:c>
    </x:row>
    <x:row r="56">
      <x:c r="A56" s="65" t="str">
        <x:v>P052</x:v>
      </x:c>
      <x:c r="B56" s="65" t="str">
        <x:v>LF-B-B</x:v>
      </x:c>
      <x:c r="C56" s="65" t="str">
        <x:v>LF-B</x:v>
      </x:c>
      <x:c r="D56" s="65" t="str">
        <x:v>B</x:v>
      </x:c>
      <x:c r="E56" s="66" t="n">
        <x:v>3</x:v>
      </x:c>
      <x:c r="F56" s="66" t="str">
        <x:v>MEASURE</x:v>
      </x:c>
      <x:c r="G56" s="65" t="str">
        <x:v>Instrumentation, custody and validity</x:v>
      </x:c>
      <x:c r="H56" s="77" t="n">
        <x:v>0.25</x:v>
      </x:c>
      <x:c r="I56" s="66" t="n">
        <x:v>2</x:v>
      </x:c>
      <x:c r="J56" s="66" t="n">
        <x:v>8</x:v>
      </x:c>
      <x:c r="K56" s="66" t="n">
        <x:f>(E56-1)*Controls!$B$14+I56</x:f>
        <x:v>50</x:v>
      </x:c>
      <x:c r="L56" s="66" t="n">
        <x:f>K56+J56</x:f>
        <x:v>58</x:v>
      </x:c>
      <x:c r="M56" s="67" t="n">
        <x:f>H56*INDEX('Form Warrants'!$H$5:$H$22,MATCH(B56,'Form Warrants'!$A$5:$A$22,0))</x:f>
        <x:v>0.011242660241507064</x:v>
      </x:c>
      <x:c r="N56" s="66" t="n">
        <x:f>IF(M56&gt;0,1,0)</x:f>
        <x:v>1</x:v>
      </x:c>
      <x:c r="O56" s="67" t="n">
        <x:f>IF(E56=1,M56,0)</x:f>
        <x:v>0</x:v>
      </x:c>
      <x:c r="P56" s="66" t="n">
        <x:f>IF(E56=1,1,0)</x:f>
        <x:v>0</x:v>
      </x:c>
      <x:c r="Q56" s="66" t="n">
        <x:v>0</x:v>
      </x:c>
      <x:c r="R56" s="67" t="n">
        <x:v>0</x:v>
      </x:c>
      <x:c r="S56" s="66" t="n">
        <x:v>0</x:v>
      </x:c>
      <x:c r="T56" s="66" t="n">
        <x:v>0</x:v>
      </x:c>
      <x:c r="U56" s="65" t="str">
        <x:f>IF(E56=1,IF(AND(N56=1,ABS(O56-M56)&lt;0.0000001,P56=1,Q56=0,R56=0,S56=0,T56=0,L56&lt;=Controls!$B$14),"OBLIGATED / ACTIVE","INVALID"),IF(AND(N56=1,O56=0,P56=0,Q56=0,R56=0,S56=0,T56=0),"RESERVED / HELD","INVALID"))</x:f>
        <x:v>RESERVED / HELD</x:v>
      </x:c>
      <x:c r="V56" s="66" t="n">
        <x:f>COUNTIFS($B$5:$B$94,B56)</x:f>
        <x:v>5</x:v>
      </x:c>
    </x:row>
    <x:row r="57">
      <x:c r="A57" s="65" t="str">
        <x:v>P053</x:v>
      </x:c>
      <x:c r="B57" s="65" t="str">
        <x:v>LF-B-B</x:v>
      </x:c>
      <x:c r="C57" s="65" t="str">
        <x:v>LF-B</x:v>
      </x:c>
      <x:c r="D57" s="65" t="str">
        <x:v>B</x:v>
      </x:c>
      <x:c r="E57" s="66" t="n">
        <x:v>3</x:v>
      </x:c>
      <x:c r="F57" s="66" t="str">
        <x:v>CIVIL</x:v>
      </x:c>
      <x:c r="G57" s="65" t="str">
        <x:v>Rights, receiver and residual closure</x:v>
      </x:c>
      <x:c r="H57" s="77" t="n">
        <x:v>0.15</x:v>
      </x:c>
      <x:c r="I57" s="66" t="n">
        <x:v>0</x:v>
      </x:c>
      <x:c r="J57" s="66" t="n">
        <x:v>8</x:v>
      </x:c>
      <x:c r="K57" s="66" t="n">
        <x:f>(E57-1)*Controls!$B$14+I57</x:f>
        <x:v>48</x:v>
      </x:c>
      <x:c r="L57" s="66" t="n">
        <x:f>K57+J57</x:f>
        <x:v>56</x:v>
      </x:c>
      <x:c r="M57" s="67" t="n">
        <x:f>H57*INDEX('Form Warrants'!$H$5:$H$22,MATCH(B57,'Form Warrants'!$A$5:$A$22,0))</x:f>
        <x:v>0.006745596144904238</x:v>
      </x:c>
      <x:c r="N57" s="66" t="n">
        <x:f>IF(M57&gt;0,1,0)</x:f>
        <x:v>1</x:v>
      </x:c>
      <x:c r="O57" s="67" t="n">
        <x:f>IF(E57=1,M57,0)</x:f>
        <x:v>0</x:v>
      </x:c>
      <x:c r="P57" s="66" t="n">
        <x:f>IF(E57=1,1,0)</x:f>
        <x:v>0</x:v>
      </x:c>
      <x:c r="Q57" s="66" t="n">
        <x:v>0</x:v>
      </x:c>
      <x:c r="R57" s="67" t="n">
        <x:v>0</x:v>
      </x:c>
      <x:c r="S57" s="66" t="n">
        <x:v>0</x:v>
      </x:c>
      <x:c r="T57" s="66" t="n">
        <x:v>0</x:v>
      </x:c>
      <x:c r="U57" s="65" t="str">
        <x:f>IF(E57=1,IF(AND(N57=1,ABS(O57-M57)&lt;0.0000001,P57=1,Q57=0,R57=0,S57=0,T57=0,L57&lt;=Controls!$B$14),"OBLIGATED / ACTIVE","INVALID"),IF(AND(N57=1,O57=0,P57=0,Q57=0,R57=0,S57=0,T57=0),"RESERVED / HELD","INVALID"))</x:f>
        <x:v>RESERVED / HELD</x:v>
      </x:c>
      <x:c r="V57" s="66" t="n">
        <x:f>COUNTIFS($B$5:$B$94,B57)</x:f>
        <x:v>5</x:v>
      </x:c>
    </x:row>
    <x:row r="58">
      <x:c r="A58" s="65" t="str">
        <x:v>P054</x:v>
      </x:c>
      <x:c r="B58" s="65" t="str">
        <x:v>LF-B-B</x:v>
      </x:c>
      <x:c r="C58" s="65" t="str">
        <x:v>LF-B</x:v>
      </x:c>
      <x:c r="D58" s="65" t="str">
        <x:v>B</x:v>
      </x:c>
      <x:c r="E58" s="66" t="n">
        <x:v>3</x:v>
      </x:c>
      <x:c r="F58" s="66" t="str">
        <x:v>ARTICLE</x:v>
      </x:c>
      <x:c r="G58" s="65" t="str">
        <x:v>Destructive-article engineering</x:v>
      </x:c>
      <x:c r="H58" s="77" t="n">
        <x:v>0.25</x:v>
      </x:c>
      <x:c r="I58" s="66" t="n">
        <x:v>6</x:v>
      </x:c>
      <x:c r="J58" s="66" t="n">
        <x:v>14</x:v>
      </x:c>
      <x:c r="K58" s="66" t="n">
        <x:f>(E58-1)*Controls!$B$14+I58</x:f>
        <x:v>54</x:v>
      </x:c>
      <x:c r="L58" s="66" t="n">
        <x:f>K58+J58</x:f>
        <x:v>68</x:v>
      </x:c>
      <x:c r="M58" s="67" t="n">
        <x:f>H58*INDEX('Form Warrants'!$H$5:$H$22,MATCH(B58,'Form Warrants'!$A$5:$A$22,0))</x:f>
        <x:v>0.011242660241507064</x:v>
      </x:c>
      <x:c r="N58" s="66" t="n">
        <x:f>IF(M58&gt;0,1,0)</x:f>
        <x:v>1</x:v>
      </x:c>
      <x:c r="O58" s="67" t="n">
        <x:f>IF(E58=1,M58,0)</x:f>
        <x:v>0</x:v>
      </x:c>
      <x:c r="P58" s="66" t="n">
        <x:f>IF(E58=1,1,0)</x:f>
        <x:v>0</x:v>
      </x:c>
      <x:c r="Q58" s="66" t="n">
        <x:v>0</x:v>
      </x:c>
      <x:c r="R58" s="67" t="n">
        <x:v>0</x:v>
      </x:c>
      <x:c r="S58" s="66" t="n">
        <x:v>0</x:v>
      </x:c>
      <x:c r="T58" s="66" t="n">
        <x:v>0</x:v>
      </x:c>
      <x:c r="U58" s="65" t="str">
        <x:f>IF(E58=1,IF(AND(N58=1,ABS(O58-M58)&lt;0.0000001,P58=1,Q58=0,R58=0,S58=0,T58=0,L58&lt;=Controls!$B$14),"OBLIGATED / ACTIVE","INVALID"),IF(AND(N58=1,O58=0,P58=0,Q58=0,R58=0,S58=0,T58=0),"RESERVED / HELD","INVALID"))</x:f>
        <x:v>RESERVED / HELD</x:v>
      </x:c>
      <x:c r="V58" s="66" t="n">
        <x:f>COUNTIFS($B$5:$B$94,B58)</x:f>
        <x:v>5</x:v>
      </x:c>
    </x:row>
    <x:row r="59">
      <x:c r="A59" s="65" t="str">
        <x:v>P055</x:v>
      </x:c>
      <x:c r="B59" s="65" t="str">
        <x:v>LF-B-B</x:v>
      </x:c>
      <x:c r="C59" s="65" t="str">
        <x:v>LF-B</x:v>
      </x:c>
      <x:c r="D59" s="65" t="str">
        <x:v>B</x:v>
      </x:c>
      <x:c r="E59" s="66" t="n">
        <x:v>3</x:v>
      </x:c>
      <x:c r="F59" s="66" t="str">
        <x:v>REBUILD</x:v>
      </x:c>
      <x:c r="G59" s="65" t="str">
        <x:v>Cold reconstruction and challenge</x:v>
      </x:c>
      <x:c r="H59" s="77" t="n">
        <x:v>0.15</x:v>
      </x:c>
      <x:c r="I59" s="66" t="n">
        <x:v>18</x:v>
      </x:c>
      <x:c r="J59" s="66" t="n">
        <x:v>6</x:v>
      </x:c>
      <x:c r="K59" s="66" t="n">
        <x:f>(E59-1)*Controls!$B$14+I59</x:f>
        <x:v>66</x:v>
      </x:c>
      <x:c r="L59" s="66" t="n">
        <x:f>K59+J59</x:f>
        <x:v>72</x:v>
      </x:c>
      <x:c r="M59" s="67" t="n">
        <x:f>H59*INDEX('Form Warrants'!$H$5:$H$22,MATCH(B59,'Form Warrants'!$A$5:$A$22,0))</x:f>
        <x:v>0.006745596144904238</x:v>
      </x:c>
      <x:c r="N59" s="66" t="n">
        <x:f>IF(M59&gt;0,1,0)</x:f>
        <x:v>1</x:v>
      </x:c>
      <x:c r="O59" s="67" t="n">
        <x:f>IF(E59=1,M59,0)</x:f>
        <x:v>0</x:v>
      </x:c>
      <x:c r="P59" s="66" t="n">
        <x:f>IF(E59=1,1,0)</x:f>
        <x:v>0</x:v>
      </x:c>
      <x:c r="Q59" s="66" t="n">
        <x:v>0</x:v>
      </x:c>
      <x:c r="R59" s="67" t="n">
        <x:v>0</x:v>
      </x:c>
      <x:c r="S59" s="66" t="n">
        <x:v>0</x:v>
      </x:c>
      <x:c r="T59" s="66" t="n">
        <x:v>0</x:v>
      </x:c>
      <x:c r="U59" s="65" t="str">
        <x:f>IF(E59=1,IF(AND(N59=1,ABS(O59-M59)&lt;0.0000001,P59=1,Q59=0,R59=0,S59=0,T59=0,L59&lt;=Controls!$B$14),"OBLIGATED / ACTIVE","INVALID"),IF(AND(N59=1,O59=0,P59=0,Q59=0,R59=0,S59=0,T59=0),"RESERVED / HELD","INVALID"))</x:f>
        <x:v>RESERVED / HELD</x:v>
      </x:c>
      <x:c r="V59" s="66" t="n">
        <x:f>COUNTIFS($B$5:$B$94,B59)</x:f>
        <x:v>5</x:v>
      </x:c>
    </x:row>
    <x:row r="60">
      <x:c r="A60" s="65" t="str">
        <x:v>P056</x:v>
      </x:c>
      <x:c r="B60" s="65" t="str">
        <x:v>LF-B-C</x:v>
      </x:c>
      <x:c r="C60" s="65" t="str">
        <x:v>LF-B</x:v>
      </x:c>
      <x:c r="D60" s="65" t="str">
        <x:v>C</x:v>
      </x:c>
      <x:c r="E60" s="66" t="n">
        <x:v>2</x:v>
      </x:c>
      <x:c r="F60" s="66" t="str">
        <x:v>METHOD</x:v>
      </x:c>
      <x:c r="G60" s="65" t="str">
        <x:v>Event method and denominator</x:v>
      </x:c>
      <x:c r="H60" s="77" t="n">
        <x:v>0.2</x:v>
      </x:c>
      <x:c r="I60" s="66" t="n">
        <x:v>0</x:v>
      </x:c>
      <x:c r="J60" s="66" t="n">
        <x:v>4</x:v>
      </x:c>
      <x:c r="K60" s="66" t="n">
        <x:f>(E60-1)*Controls!$B$14+I60</x:f>
        <x:v>24</x:v>
      </x:c>
      <x:c r="L60" s="66" t="n">
        <x:f>K60+J60</x:f>
        <x:v>28</x:v>
      </x:c>
      <x:c r="M60" s="67" t="n">
        <x:f>H60*INDEX('Form Warrants'!$H$5:$H$22,MATCH(B60,'Form Warrants'!$A$5:$A$22,0))</x:f>
        <x:v>0.008994128193205652</x:v>
      </x:c>
      <x:c r="N60" s="66" t="n">
        <x:f>IF(M60&gt;0,1,0)</x:f>
        <x:v>1</x:v>
      </x:c>
      <x:c r="O60" s="67" t="n">
        <x:f>IF(E60=1,M60,0)</x:f>
        <x:v>0</x:v>
      </x:c>
      <x:c r="P60" s="66" t="n">
        <x:f>IF(E60=1,1,0)</x:f>
        <x:v>0</x:v>
      </x:c>
      <x:c r="Q60" s="66" t="n">
        <x:v>0</x:v>
      </x:c>
      <x:c r="R60" s="67" t="n">
        <x:v>0</x:v>
      </x:c>
      <x:c r="S60" s="66" t="n">
        <x:v>0</x:v>
      </x:c>
      <x:c r="T60" s="66" t="n">
        <x:v>0</x:v>
      </x:c>
      <x:c r="U60" s="65" t="str">
        <x:f>IF(E60=1,IF(AND(N60=1,ABS(O60-M60)&lt;0.0000001,P60=1,Q60=0,R60=0,S60=0,T60=0,L60&lt;=Controls!$B$14),"OBLIGATED / ACTIVE","INVALID"),IF(AND(N60=1,O60=0,P60=0,Q60=0,R60=0,S60=0,T60=0),"RESERVED / HELD","INVALID"))</x:f>
        <x:v>RESERVED / HELD</x:v>
      </x:c>
      <x:c r="V60" s="66" t="n">
        <x:f>COUNTIFS($B$5:$B$94,B60)</x:f>
        <x:v>5</x:v>
      </x:c>
    </x:row>
    <x:row r="61">
      <x:c r="A61" s="65" t="str">
        <x:v>P057</x:v>
      </x:c>
      <x:c r="B61" s="65" t="str">
        <x:v>LF-B-C</x:v>
      </x:c>
      <x:c r="C61" s="65" t="str">
        <x:v>LF-B</x:v>
      </x:c>
      <x:c r="D61" s="65" t="str">
        <x:v>C</x:v>
      </x:c>
      <x:c r="E61" s="66" t="n">
        <x:v>2</x:v>
      </x:c>
      <x:c r="F61" s="66" t="str">
        <x:v>MEASURE</x:v>
      </x:c>
      <x:c r="G61" s="65" t="str">
        <x:v>Instrumentation, custody and validity</x:v>
      </x:c>
      <x:c r="H61" s="77" t="n">
        <x:v>0.25</x:v>
      </x:c>
      <x:c r="I61" s="66" t="n">
        <x:v>2</x:v>
      </x:c>
      <x:c r="J61" s="66" t="n">
        <x:v>8</x:v>
      </x:c>
      <x:c r="K61" s="66" t="n">
        <x:f>(E61-1)*Controls!$B$14+I61</x:f>
        <x:v>26</x:v>
      </x:c>
      <x:c r="L61" s="66" t="n">
        <x:f>K61+J61</x:f>
        <x:v>34</x:v>
      </x:c>
      <x:c r="M61" s="67" t="n">
        <x:f>H61*INDEX('Form Warrants'!$H$5:$H$22,MATCH(B61,'Form Warrants'!$A$5:$A$22,0))</x:f>
        <x:v>0.011242660241507064</x:v>
      </x:c>
      <x:c r="N61" s="66" t="n">
        <x:f>IF(M61&gt;0,1,0)</x:f>
        <x:v>1</x:v>
      </x:c>
      <x:c r="O61" s="67" t="n">
        <x:f>IF(E61=1,M61,0)</x:f>
        <x:v>0</x:v>
      </x:c>
      <x:c r="P61" s="66" t="n">
        <x:f>IF(E61=1,1,0)</x:f>
        <x:v>0</x:v>
      </x:c>
      <x:c r="Q61" s="66" t="n">
        <x:v>0</x:v>
      </x:c>
      <x:c r="R61" s="67" t="n">
        <x:v>0</x:v>
      </x:c>
      <x:c r="S61" s="66" t="n">
        <x:v>0</x:v>
      </x:c>
      <x:c r="T61" s="66" t="n">
        <x:v>0</x:v>
      </x:c>
      <x:c r="U61" s="65" t="str">
        <x:f>IF(E61=1,IF(AND(N61=1,ABS(O61-M61)&lt;0.0000001,P61=1,Q61=0,R61=0,S61=0,T61=0,L61&lt;=Controls!$B$14),"OBLIGATED / ACTIVE","INVALID"),IF(AND(N61=1,O61=0,P61=0,Q61=0,R61=0,S61=0,T61=0),"RESERVED / HELD","INVALID"))</x:f>
        <x:v>RESERVED / HELD</x:v>
      </x:c>
      <x:c r="V61" s="66" t="n">
        <x:f>COUNTIFS($B$5:$B$94,B61)</x:f>
        <x:v>5</x:v>
      </x:c>
    </x:row>
    <x:row r="62">
      <x:c r="A62" s="65" t="str">
        <x:v>P058</x:v>
      </x:c>
      <x:c r="B62" s="65" t="str">
        <x:v>LF-B-C</x:v>
      </x:c>
      <x:c r="C62" s="65" t="str">
        <x:v>LF-B</x:v>
      </x:c>
      <x:c r="D62" s="65" t="str">
        <x:v>C</x:v>
      </x:c>
      <x:c r="E62" s="66" t="n">
        <x:v>2</x:v>
      </x:c>
      <x:c r="F62" s="66" t="str">
        <x:v>CIVIL</x:v>
      </x:c>
      <x:c r="G62" s="65" t="str">
        <x:v>Rights, receiver and residual closure</x:v>
      </x:c>
      <x:c r="H62" s="77" t="n">
        <x:v>0.15</x:v>
      </x:c>
      <x:c r="I62" s="66" t="n">
        <x:v>0</x:v>
      </x:c>
      <x:c r="J62" s="66" t="n">
        <x:v>8</x:v>
      </x:c>
      <x:c r="K62" s="66" t="n">
        <x:f>(E62-1)*Controls!$B$14+I62</x:f>
        <x:v>24</x:v>
      </x:c>
      <x:c r="L62" s="66" t="n">
        <x:f>K62+J62</x:f>
        <x:v>32</x:v>
      </x:c>
      <x:c r="M62" s="67" t="n">
        <x:f>H62*INDEX('Form Warrants'!$H$5:$H$22,MATCH(B62,'Form Warrants'!$A$5:$A$22,0))</x:f>
        <x:v>0.006745596144904238</x:v>
      </x:c>
      <x:c r="N62" s="66" t="n">
        <x:f>IF(M62&gt;0,1,0)</x:f>
        <x:v>1</x:v>
      </x:c>
      <x:c r="O62" s="67" t="n">
        <x:f>IF(E62=1,M62,0)</x:f>
        <x:v>0</x:v>
      </x:c>
      <x:c r="P62" s="66" t="n">
        <x:f>IF(E62=1,1,0)</x:f>
        <x:v>0</x:v>
      </x:c>
      <x:c r="Q62" s="66" t="n">
        <x:v>0</x:v>
      </x:c>
      <x:c r="R62" s="67" t="n">
        <x:v>0</x:v>
      </x:c>
      <x:c r="S62" s="66" t="n">
        <x:v>0</x:v>
      </x:c>
      <x:c r="T62" s="66" t="n">
        <x:v>0</x:v>
      </x:c>
      <x:c r="U62" s="65" t="str">
        <x:f>IF(E62=1,IF(AND(N62=1,ABS(O62-M62)&lt;0.0000001,P62=1,Q62=0,R62=0,S62=0,T62=0,L62&lt;=Controls!$B$14),"OBLIGATED / ACTIVE","INVALID"),IF(AND(N62=1,O62=0,P62=0,Q62=0,R62=0,S62=0,T62=0),"RESERVED / HELD","INVALID"))</x:f>
        <x:v>RESERVED / HELD</x:v>
      </x:c>
      <x:c r="V62" s="66" t="n">
        <x:f>COUNTIFS($B$5:$B$94,B62)</x:f>
        <x:v>5</x:v>
      </x:c>
    </x:row>
    <x:row r="63">
      <x:c r="A63" s="65" t="str">
        <x:v>P059</x:v>
      </x:c>
      <x:c r="B63" s="65" t="str">
        <x:v>LF-B-C</x:v>
      </x:c>
      <x:c r="C63" s="65" t="str">
        <x:v>LF-B</x:v>
      </x:c>
      <x:c r="D63" s="65" t="str">
        <x:v>C</x:v>
      </x:c>
      <x:c r="E63" s="66" t="n">
        <x:v>2</x:v>
      </x:c>
      <x:c r="F63" s="66" t="str">
        <x:v>ARTICLE</x:v>
      </x:c>
      <x:c r="G63" s="65" t="str">
        <x:v>Destructive-article engineering</x:v>
      </x:c>
      <x:c r="H63" s="77" t="n">
        <x:v>0.25</x:v>
      </x:c>
      <x:c r="I63" s="66" t="n">
        <x:v>6</x:v>
      </x:c>
      <x:c r="J63" s="66" t="n">
        <x:v>14</x:v>
      </x:c>
      <x:c r="K63" s="66" t="n">
        <x:f>(E63-1)*Controls!$B$14+I63</x:f>
        <x:v>30</x:v>
      </x:c>
      <x:c r="L63" s="66" t="n">
        <x:f>K63+J63</x:f>
        <x:v>44</x:v>
      </x:c>
      <x:c r="M63" s="67" t="n">
        <x:f>H63*INDEX('Form Warrants'!$H$5:$H$22,MATCH(B63,'Form Warrants'!$A$5:$A$22,0))</x:f>
        <x:v>0.011242660241507064</x:v>
      </x:c>
      <x:c r="N63" s="66" t="n">
        <x:f>IF(M63&gt;0,1,0)</x:f>
        <x:v>1</x:v>
      </x:c>
      <x:c r="O63" s="67" t="n">
        <x:f>IF(E63=1,M63,0)</x:f>
        <x:v>0</x:v>
      </x:c>
      <x:c r="P63" s="66" t="n">
        <x:f>IF(E63=1,1,0)</x:f>
        <x:v>0</x:v>
      </x:c>
      <x:c r="Q63" s="66" t="n">
        <x:v>0</x:v>
      </x:c>
      <x:c r="R63" s="67" t="n">
        <x:v>0</x:v>
      </x:c>
      <x:c r="S63" s="66" t="n">
        <x:v>0</x:v>
      </x:c>
      <x:c r="T63" s="66" t="n">
        <x:v>0</x:v>
      </x:c>
      <x:c r="U63" s="65" t="str">
        <x:f>IF(E63=1,IF(AND(N63=1,ABS(O63-M63)&lt;0.0000001,P63=1,Q63=0,R63=0,S63=0,T63=0,L63&lt;=Controls!$B$14),"OBLIGATED / ACTIVE","INVALID"),IF(AND(N63=1,O63=0,P63=0,Q63=0,R63=0,S63=0,T63=0),"RESERVED / HELD","INVALID"))</x:f>
        <x:v>RESERVED / HELD</x:v>
      </x:c>
      <x:c r="V63" s="66" t="n">
        <x:f>COUNTIFS($B$5:$B$94,B63)</x:f>
        <x:v>5</x:v>
      </x:c>
    </x:row>
    <x:row r="64">
      <x:c r="A64" s="65" t="str">
        <x:v>P060</x:v>
      </x:c>
      <x:c r="B64" s="65" t="str">
        <x:v>LF-B-C</x:v>
      </x:c>
      <x:c r="C64" s="65" t="str">
        <x:v>LF-B</x:v>
      </x:c>
      <x:c r="D64" s="65" t="str">
        <x:v>C</x:v>
      </x:c>
      <x:c r="E64" s="66" t="n">
        <x:v>2</x:v>
      </x:c>
      <x:c r="F64" s="66" t="str">
        <x:v>REBUILD</x:v>
      </x:c>
      <x:c r="G64" s="65" t="str">
        <x:v>Cold reconstruction and challenge</x:v>
      </x:c>
      <x:c r="H64" s="77" t="n">
        <x:v>0.15</x:v>
      </x:c>
      <x:c r="I64" s="66" t="n">
        <x:v>18</x:v>
      </x:c>
      <x:c r="J64" s="66" t="n">
        <x:v>6</x:v>
      </x:c>
      <x:c r="K64" s="66" t="n">
        <x:f>(E64-1)*Controls!$B$14+I64</x:f>
        <x:v>42</x:v>
      </x:c>
      <x:c r="L64" s="66" t="n">
        <x:f>K64+J64</x:f>
        <x:v>48</x:v>
      </x:c>
      <x:c r="M64" s="67" t="n">
        <x:f>H64*INDEX('Form Warrants'!$H$5:$H$22,MATCH(B64,'Form Warrants'!$A$5:$A$22,0))</x:f>
        <x:v>0.006745596144904238</x:v>
      </x:c>
      <x:c r="N64" s="66" t="n">
        <x:f>IF(M64&gt;0,1,0)</x:f>
        <x:v>1</x:v>
      </x:c>
      <x:c r="O64" s="67" t="n">
        <x:f>IF(E64=1,M64,0)</x:f>
        <x:v>0</x:v>
      </x:c>
      <x:c r="P64" s="66" t="n">
        <x:f>IF(E64=1,1,0)</x:f>
        <x:v>0</x:v>
      </x:c>
      <x:c r="Q64" s="66" t="n">
        <x:v>0</x:v>
      </x:c>
      <x:c r="R64" s="67" t="n">
        <x:v>0</x:v>
      </x:c>
      <x:c r="S64" s="66" t="n">
        <x:v>0</x:v>
      </x:c>
      <x:c r="T64" s="66" t="n">
        <x:v>0</x:v>
      </x:c>
      <x:c r="U64" s="65" t="str">
        <x:f>IF(E64=1,IF(AND(N64=1,ABS(O64-M64)&lt;0.0000001,P64=1,Q64=0,R64=0,S64=0,T64=0,L64&lt;=Controls!$B$14),"OBLIGATED / ACTIVE","INVALID"),IF(AND(N64=1,O64=0,P64=0,Q64=0,R64=0,S64=0,T64=0),"RESERVED / HELD","INVALID"))</x:f>
        <x:v>RESERVED / HELD</x:v>
      </x:c>
      <x:c r="V64" s="66" t="n">
        <x:f>COUNTIFS($B$5:$B$94,B64)</x:f>
        <x:v>5</x:v>
      </x:c>
    </x:row>
    <x:row r="65">
      <x:c r="A65" s="65" t="str">
        <x:v>P061</x:v>
      </x:c>
      <x:c r="B65" s="65" t="str">
        <x:v>HU-A-A</x:v>
      </x:c>
      <x:c r="C65" s="65" t="str">
        <x:v>HU-A</x:v>
      </x:c>
      <x:c r="D65" s="65" t="str">
        <x:v>A</x:v>
      </x:c>
      <x:c r="E65" s="66" t="n">
        <x:v>2</x:v>
      </x:c>
      <x:c r="F65" s="66" t="str">
        <x:v>METHOD</x:v>
      </x:c>
      <x:c r="G65" s="65" t="str">
        <x:v>Event method and denominator</x:v>
      </x:c>
      <x:c r="H65" s="77" t="n">
        <x:v>0.2</x:v>
      </x:c>
      <x:c r="I65" s="66" t="n">
        <x:v>0</x:v>
      </x:c>
      <x:c r="J65" s="66" t="n">
        <x:v>4</x:v>
      </x:c>
      <x:c r="K65" s="66" t="n">
        <x:f>(E65-1)*Controls!$B$14+I65</x:f>
        <x:v>24</x:v>
      </x:c>
      <x:c r="L65" s="66" t="n">
        <x:f>K65+J65</x:f>
        <x:v>28</x:v>
      </x:c>
      <x:c r="M65" s="67" t="n">
        <x:f>H65*INDEX('Form Warrants'!$H$5:$H$22,MATCH(B65,'Form Warrants'!$A$5:$A$22,0))</x:f>
        <x:v>0.00860712452941095</x:v>
      </x:c>
      <x:c r="N65" s="66" t="n">
        <x:f>IF(M65&gt;0,1,0)</x:f>
        <x:v>1</x:v>
      </x:c>
      <x:c r="O65" s="67" t="n">
        <x:f>IF(E65=1,M65,0)</x:f>
        <x:v>0</x:v>
      </x:c>
      <x:c r="P65" s="66" t="n">
        <x:f>IF(E65=1,1,0)</x:f>
        <x:v>0</x:v>
      </x:c>
      <x:c r="Q65" s="66" t="n">
        <x:v>0</x:v>
      </x:c>
      <x:c r="R65" s="67" t="n">
        <x:v>0</x:v>
      </x:c>
      <x:c r="S65" s="66" t="n">
        <x:v>0</x:v>
      </x:c>
      <x:c r="T65" s="66" t="n">
        <x:v>0</x:v>
      </x:c>
      <x:c r="U65" s="65" t="str">
        <x:f>IF(E65=1,IF(AND(N65=1,ABS(O65-M65)&lt;0.0000001,P65=1,Q65=0,R65=0,S65=0,T65=0,L65&lt;=Controls!$B$14),"OBLIGATED / ACTIVE","INVALID"),IF(AND(N65=1,O65=0,P65=0,Q65=0,R65=0,S65=0,T65=0),"RESERVED / HELD","INVALID"))</x:f>
        <x:v>RESERVED / HELD</x:v>
      </x:c>
      <x:c r="V65" s="66" t="n">
        <x:f>COUNTIFS($B$5:$B$94,B65)</x:f>
        <x:v>5</x:v>
      </x:c>
    </x:row>
    <x:row r="66">
      <x:c r="A66" s="65" t="str">
        <x:v>P062</x:v>
      </x:c>
      <x:c r="B66" s="65" t="str">
        <x:v>HU-A-A</x:v>
      </x:c>
      <x:c r="C66" s="65" t="str">
        <x:v>HU-A</x:v>
      </x:c>
      <x:c r="D66" s="65" t="str">
        <x:v>A</x:v>
      </x:c>
      <x:c r="E66" s="66" t="n">
        <x:v>2</x:v>
      </x:c>
      <x:c r="F66" s="66" t="str">
        <x:v>MEASURE</x:v>
      </x:c>
      <x:c r="G66" s="65" t="str">
        <x:v>Instrumentation, custody and validity</x:v>
      </x:c>
      <x:c r="H66" s="77" t="n">
        <x:v>0.25</x:v>
      </x:c>
      <x:c r="I66" s="66" t="n">
        <x:v>2</x:v>
      </x:c>
      <x:c r="J66" s="66" t="n">
        <x:v>8</x:v>
      </x:c>
      <x:c r="K66" s="66" t="n">
        <x:f>(E66-1)*Controls!$B$14+I66</x:f>
        <x:v>26</x:v>
      </x:c>
      <x:c r="L66" s="66" t="n">
        <x:f>K66+J66</x:f>
        <x:v>34</x:v>
      </x:c>
      <x:c r="M66" s="67" t="n">
        <x:f>H66*INDEX('Form Warrants'!$H$5:$H$22,MATCH(B66,'Form Warrants'!$A$5:$A$22,0))</x:f>
        <x:v>0.010758905661763686</x:v>
      </x:c>
      <x:c r="N66" s="66" t="n">
        <x:f>IF(M66&gt;0,1,0)</x:f>
        <x:v>1</x:v>
      </x:c>
      <x:c r="O66" s="67" t="n">
        <x:f>IF(E66=1,M66,0)</x:f>
        <x:v>0</x:v>
      </x:c>
      <x:c r="P66" s="66" t="n">
        <x:f>IF(E66=1,1,0)</x:f>
        <x:v>0</x:v>
      </x:c>
      <x:c r="Q66" s="66" t="n">
        <x:v>0</x:v>
      </x:c>
      <x:c r="R66" s="67" t="n">
        <x:v>0</x:v>
      </x:c>
      <x:c r="S66" s="66" t="n">
        <x:v>0</x:v>
      </x:c>
      <x:c r="T66" s="66" t="n">
        <x:v>0</x:v>
      </x:c>
      <x:c r="U66" s="65" t="str">
        <x:f>IF(E66=1,IF(AND(N66=1,ABS(O66-M66)&lt;0.0000001,P66=1,Q66=0,R66=0,S66=0,T66=0,L66&lt;=Controls!$B$14),"OBLIGATED / ACTIVE","INVALID"),IF(AND(N66=1,O66=0,P66=0,Q66=0,R66=0,S66=0,T66=0),"RESERVED / HELD","INVALID"))</x:f>
        <x:v>RESERVED / HELD</x:v>
      </x:c>
      <x:c r="V66" s="66" t="n">
        <x:f>COUNTIFS($B$5:$B$94,B66)</x:f>
        <x:v>5</x:v>
      </x:c>
    </x:row>
    <x:row r="67">
      <x:c r="A67" s="65" t="str">
        <x:v>P063</x:v>
      </x:c>
      <x:c r="B67" s="65" t="str">
        <x:v>HU-A-A</x:v>
      </x:c>
      <x:c r="C67" s="65" t="str">
        <x:v>HU-A</x:v>
      </x:c>
      <x:c r="D67" s="65" t="str">
        <x:v>A</x:v>
      </x:c>
      <x:c r="E67" s="66" t="n">
        <x:v>2</x:v>
      </x:c>
      <x:c r="F67" s="66" t="str">
        <x:v>CIVIL</x:v>
      </x:c>
      <x:c r="G67" s="65" t="str">
        <x:v>Rights, receiver and residual closure</x:v>
      </x:c>
      <x:c r="H67" s="77" t="n">
        <x:v>0.15</x:v>
      </x:c>
      <x:c r="I67" s="66" t="n">
        <x:v>0</x:v>
      </x:c>
      <x:c r="J67" s="66" t="n">
        <x:v>8</x:v>
      </x:c>
      <x:c r="K67" s="66" t="n">
        <x:f>(E67-1)*Controls!$B$14+I67</x:f>
        <x:v>24</x:v>
      </x:c>
      <x:c r="L67" s="66" t="n">
        <x:f>K67+J67</x:f>
        <x:v>32</x:v>
      </x:c>
      <x:c r="M67" s="67" t="n">
        <x:f>H67*INDEX('Form Warrants'!$H$5:$H$22,MATCH(B67,'Form Warrants'!$A$5:$A$22,0))</x:f>
        <x:v>0.0064553433970582115</x:v>
      </x:c>
      <x:c r="N67" s="66" t="n">
        <x:f>IF(M67&gt;0,1,0)</x:f>
        <x:v>1</x:v>
      </x:c>
      <x:c r="O67" s="67" t="n">
        <x:f>IF(E67=1,M67,0)</x:f>
        <x:v>0</x:v>
      </x:c>
      <x:c r="P67" s="66" t="n">
        <x:f>IF(E67=1,1,0)</x:f>
        <x:v>0</x:v>
      </x:c>
      <x:c r="Q67" s="66" t="n">
        <x:v>0</x:v>
      </x:c>
      <x:c r="R67" s="67" t="n">
        <x:v>0</x:v>
      </x:c>
      <x:c r="S67" s="66" t="n">
        <x:v>0</x:v>
      </x:c>
      <x:c r="T67" s="66" t="n">
        <x:v>0</x:v>
      </x:c>
      <x:c r="U67" s="65" t="str">
        <x:f>IF(E67=1,IF(AND(N67=1,ABS(O67-M67)&lt;0.0000001,P67=1,Q67=0,R67=0,S67=0,T67=0,L67&lt;=Controls!$B$14),"OBLIGATED / ACTIVE","INVALID"),IF(AND(N67=1,O67=0,P67=0,Q67=0,R67=0,S67=0,T67=0),"RESERVED / HELD","INVALID"))</x:f>
        <x:v>RESERVED / HELD</x:v>
      </x:c>
      <x:c r="V67" s="66" t="n">
        <x:f>COUNTIFS($B$5:$B$94,B67)</x:f>
        <x:v>5</x:v>
      </x:c>
    </x:row>
    <x:row r="68">
      <x:c r="A68" s="65" t="str">
        <x:v>P064</x:v>
      </x:c>
      <x:c r="B68" s="65" t="str">
        <x:v>HU-A-A</x:v>
      </x:c>
      <x:c r="C68" s="65" t="str">
        <x:v>HU-A</x:v>
      </x:c>
      <x:c r="D68" s="65" t="str">
        <x:v>A</x:v>
      </x:c>
      <x:c r="E68" s="66" t="n">
        <x:v>2</x:v>
      </x:c>
      <x:c r="F68" s="66" t="str">
        <x:v>ARTICLE</x:v>
      </x:c>
      <x:c r="G68" s="65" t="str">
        <x:v>Destructive-article engineering</x:v>
      </x:c>
      <x:c r="H68" s="77" t="n">
        <x:v>0.25</x:v>
      </x:c>
      <x:c r="I68" s="66" t="n">
        <x:v>6</x:v>
      </x:c>
      <x:c r="J68" s="66" t="n">
        <x:v>14</x:v>
      </x:c>
      <x:c r="K68" s="66" t="n">
        <x:f>(E68-1)*Controls!$B$14+I68</x:f>
        <x:v>30</x:v>
      </x:c>
      <x:c r="L68" s="66" t="n">
        <x:f>K68+J68</x:f>
        <x:v>44</x:v>
      </x:c>
      <x:c r="M68" s="67" t="n">
        <x:f>H68*INDEX('Form Warrants'!$H$5:$H$22,MATCH(B68,'Form Warrants'!$A$5:$A$22,0))</x:f>
        <x:v>0.010758905661763686</x:v>
      </x:c>
      <x:c r="N68" s="66" t="n">
        <x:f>IF(M68&gt;0,1,0)</x:f>
        <x:v>1</x:v>
      </x:c>
      <x:c r="O68" s="67" t="n">
        <x:f>IF(E68=1,M68,0)</x:f>
        <x:v>0</x:v>
      </x:c>
      <x:c r="P68" s="66" t="n">
        <x:f>IF(E68=1,1,0)</x:f>
        <x:v>0</x:v>
      </x:c>
      <x:c r="Q68" s="66" t="n">
        <x:v>0</x:v>
      </x:c>
      <x:c r="R68" s="67" t="n">
        <x:v>0</x:v>
      </x:c>
      <x:c r="S68" s="66" t="n">
        <x:v>0</x:v>
      </x:c>
      <x:c r="T68" s="66" t="n">
        <x:v>0</x:v>
      </x:c>
      <x:c r="U68" s="65" t="str">
        <x:f>IF(E68=1,IF(AND(N68=1,ABS(O68-M68)&lt;0.0000001,P68=1,Q68=0,R68=0,S68=0,T68=0,L68&lt;=Controls!$B$14),"OBLIGATED / ACTIVE","INVALID"),IF(AND(N68=1,O68=0,P68=0,Q68=0,R68=0,S68=0,T68=0),"RESERVED / HELD","INVALID"))</x:f>
        <x:v>RESERVED / HELD</x:v>
      </x:c>
      <x:c r="V68" s="66" t="n">
        <x:f>COUNTIFS($B$5:$B$94,B68)</x:f>
        <x:v>5</x:v>
      </x:c>
    </x:row>
    <x:row r="69">
      <x:c r="A69" s="65" t="str">
        <x:v>P065</x:v>
      </x:c>
      <x:c r="B69" s="65" t="str">
        <x:v>HU-A-A</x:v>
      </x:c>
      <x:c r="C69" s="65" t="str">
        <x:v>HU-A</x:v>
      </x:c>
      <x:c r="D69" s="65" t="str">
        <x:v>A</x:v>
      </x:c>
      <x:c r="E69" s="66" t="n">
        <x:v>2</x:v>
      </x:c>
      <x:c r="F69" s="66" t="str">
        <x:v>REBUILD</x:v>
      </x:c>
      <x:c r="G69" s="65" t="str">
        <x:v>Cold reconstruction and challenge</x:v>
      </x:c>
      <x:c r="H69" s="77" t="n">
        <x:v>0.15</x:v>
      </x:c>
      <x:c r="I69" s="66" t="n">
        <x:v>18</x:v>
      </x:c>
      <x:c r="J69" s="66" t="n">
        <x:v>6</x:v>
      </x:c>
      <x:c r="K69" s="66" t="n">
        <x:f>(E69-1)*Controls!$B$14+I69</x:f>
        <x:v>42</x:v>
      </x:c>
      <x:c r="L69" s="66" t="n">
        <x:f>K69+J69</x:f>
        <x:v>48</x:v>
      </x:c>
      <x:c r="M69" s="67" t="n">
        <x:f>H69*INDEX('Form Warrants'!$H$5:$H$22,MATCH(B69,'Form Warrants'!$A$5:$A$22,0))</x:f>
        <x:v>0.0064553433970582115</x:v>
      </x:c>
      <x:c r="N69" s="66" t="n">
        <x:f>IF(M69&gt;0,1,0)</x:f>
        <x:v>1</x:v>
      </x:c>
      <x:c r="O69" s="67" t="n">
        <x:f>IF(E69=1,M69,0)</x:f>
        <x:v>0</x:v>
      </x:c>
      <x:c r="P69" s="66" t="n">
        <x:f>IF(E69=1,1,0)</x:f>
        <x:v>0</x:v>
      </x:c>
      <x:c r="Q69" s="66" t="n">
        <x:v>0</x:v>
      </x:c>
      <x:c r="R69" s="67" t="n">
        <x:v>0</x:v>
      </x:c>
      <x:c r="S69" s="66" t="n">
        <x:v>0</x:v>
      </x:c>
      <x:c r="T69" s="66" t="n">
        <x:v>0</x:v>
      </x:c>
      <x:c r="U69" s="65" t="str">
        <x:f>IF(E69=1,IF(AND(N69=1,ABS(O69-M69)&lt;0.0000001,P69=1,Q69=0,R69=0,S69=0,T69=0,L69&lt;=Controls!$B$14),"OBLIGATED / ACTIVE","INVALID"),IF(AND(N69=1,O69=0,P69=0,Q69=0,R69=0,S69=0,T69=0),"RESERVED / HELD","INVALID"))</x:f>
        <x:v>RESERVED / HELD</x:v>
      </x:c>
      <x:c r="V69" s="66" t="n">
        <x:f>COUNTIFS($B$5:$B$94,B69)</x:f>
        <x:v>5</x:v>
      </x:c>
    </x:row>
    <x:row r="70">
      <x:c r="A70" s="65" t="str">
        <x:v>P066</x:v>
      </x:c>
      <x:c r="B70" s="65" t="str">
        <x:v>HU-A-B</x:v>
      </x:c>
      <x:c r="C70" s="65" t="str">
        <x:v>HU-A</x:v>
      </x:c>
      <x:c r="D70" s="65" t="str">
        <x:v>B</x:v>
      </x:c>
      <x:c r="E70" s="66" t="n">
        <x:v>1</x:v>
      </x:c>
      <x:c r="F70" s="66" t="str">
        <x:v>METHOD</x:v>
      </x:c>
      <x:c r="G70" s="65" t="str">
        <x:v>Event method and denominator</x:v>
      </x:c>
      <x:c r="H70" s="77" t="n">
        <x:v>0.2</x:v>
      </x:c>
      <x:c r="I70" s="66" t="n">
        <x:v>0</x:v>
      </x:c>
      <x:c r="J70" s="66" t="n">
        <x:v>4</x:v>
      </x:c>
      <x:c r="K70" s="66" t="n">
        <x:f>(E70-1)*Controls!$B$14+I70</x:f>
        <x:v>0</x:v>
      </x:c>
      <x:c r="L70" s="66" t="n">
        <x:f>K70+J70</x:f>
        <x:v>4</x:v>
      </x:c>
      <x:c r="M70" s="67" t="n">
        <x:f>H70*INDEX('Form Warrants'!$H$5:$H$22,MATCH(B70,'Form Warrants'!$A$5:$A$22,0))</x:f>
        <x:v>0.00860712452941095</x:v>
      </x:c>
      <x:c r="N70" s="66" t="n">
        <x:f>IF(M70&gt;0,1,0)</x:f>
        <x:v>1</x:v>
      </x:c>
      <x:c r="O70" s="67" t="n">
        <x:f>IF(E70=1,M70,0)</x:f>
        <x:v>0.00860712452941095</x:v>
      </x:c>
      <x:c r="P70" s="66" t="n">
        <x:f>IF(E70=1,1,0)</x:f>
        <x:v>1</x:v>
      </x:c>
      <x:c r="Q70" s="66" t="n">
        <x:v>0</x:v>
      </x:c>
      <x:c r="R70" s="67" t="n">
        <x:v>0</x:v>
      </x:c>
      <x:c r="S70" s="66" t="n">
        <x:v>0</x:v>
      </x:c>
      <x:c r="T70" s="66" t="n">
        <x:v>0</x:v>
      </x:c>
      <x:c r="U70" s="65" t="str">
        <x:f>IF(E70=1,IF(AND(N70=1,ABS(O70-M70)&lt;0.0000001,P70=1,Q70=0,R70=0,S70=0,T70=0,L70&lt;=Controls!$B$14),"OBLIGATED / ACTIVE","INVALID"),IF(AND(N70=1,O70=0,P70=0,Q70=0,R70=0,S70=0,T70=0),"RESERVED / HELD","INVALID"))</x:f>
        <x:v>OBLIGATED / ACTIVE</x:v>
      </x:c>
      <x:c r="V70" s="66" t="n">
        <x:f>COUNTIFS($B$5:$B$94,B70)</x:f>
        <x:v>5</x:v>
      </x:c>
    </x:row>
    <x:row r="71">
      <x:c r="A71" s="65" t="str">
        <x:v>P067</x:v>
      </x:c>
      <x:c r="B71" s="65" t="str">
        <x:v>HU-A-B</x:v>
      </x:c>
      <x:c r="C71" s="65" t="str">
        <x:v>HU-A</x:v>
      </x:c>
      <x:c r="D71" s="65" t="str">
        <x:v>B</x:v>
      </x:c>
      <x:c r="E71" s="66" t="n">
        <x:v>1</x:v>
      </x:c>
      <x:c r="F71" s="66" t="str">
        <x:v>MEASURE</x:v>
      </x:c>
      <x:c r="G71" s="65" t="str">
        <x:v>Instrumentation, custody and validity</x:v>
      </x:c>
      <x:c r="H71" s="77" t="n">
        <x:v>0.25</x:v>
      </x:c>
      <x:c r="I71" s="66" t="n">
        <x:v>2</x:v>
      </x:c>
      <x:c r="J71" s="66" t="n">
        <x:v>8</x:v>
      </x:c>
      <x:c r="K71" s="66" t="n">
        <x:f>(E71-1)*Controls!$B$14+I71</x:f>
        <x:v>2</x:v>
      </x:c>
      <x:c r="L71" s="66" t="n">
        <x:f>K71+J71</x:f>
        <x:v>10</x:v>
      </x:c>
      <x:c r="M71" s="67" t="n">
        <x:f>H71*INDEX('Form Warrants'!$H$5:$H$22,MATCH(B71,'Form Warrants'!$A$5:$A$22,0))</x:f>
        <x:v>0.010758905661763686</x:v>
      </x:c>
      <x:c r="N71" s="66" t="n">
        <x:f>IF(M71&gt;0,1,0)</x:f>
        <x:v>1</x:v>
      </x:c>
      <x:c r="O71" s="67" t="n">
        <x:f>IF(E71=1,M71,0)</x:f>
        <x:v>0.010758905661763686</x:v>
      </x:c>
      <x:c r="P71" s="66" t="n">
        <x:f>IF(E71=1,1,0)</x:f>
        <x:v>1</x:v>
      </x:c>
      <x:c r="Q71" s="66" t="n">
        <x:v>0</x:v>
      </x:c>
      <x:c r="R71" s="67" t="n">
        <x:v>0</x:v>
      </x:c>
      <x:c r="S71" s="66" t="n">
        <x:v>0</x:v>
      </x:c>
      <x:c r="T71" s="66" t="n">
        <x:v>0</x:v>
      </x:c>
      <x:c r="U71" s="65" t="str">
        <x:f>IF(E71=1,IF(AND(N71=1,ABS(O71-M71)&lt;0.0000001,P71=1,Q71=0,R71=0,S71=0,T71=0,L71&lt;=Controls!$B$14),"OBLIGATED / ACTIVE","INVALID"),IF(AND(N71=1,O71=0,P71=0,Q71=0,R71=0,S71=0,T71=0),"RESERVED / HELD","INVALID"))</x:f>
        <x:v>OBLIGATED / ACTIVE</x:v>
      </x:c>
      <x:c r="V71" s="66" t="n">
        <x:f>COUNTIFS($B$5:$B$94,B71)</x:f>
        <x:v>5</x:v>
      </x:c>
    </x:row>
    <x:row r="72">
      <x:c r="A72" s="65" t="str">
        <x:v>P068</x:v>
      </x:c>
      <x:c r="B72" s="65" t="str">
        <x:v>HU-A-B</x:v>
      </x:c>
      <x:c r="C72" s="65" t="str">
        <x:v>HU-A</x:v>
      </x:c>
      <x:c r="D72" s="65" t="str">
        <x:v>B</x:v>
      </x:c>
      <x:c r="E72" s="66" t="n">
        <x:v>1</x:v>
      </x:c>
      <x:c r="F72" s="66" t="str">
        <x:v>CIVIL</x:v>
      </x:c>
      <x:c r="G72" s="65" t="str">
        <x:v>Rights, receiver and residual closure</x:v>
      </x:c>
      <x:c r="H72" s="77" t="n">
        <x:v>0.15</x:v>
      </x:c>
      <x:c r="I72" s="66" t="n">
        <x:v>0</x:v>
      </x:c>
      <x:c r="J72" s="66" t="n">
        <x:v>8</x:v>
      </x:c>
      <x:c r="K72" s="66" t="n">
        <x:f>(E72-1)*Controls!$B$14+I72</x:f>
        <x:v>0</x:v>
      </x:c>
      <x:c r="L72" s="66" t="n">
        <x:f>K72+J72</x:f>
        <x:v>8</x:v>
      </x:c>
      <x:c r="M72" s="67" t="n">
        <x:f>H72*INDEX('Form Warrants'!$H$5:$H$22,MATCH(B72,'Form Warrants'!$A$5:$A$22,0))</x:f>
        <x:v>0.0064553433970582115</x:v>
      </x:c>
      <x:c r="N72" s="66" t="n">
        <x:f>IF(M72&gt;0,1,0)</x:f>
        <x:v>1</x:v>
      </x:c>
      <x:c r="O72" s="67" t="n">
        <x:f>IF(E72=1,M72,0)</x:f>
        <x:v>0.0064553433970582115</x:v>
      </x:c>
      <x:c r="P72" s="66" t="n">
        <x:f>IF(E72=1,1,0)</x:f>
        <x:v>1</x:v>
      </x:c>
      <x:c r="Q72" s="66" t="n">
        <x:v>0</x:v>
      </x:c>
      <x:c r="R72" s="67" t="n">
        <x:v>0</x:v>
      </x:c>
      <x:c r="S72" s="66" t="n">
        <x:v>0</x:v>
      </x:c>
      <x:c r="T72" s="66" t="n">
        <x:v>0</x:v>
      </x:c>
      <x:c r="U72" s="65" t="str">
        <x:f>IF(E72=1,IF(AND(N72=1,ABS(O72-M72)&lt;0.0000001,P72=1,Q72=0,R72=0,S72=0,T72=0,L72&lt;=Controls!$B$14),"OBLIGATED / ACTIVE","INVALID"),IF(AND(N72=1,O72=0,P72=0,Q72=0,R72=0,S72=0,T72=0),"RESERVED / HELD","INVALID"))</x:f>
        <x:v>OBLIGATED / ACTIVE</x:v>
      </x:c>
      <x:c r="V72" s="66" t="n">
        <x:f>COUNTIFS($B$5:$B$94,B72)</x:f>
        <x:v>5</x:v>
      </x:c>
    </x:row>
    <x:row r="73">
      <x:c r="A73" s="65" t="str">
        <x:v>P069</x:v>
      </x:c>
      <x:c r="B73" s="65" t="str">
        <x:v>HU-A-B</x:v>
      </x:c>
      <x:c r="C73" s="65" t="str">
        <x:v>HU-A</x:v>
      </x:c>
      <x:c r="D73" s="65" t="str">
        <x:v>B</x:v>
      </x:c>
      <x:c r="E73" s="66" t="n">
        <x:v>1</x:v>
      </x:c>
      <x:c r="F73" s="66" t="str">
        <x:v>ARTICLE</x:v>
      </x:c>
      <x:c r="G73" s="65" t="str">
        <x:v>Destructive-article engineering</x:v>
      </x:c>
      <x:c r="H73" s="77" t="n">
        <x:v>0.25</x:v>
      </x:c>
      <x:c r="I73" s="66" t="n">
        <x:v>6</x:v>
      </x:c>
      <x:c r="J73" s="66" t="n">
        <x:v>14</x:v>
      </x:c>
      <x:c r="K73" s="66" t="n">
        <x:f>(E73-1)*Controls!$B$14+I73</x:f>
        <x:v>6</x:v>
      </x:c>
      <x:c r="L73" s="66" t="n">
        <x:f>K73+J73</x:f>
        <x:v>20</x:v>
      </x:c>
      <x:c r="M73" s="67" t="n">
        <x:f>H73*INDEX('Form Warrants'!$H$5:$H$22,MATCH(B73,'Form Warrants'!$A$5:$A$22,0))</x:f>
        <x:v>0.010758905661763686</x:v>
      </x:c>
      <x:c r="N73" s="66" t="n">
        <x:f>IF(M73&gt;0,1,0)</x:f>
        <x:v>1</x:v>
      </x:c>
      <x:c r="O73" s="67" t="n">
        <x:f>IF(E73=1,M73,0)</x:f>
        <x:v>0.010758905661763686</x:v>
      </x:c>
      <x:c r="P73" s="66" t="n">
        <x:f>IF(E73=1,1,0)</x:f>
        <x:v>1</x:v>
      </x:c>
      <x:c r="Q73" s="66" t="n">
        <x:v>0</x:v>
      </x:c>
      <x:c r="R73" s="67" t="n">
        <x:v>0</x:v>
      </x:c>
      <x:c r="S73" s="66" t="n">
        <x:v>0</x:v>
      </x:c>
      <x:c r="T73" s="66" t="n">
        <x:v>0</x:v>
      </x:c>
      <x:c r="U73" s="65" t="str">
        <x:f>IF(E73=1,IF(AND(N73=1,ABS(O73-M73)&lt;0.0000001,P73=1,Q73=0,R73=0,S73=0,T73=0,L73&lt;=Controls!$B$14),"OBLIGATED / ACTIVE","INVALID"),IF(AND(N73=1,O73=0,P73=0,Q73=0,R73=0,S73=0,T73=0),"RESERVED / HELD","INVALID"))</x:f>
        <x:v>OBLIGATED / ACTIVE</x:v>
      </x:c>
      <x:c r="V73" s="66" t="n">
        <x:f>COUNTIFS($B$5:$B$94,B73)</x:f>
        <x:v>5</x:v>
      </x:c>
    </x:row>
    <x:row r="74">
      <x:c r="A74" s="65" t="str">
        <x:v>P070</x:v>
      </x:c>
      <x:c r="B74" s="65" t="str">
        <x:v>HU-A-B</x:v>
      </x:c>
      <x:c r="C74" s="65" t="str">
        <x:v>HU-A</x:v>
      </x:c>
      <x:c r="D74" s="65" t="str">
        <x:v>B</x:v>
      </x:c>
      <x:c r="E74" s="66" t="n">
        <x:v>1</x:v>
      </x:c>
      <x:c r="F74" s="66" t="str">
        <x:v>REBUILD</x:v>
      </x:c>
      <x:c r="G74" s="65" t="str">
        <x:v>Cold reconstruction and challenge</x:v>
      </x:c>
      <x:c r="H74" s="77" t="n">
        <x:v>0.15</x:v>
      </x:c>
      <x:c r="I74" s="66" t="n">
        <x:v>18</x:v>
      </x:c>
      <x:c r="J74" s="66" t="n">
        <x:v>6</x:v>
      </x:c>
      <x:c r="K74" s="66" t="n">
        <x:f>(E74-1)*Controls!$B$14+I74</x:f>
        <x:v>18</x:v>
      </x:c>
      <x:c r="L74" s="66" t="n">
        <x:f>K74+J74</x:f>
        <x:v>24</x:v>
      </x:c>
      <x:c r="M74" s="67" t="n">
        <x:f>H74*INDEX('Form Warrants'!$H$5:$H$22,MATCH(B74,'Form Warrants'!$A$5:$A$22,0))</x:f>
        <x:v>0.0064553433970582115</x:v>
      </x:c>
      <x:c r="N74" s="66" t="n">
        <x:f>IF(M74&gt;0,1,0)</x:f>
        <x:v>1</x:v>
      </x:c>
      <x:c r="O74" s="67" t="n">
        <x:f>IF(E74=1,M74,0)</x:f>
        <x:v>0.0064553433970582115</x:v>
      </x:c>
      <x:c r="P74" s="66" t="n">
        <x:f>IF(E74=1,1,0)</x:f>
        <x:v>1</x:v>
      </x:c>
      <x:c r="Q74" s="66" t="n">
        <x:v>0</x:v>
      </x:c>
      <x:c r="R74" s="67" t="n">
        <x:v>0</x:v>
      </x:c>
      <x:c r="S74" s="66" t="n">
        <x:v>0</x:v>
      </x:c>
      <x:c r="T74" s="66" t="n">
        <x:v>0</x:v>
      </x:c>
      <x:c r="U74" s="65" t="str">
        <x:f>IF(E74=1,IF(AND(N74=1,ABS(O74-M74)&lt;0.0000001,P74=1,Q74=0,R74=0,S74=0,T74=0,L74&lt;=Controls!$B$14),"OBLIGATED / ACTIVE","INVALID"),IF(AND(N74=1,O74=0,P74=0,Q74=0,R74=0,S74=0,T74=0),"RESERVED / HELD","INVALID"))</x:f>
        <x:v>OBLIGATED / ACTIVE</x:v>
      </x:c>
      <x:c r="V74" s="66" t="n">
        <x:f>COUNTIFS($B$5:$B$94,B74)</x:f>
        <x:v>5</x:v>
      </x:c>
    </x:row>
    <x:row r="75">
      <x:c r="A75" s="65" t="str">
        <x:v>P071</x:v>
      </x:c>
      <x:c r="B75" s="65" t="str">
        <x:v>HU-A-C</x:v>
      </x:c>
      <x:c r="C75" s="65" t="str">
        <x:v>HU-A</x:v>
      </x:c>
      <x:c r="D75" s="65" t="str">
        <x:v>C</x:v>
      </x:c>
      <x:c r="E75" s="66" t="n">
        <x:v>3</x:v>
      </x:c>
      <x:c r="F75" s="66" t="str">
        <x:v>METHOD</x:v>
      </x:c>
      <x:c r="G75" s="65" t="str">
        <x:v>Event method and denominator</x:v>
      </x:c>
      <x:c r="H75" s="77" t="n">
        <x:v>0.2</x:v>
      </x:c>
      <x:c r="I75" s="66" t="n">
        <x:v>0</x:v>
      </x:c>
      <x:c r="J75" s="66" t="n">
        <x:v>4</x:v>
      </x:c>
      <x:c r="K75" s="66" t="n">
        <x:f>(E75-1)*Controls!$B$14+I75</x:f>
        <x:v>48</x:v>
      </x:c>
      <x:c r="L75" s="66" t="n">
        <x:f>K75+J75</x:f>
        <x:v>52</x:v>
      </x:c>
      <x:c r="M75" s="67" t="n">
        <x:f>H75*INDEX('Form Warrants'!$H$5:$H$22,MATCH(B75,'Form Warrants'!$A$5:$A$22,0))</x:f>
        <x:v>0.00860712452941095</x:v>
      </x:c>
      <x:c r="N75" s="66" t="n">
        <x:f>IF(M75&gt;0,1,0)</x:f>
        <x:v>1</x:v>
      </x:c>
      <x:c r="O75" s="67" t="n">
        <x:f>IF(E75=1,M75,0)</x:f>
        <x:v>0</x:v>
      </x:c>
      <x:c r="P75" s="66" t="n">
        <x:f>IF(E75=1,1,0)</x:f>
        <x:v>0</x:v>
      </x:c>
      <x:c r="Q75" s="66" t="n">
        <x:v>0</x:v>
      </x:c>
      <x:c r="R75" s="67" t="n">
        <x:v>0</x:v>
      </x:c>
      <x:c r="S75" s="66" t="n">
        <x:v>0</x:v>
      </x:c>
      <x:c r="T75" s="66" t="n">
        <x:v>0</x:v>
      </x:c>
      <x:c r="U75" s="65" t="str">
        <x:f>IF(E75=1,IF(AND(N75=1,ABS(O75-M75)&lt;0.0000001,P75=1,Q75=0,R75=0,S75=0,T75=0,L75&lt;=Controls!$B$14),"OBLIGATED / ACTIVE","INVALID"),IF(AND(N75=1,O75=0,P75=0,Q75=0,R75=0,S75=0,T75=0),"RESERVED / HELD","INVALID"))</x:f>
        <x:v>RESERVED / HELD</x:v>
      </x:c>
      <x:c r="V75" s="66" t="n">
        <x:f>COUNTIFS($B$5:$B$94,B75)</x:f>
        <x:v>5</x:v>
      </x:c>
    </x:row>
    <x:row r="76">
      <x:c r="A76" s="65" t="str">
        <x:v>P072</x:v>
      </x:c>
      <x:c r="B76" s="65" t="str">
        <x:v>HU-A-C</x:v>
      </x:c>
      <x:c r="C76" s="65" t="str">
        <x:v>HU-A</x:v>
      </x:c>
      <x:c r="D76" s="65" t="str">
        <x:v>C</x:v>
      </x:c>
      <x:c r="E76" s="66" t="n">
        <x:v>3</x:v>
      </x:c>
      <x:c r="F76" s="66" t="str">
        <x:v>MEASURE</x:v>
      </x:c>
      <x:c r="G76" s="65" t="str">
        <x:v>Instrumentation, custody and validity</x:v>
      </x:c>
      <x:c r="H76" s="77" t="n">
        <x:v>0.25</x:v>
      </x:c>
      <x:c r="I76" s="66" t="n">
        <x:v>2</x:v>
      </x:c>
      <x:c r="J76" s="66" t="n">
        <x:v>8</x:v>
      </x:c>
      <x:c r="K76" s="66" t="n">
        <x:f>(E76-1)*Controls!$B$14+I76</x:f>
        <x:v>50</x:v>
      </x:c>
      <x:c r="L76" s="66" t="n">
        <x:f>K76+J76</x:f>
        <x:v>58</x:v>
      </x:c>
      <x:c r="M76" s="67" t="n">
        <x:f>H76*INDEX('Form Warrants'!$H$5:$H$22,MATCH(B76,'Form Warrants'!$A$5:$A$22,0))</x:f>
        <x:v>0.010758905661763686</x:v>
      </x:c>
      <x:c r="N76" s="66" t="n">
        <x:f>IF(M76&gt;0,1,0)</x:f>
        <x:v>1</x:v>
      </x:c>
      <x:c r="O76" s="67" t="n">
        <x:f>IF(E76=1,M76,0)</x:f>
        <x:v>0</x:v>
      </x:c>
      <x:c r="P76" s="66" t="n">
        <x:f>IF(E76=1,1,0)</x:f>
        <x:v>0</x:v>
      </x:c>
      <x:c r="Q76" s="66" t="n">
        <x:v>0</x:v>
      </x:c>
      <x:c r="R76" s="67" t="n">
        <x:v>0</x:v>
      </x:c>
      <x:c r="S76" s="66" t="n">
        <x:v>0</x:v>
      </x:c>
      <x:c r="T76" s="66" t="n">
        <x:v>0</x:v>
      </x:c>
      <x:c r="U76" s="65" t="str">
        <x:f>IF(E76=1,IF(AND(N76=1,ABS(O76-M76)&lt;0.0000001,P76=1,Q76=0,R76=0,S76=0,T76=0,L76&lt;=Controls!$B$14),"OBLIGATED / ACTIVE","INVALID"),IF(AND(N76=1,O76=0,P76=0,Q76=0,R76=0,S76=0,T76=0),"RESERVED / HELD","INVALID"))</x:f>
        <x:v>RESERVED / HELD</x:v>
      </x:c>
      <x:c r="V76" s="66" t="n">
        <x:f>COUNTIFS($B$5:$B$94,B76)</x:f>
        <x:v>5</x:v>
      </x:c>
    </x:row>
    <x:row r="77">
      <x:c r="A77" s="65" t="str">
        <x:v>P073</x:v>
      </x:c>
      <x:c r="B77" s="65" t="str">
        <x:v>HU-A-C</x:v>
      </x:c>
      <x:c r="C77" s="65" t="str">
        <x:v>HU-A</x:v>
      </x:c>
      <x:c r="D77" s="65" t="str">
        <x:v>C</x:v>
      </x:c>
      <x:c r="E77" s="66" t="n">
        <x:v>3</x:v>
      </x:c>
      <x:c r="F77" s="66" t="str">
        <x:v>CIVIL</x:v>
      </x:c>
      <x:c r="G77" s="65" t="str">
        <x:v>Rights, receiver and residual closure</x:v>
      </x:c>
      <x:c r="H77" s="77" t="n">
        <x:v>0.15</x:v>
      </x:c>
      <x:c r="I77" s="66" t="n">
        <x:v>0</x:v>
      </x:c>
      <x:c r="J77" s="66" t="n">
        <x:v>8</x:v>
      </x:c>
      <x:c r="K77" s="66" t="n">
        <x:f>(E77-1)*Controls!$B$14+I77</x:f>
        <x:v>48</x:v>
      </x:c>
      <x:c r="L77" s="66" t="n">
        <x:f>K77+J77</x:f>
        <x:v>56</x:v>
      </x:c>
      <x:c r="M77" s="67" t="n">
        <x:f>H77*INDEX('Form Warrants'!$H$5:$H$22,MATCH(B77,'Form Warrants'!$A$5:$A$22,0))</x:f>
        <x:v>0.0064553433970582115</x:v>
      </x:c>
      <x:c r="N77" s="66" t="n">
        <x:f>IF(M77&gt;0,1,0)</x:f>
        <x:v>1</x:v>
      </x:c>
      <x:c r="O77" s="67" t="n">
        <x:f>IF(E77=1,M77,0)</x:f>
        <x:v>0</x:v>
      </x:c>
      <x:c r="P77" s="66" t="n">
        <x:f>IF(E77=1,1,0)</x:f>
        <x:v>0</x:v>
      </x:c>
      <x:c r="Q77" s="66" t="n">
        <x:v>0</x:v>
      </x:c>
      <x:c r="R77" s="67" t="n">
        <x:v>0</x:v>
      </x:c>
      <x:c r="S77" s="66" t="n">
        <x:v>0</x:v>
      </x:c>
      <x:c r="T77" s="66" t="n">
        <x:v>0</x:v>
      </x:c>
      <x:c r="U77" s="65" t="str">
        <x:f>IF(E77=1,IF(AND(N77=1,ABS(O77-M77)&lt;0.0000001,P77=1,Q77=0,R77=0,S77=0,T77=0,L77&lt;=Controls!$B$14),"OBLIGATED / ACTIVE","INVALID"),IF(AND(N77=1,O77=0,P77=0,Q77=0,R77=0,S77=0,T77=0),"RESERVED / HELD","INVALID"))</x:f>
        <x:v>RESERVED / HELD</x:v>
      </x:c>
      <x:c r="V77" s="66" t="n">
        <x:f>COUNTIFS($B$5:$B$94,B77)</x:f>
        <x:v>5</x:v>
      </x:c>
    </x:row>
    <x:row r="78">
      <x:c r="A78" s="65" t="str">
        <x:v>P074</x:v>
      </x:c>
      <x:c r="B78" s="65" t="str">
        <x:v>HU-A-C</x:v>
      </x:c>
      <x:c r="C78" s="65" t="str">
        <x:v>HU-A</x:v>
      </x:c>
      <x:c r="D78" s="65" t="str">
        <x:v>C</x:v>
      </x:c>
      <x:c r="E78" s="66" t="n">
        <x:v>3</x:v>
      </x:c>
      <x:c r="F78" s="66" t="str">
        <x:v>ARTICLE</x:v>
      </x:c>
      <x:c r="G78" s="65" t="str">
        <x:v>Destructive-article engineering</x:v>
      </x:c>
      <x:c r="H78" s="77" t="n">
        <x:v>0.25</x:v>
      </x:c>
      <x:c r="I78" s="66" t="n">
        <x:v>6</x:v>
      </x:c>
      <x:c r="J78" s="66" t="n">
        <x:v>14</x:v>
      </x:c>
      <x:c r="K78" s="66" t="n">
        <x:f>(E78-1)*Controls!$B$14+I78</x:f>
        <x:v>54</x:v>
      </x:c>
      <x:c r="L78" s="66" t="n">
        <x:f>K78+J78</x:f>
        <x:v>68</x:v>
      </x:c>
      <x:c r="M78" s="67" t="n">
        <x:f>H78*INDEX('Form Warrants'!$H$5:$H$22,MATCH(B78,'Form Warrants'!$A$5:$A$22,0))</x:f>
        <x:v>0.010758905661763686</x:v>
      </x:c>
      <x:c r="N78" s="66" t="n">
        <x:f>IF(M78&gt;0,1,0)</x:f>
        <x:v>1</x:v>
      </x:c>
      <x:c r="O78" s="67" t="n">
        <x:f>IF(E78=1,M78,0)</x:f>
        <x:v>0</x:v>
      </x:c>
      <x:c r="P78" s="66" t="n">
        <x:f>IF(E78=1,1,0)</x:f>
        <x:v>0</x:v>
      </x:c>
      <x:c r="Q78" s="66" t="n">
        <x:v>0</x:v>
      </x:c>
      <x:c r="R78" s="67" t="n">
        <x:v>0</x:v>
      </x:c>
      <x:c r="S78" s="66" t="n">
        <x:v>0</x:v>
      </x:c>
      <x:c r="T78" s="66" t="n">
        <x:v>0</x:v>
      </x:c>
      <x:c r="U78" s="65" t="str">
        <x:f>IF(E78=1,IF(AND(N78=1,ABS(O78-M78)&lt;0.0000001,P78=1,Q78=0,R78=0,S78=0,T78=0,L78&lt;=Controls!$B$14),"OBLIGATED / ACTIVE","INVALID"),IF(AND(N78=1,O78=0,P78=0,Q78=0,R78=0,S78=0,T78=0),"RESERVED / HELD","INVALID"))</x:f>
        <x:v>RESERVED / HELD</x:v>
      </x:c>
      <x:c r="V78" s="66" t="n">
        <x:f>COUNTIFS($B$5:$B$94,B78)</x:f>
        <x:v>5</x:v>
      </x:c>
    </x:row>
    <x:row r="79">
      <x:c r="A79" s="65" t="str">
        <x:v>P075</x:v>
      </x:c>
      <x:c r="B79" s="65" t="str">
        <x:v>HU-A-C</x:v>
      </x:c>
      <x:c r="C79" s="65" t="str">
        <x:v>HU-A</x:v>
      </x:c>
      <x:c r="D79" s="65" t="str">
        <x:v>C</x:v>
      </x:c>
      <x:c r="E79" s="66" t="n">
        <x:v>3</x:v>
      </x:c>
      <x:c r="F79" s="66" t="str">
        <x:v>REBUILD</x:v>
      </x:c>
      <x:c r="G79" s="65" t="str">
        <x:v>Cold reconstruction and challenge</x:v>
      </x:c>
      <x:c r="H79" s="77" t="n">
        <x:v>0.15</x:v>
      </x:c>
      <x:c r="I79" s="66" t="n">
        <x:v>18</x:v>
      </x:c>
      <x:c r="J79" s="66" t="n">
        <x:v>6</x:v>
      </x:c>
      <x:c r="K79" s="66" t="n">
        <x:f>(E79-1)*Controls!$B$14+I79</x:f>
        <x:v>66</x:v>
      </x:c>
      <x:c r="L79" s="66" t="n">
        <x:f>K79+J79</x:f>
        <x:v>72</x:v>
      </x:c>
      <x:c r="M79" s="67" t="n">
        <x:f>H79*INDEX('Form Warrants'!$H$5:$H$22,MATCH(B79,'Form Warrants'!$A$5:$A$22,0))</x:f>
        <x:v>0.0064553433970582115</x:v>
      </x:c>
      <x:c r="N79" s="66" t="n">
        <x:f>IF(M79&gt;0,1,0)</x:f>
        <x:v>1</x:v>
      </x:c>
      <x:c r="O79" s="67" t="n">
        <x:f>IF(E79=1,M79,0)</x:f>
        <x:v>0</x:v>
      </x:c>
      <x:c r="P79" s="66" t="n">
        <x:f>IF(E79=1,1,0)</x:f>
        <x:v>0</x:v>
      </x:c>
      <x:c r="Q79" s="66" t="n">
        <x:v>0</x:v>
      </x:c>
      <x:c r="R79" s="67" t="n">
        <x:v>0</x:v>
      </x:c>
      <x:c r="S79" s="66" t="n">
        <x:v>0</x:v>
      </x:c>
      <x:c r="T79" s="66" t="n">
        <x:v>0</x:v>
      </x:c>
      <x:c r="U79" s="65" t="str">
        <x:f>IF(E79=1,IF(AND(N79=1,ABS(O79-M79)&lt;0.0000001,P79=1,Q79=0,R79=0,S79=0,T79=0,L79&lt;=Controls!$B$14),"OBLIGATED / ACTIVE","INVALID"),IF(AND(N79=1,O79=0,P79=0,Q79=0,R79=0,S79=0,T79=0),"RESERVED / HELD","INVALID"))</x:f>
        <x:v>RESERVED / HELD</x:v>
      </x:c>
      <x:c r="V79" s="66" t="n">
        <x:f>COUNTIFS($B$5:$B$94,B79)</x:f>
        <x:v>5</x:v>
      </x:c>
    </x:row>
    <x:row r="80">
      <x:c r="A80" s="65" t="str">
        <x:v>P076</x:v>
      </x:c>
      <x:c r="B80" s="65" t="str">
        <x:v>RT-B-A</x:v>
      </x:c>
      <x:c r="C80" s="65" t="str">
        <x:v>RT-B</x:v>
      </x:c>
      <x:c r="D80" s="65" t="str">
        <x:v>A</x:v>
      </x:c>
      <x:c r="E80" s="66" t="n">
        <x:v>3</x:v>
      </x:c>
      <x:c r="F80" s="66" t="str">
        <x:v>METHOD</x:v>
      </x:c>
      <x:c r="G80" s="65" t="str">
        <x:v>Event method and denominator</x:v>
      </x:c>
      <x:c r="H80" s="77" t="n">
        <x:v>0.2</x:v>
      </x:c>
      <x:c r="I80" s="66" t="n">
        <x:v>0</x:v>
      </x:c>
      <x:c r="J80" s="66" t="n">
        <x:v>4</x:v>
      </x:c>
      <x:c r="K80" s="66" t="n">
        <x:f>(E80-1)*Controls!$B$14+I80</x:f>
        <x:v>48</x:v>
      </x:c>
      <x:c r="L80" s="66" t="n">
        <x:f>K80+J80</x:f>
        <x:v>52</x:v>
      </x:c>
      <x:c r="M80" s="67" t="n">
        <x:f>H80*INDEX('Form Warrants'!$H$5:$H$22,MATCH(B80,'Form Warrants'!$A$5:$A$22,0))</x:f>
        <x:v>0.005025977931359629</x:v>
      </x:c>
      <x:c r="N80" s="66" t="n">
        <x:f>IF(M80&gt;0,1,0)</x:f>
        <x:v>1</x:v>
      </x:c>
      <x:c r="O80" s="67" t="n">
        <x:f>IF(E80=1,M80,0)</x:f>
        <x:v>0</x:v>
      </x:c>
      <x:c r="P80" s="66" t="n">
        <x:f>IF(E80=1,1,0)</x:f>
        <x:v>0</x:v>
      </x:c>
      <x:c r="Q80" s="66" t="n">
        <x:v>0</x:v>
      </x:c>
      <x:c r="R80" s="67" t="n">
        <x:v>0</x:v>
      </x:c>
      <x:c r="S80" s="66" t="n">
        <x:v>0</x:v>
      </x:c>
      <x:c r="T80" s="66" t="n">
        <x:v>0</x:v>
      </x:c>
      <x:c r="U80" s="65" t="str">
        <x:f>IF(E80=1,IF(AND(N80=1,ABS(O80-M80)&lt;0.0000001,P80=1,Q80=0,R80=0,S80=0,T80=0,L80&lt;=Controls!$B$14),"OBLIGATED / ACTIVE","INVALID"),IF(AND(N80=1,O80=0,P80=0,Q80=0,R80=0,S80=0,T80=0),"RESERVED / HELD","INVALID"))</x:f>
        <x:v>RESERVED / HELD</x:v>
      </x:c>
      <x:c r="V80" s="66" t="n">
        <x:f>COUNTIFS($B$5:$B$94,B80)</x:f>
        <x:v>5</x:v>
      </x:c>
    </x:row>
    <x:row r="81">
      <x:c r="A81" s="65" t="str">
        <x:v>P077</x:v>
      </x:c>
      <x:c r="B81" s="65" t="str">
        <x:v>RT-B-A</x:v>
      </x:c>
      <x:c r="C81" s="65" t="str">
        <x:v>RT-B</x:v>
      </x:c>
      <x:c r="D81" s="65" t="str">
        <x:v>A</x:v>
      </x:c>
      <x:c r="E81" s="66" t="n">
        <x:v>3</x:v>
      </x:c>
      <x:c r="F81" s="66" t="str">
        <x:v>MEASURE</x:v>
      </x:c>
      <x:c r="G81" s="65" t="str">
        <x:v>Instrumentation, custody and validity</x:v>
      </x:c>
      <x:c r="H81" s="77" t="n">
        <x:v>0.25</x:v>
      </x:c>
      <x:c r="I81" s="66" t="n">
        <x:v>2</x:v>
      </x:c>
      <x:c r="J81" s="66" t="n">
        <x:v>8</x:v>
      </x:c>
      <x:c r="K81" s="66" t="n">
        <x:f>(E81-1)*Controls!$B$14+I81</x:f>
        <x:v>50</x:v>
      </x:c>
      <x:c r="L81" s="66" t="n">
        <x:f>K81+J81</x:f>
        <x:v>58</x:v>
      </x:c>
      <x:c r="M81" s="67" t="n">
        <x:f>H81*INDEX('Form Warrants'!$H$5:$H$22,MATCH(B81,'Form Warrants'!$A$5:$A$22,0))</x:f>
        <x:v>0.0062824724141995365</x:v>
      </x:c>
      <x:c r="N81" s="66" t="n">
        <x:f>IF(M81&gt;0,1,0)</x:f>
        <x:v>1</x:v>
      </x:c>
      <x:c r="O81" s="67" t="n">
        <x:f>IF(E81=1,M81,0)</x:f>
        <x:v>0</x:v>
      </x:c>
      <x:c r="P81" s="66" t="n">
        <x:f>IF(E81=1,1,0)</x:f>
        <x:v>0</x:v>
      </x:c>
      <x:c r="Q81" s="66" t="n">
        <x:v>0</x:v>
      </x:c>
      <x:c r="R81" s="67" t="n">
        <x:v>0</x:v>
      </x:c>
      <x:c r="S81" s="66" t="n">
        <x:v>0</x:v>
      </x:c>
      <x:c r="T81" s="66" t="n">
        <x:v>0</x:v>
      </x:c>
      <x:c r="U81" s="65" t="str">
        <x:f>IF(E81=1,IF(AND(N81=1,ABS(O81-M81)&lt;0.0000001,P81=1,Q81=0,R81=0,S81=0,T81=0,L81&lt;=Controls!$B$14),"OBLIGATED / ACTIVE","INVALID"),IF(AND(N81=1,O81=0,P81=0,Q81=0,R81=0,S81=0,T81=0),"RESERVED / HELD","INVALID"))</x:f>
        <x:v>RESERVED / HELD</x:v>
      </x:c>
      <x:c r="V81" s="66" t="n">
        <x:f>COUNTIFS($B$5:$B$94,B81)</x:f>
        <x:v>5</x:v>
      </x:c>
    </x:row>
    <x:row r="82">
      <x:c r="A82" s="65" t="str">
        <x:v>P078</x:v>
      </x:c>
      <x:c r="B82" s="65" t="str">
        <x:v>RT-B-A</x:v>
      </x:c>
      <x:c r="C82" s="65" t="str">
        <x:v>RT-B</x:v>
      </x:c>
      <x:c r="D82" s="65" t="str">
        <x:v>A</x:v>
      </x:c>
      <x:c r="E82" s="66" t="n">
        <x:v>3</x:v>
      </x:c>
      <x:c r="F82" s="66" t="str">
        <x:v>CIVIL</x:v>
      </x:c>
      <x:c r="G82" s="65" t="str">
        <x:v>Rights, receiver and residual closure</x:v>
      </x:c>
      <x:c r="H82" s="77" t="n">
        <x:v>0.15</x:v>
      </x:c>
      <x:c r="I82" s="66" t="n">
        <x:v>0</x:v>
      </x:c>
      <x:c r="J82" s="66" t="n">
        <x:v>8</x:v>
      </x:c>
      <x:c r="K82" s="66" t="n">
        <x:f>(E82-1)*Controls!$B$14+I82</x:f>
        <x:v>48</x:v>
      </x:c>
      <x:c r="L82" s="66" t="n">
        <x:f>K82+J82</x:f>
        <x:v>56</x:v>
      </x:c>
      <x:c r="M82" s="67" t="n">
        <x:f>H82*INDEX('Form Warrants'!$H$5:$H$22,MATCH(B82,'Form Warrants'!$A$5:$A$22,0))</x:f>
        <x:v>0.003769483448519722</x:v>
      </x:c>
      <x:c r="N82" s="66" t="n">
        <x:f>IF(M82&gt;0,1,0)</x:f>
        <x:v>1</x:v>
      </x:c>
      <x:c r="O82" s="67" t="n">
        <x:f>IF(E82=1,M82,0)</x:f>
        <x:v>0</x:v>
      </x:c>
      <x:c r="P82" s="66" t="n">
        <x:f>IF(E82=1,1,0)</x:f>
        <x:v>0</x:v>
      </x:c>
      <x:c r="Q82" s="66" t="n">
        <x:v>0</x:v>
      </x:c>
      <x:c r="R82" s="67" t="n">
        <x:v>0</x:v>
      </x:c>
      <x:c r="S82" s="66" t="n">
        <x:v>0</x:v>
      </x:c>
      <x:c r="T82" s="66" t="n">
        <x:v>0</x:v>
      </x:c>
      <x:c r="U82" s="65" t="str">
        <x:f>IF(E82=1,IF(AND(N82=1,ABS(O82-M82)&lt;0.0000001,P82=1,Q82=0,R82=0,S82=0,T82=0,L82&lt;=Controls!$B$14),"OBLIGATED / ACTIVE","INVALID"),IF(AND(N82=1,O82=0,P82=0,Q82=0,R82=0,S82=0,T82=0),"RESERVED / HELD","INVALID"))</x:f>
        <x:v>RESERVED / HELD</x:v>
      </x:c>
      <x:c r="V82" s="66" t="n">
        <x:f>COUNTIFS($B$5:$B$94,B82)</x:f>
        <x:v>5</x:v>
      </x:c>
    </x:row>
    <x:row r="83">
      <x:c r="A83" s="65" t="str">
        <x:v>P079</x:v>
      </x:c>
      <x:c r="B83" s="65" t="str">
        <x:v>RT-B-A</x:v>
      </x:c>
      <x:c r="C83" s="65" t="str">
        <x:v>RT-B</x:v>
      </x:c>
      <x:c r="D83" s="65" t="str">
        <x:v>A</x:v>
      </x:c>
      <x:c r="E83" s="66" t="n">
        <x:v>3</x:v>
      </x:c>
      <x:c r="F83" s="66" t="str">
        <x:v>ARTICLE</x:v>
      </x:c>
      <x:c r="G83" s="65" t="str">
        <x:v>Destructive-article engineering</x:v>
      </x:c>
      <x:c r="H83" s="77" t="n">
        <x:v>0.25</x:v>
      </x:c>
      <x:c r="I83" s="66" t="n">
        <x:v>6</x:v>
      </x:c>
      <x:c r="J83" s="66" t="n">
        <x:v>14</x:v>
      </x:c>
      <x:c r="K83" s="66" t="n">
        <x:f>(E83-1)*Controls!$B$14+I83</x:f>
        <x:v>54</x:v>
      </x:c>
      <x:c r="L83" s="66" t="n">
        <x:f>K83+J83</x:f>
        <x:v>68</x:v>
      </x:c>
      <x:c r="M83" s="67" t="n">
        <x:f>H83*INDEX('Form Warrants'!$H$5:$H$22,MATCH(B83,'Form Warrants'!$A$5:$A$22,0))</x:f>
        <x:v>0.0062824724141995365</x:v>
      </x:c>
      <x:c r="N83" s="66" t="n">
        <x:f>IF(M83&gt;0,1,0)</x:f>
        <x:v>1</x:v>
      </x:c>
      <x:c r="O83" s="67" t="n">
        <x:f>IF(E83=1,M83,0)</x:f>
        <x:v>0</x:v>
      </x:c>
      <x:c r="P83" s="66" t="n">
        <x:f>IF(E83=1,1,0)</x:f>
        <x:v>0</x:v>
      </x:c>
      <x:c r="Q83" s="66" t="n">
        <x:v>0</x:v>
      </x:c>
      <x:c r="R83" s="67" t="n">
        <x:v>0</x:v>
      </x:c>
      <x:c r="S83" s="66" t="n">
        <x:v>0</x:v>
      </x:c>
      <x:c r="T83" s="66" t="n">
        <x:v>0</x:v>
      </x:c>
      <x:c r="U83" s="65" t="str">
        <x:f>IF(E83=1,IF(AND(N83=1,ABS(O83-M83)&lt;0.0000001,P83=1,Q83=0,R83=0,S83=0,T83=0,L83&lt;=Controls!$B$14),"OBLIGATED / ACTIVE","INVALID"),IF(AND(N83=1,O83=0,P83=0,Q83=0,R83=0,S83=0,T83=0),"RESERVED / HELD","INVALID"))</x:f>
        <x:v>RESERVED / HELD</x:v>
      </x:c>
      <x:c r="V83" s="66" t="n">
        <x:f>COUNTIFS($B$5:$B$94,B83)</x:f>
        <x:v>5</x:v>
      </x:c>
    </x:row>
    <x:row r="84">
      <x:c r="A84" s="65" t="str">
        <x:v>P080</x:v>
      </x:c>
      <x:c r="B84" s="65" t="str">
        <x:v>RT-B-A</x:v>
      </x:c>
      <x:c r="C84" s="65" t="str">
        <x:v>RT-B</x:v>
      </x:c>
      <x:c r="D84" s="65" t="str">
        <x:v>A</x:v>
      </x:c>
      <x:c r="E84" s="66" t="n">
        <x:v>3</x:v>
      </x:c>
      <x:c r="F84" s="66" t="str">
        <x:v>REBUILD</x:v>
      </x:c>
      <x:c r="G84" s="65" t="str">
        <x:v>Cold reconstruction and challenge</x:v>
      </x:c>
      <x:c r="H84" s="77" t="n">
        <x:v>0.15</x:v>
      </x:c>
      <x:c r="I84" s="66" t="n">
        <x:v>18</x:v>
      </x:c>
      <x:c r="J84" s="66" t="n">
        <x:v>6</x:v>
      </x:c>
      <x:c r="K84" s="66" t="n">
        <x:f>(E84-1)*Controls!$B$14+I84</x:f>
        <x:v>66</x:v>
      </x:c>
      <x:c r="L84" s="66" t="n">
        <x:f>K84+J84</x:f>
        <x:v>72</x:v>
      </x:c>
      <x:c r="M84" s="67" t="n">
        <x:f>H84*INDEX('Form Warrants'!$H$5:$H$22,MATCH(B84,'Form Warrants'!$A$5:$A$22,0))</x:f>
        <x:v>0.003769483448519722</x:v>
      </x:c>
      <x:c r="N84" s="66" t="n">
        <x:f>IF(M84&gt;0,1,0)</x:f>
        <x:v>1</x:v>
      </x:c>
      <x:c r="O84" s="67" t="n">
        <x:f>IF(E84=1,M84,0)</x:f>
        <x:v>0</x:v>
      </x:c>
      <x:c r="P84" s="66" t="n">
        <x:f>IF(E84=1,1,0)</x:f>
        <x:v>0</x:v>
      </x:c>
      <x:c r="Q84" s="66" t="n">
        <x:v>0</x:v>
      </x:c>
      <x:c r="R84" s="67" t="n">
        <x:v>0</x:v>
      </x:c>
      <x:c r="S84" s="66" t="n">
        <x:v>0</x:v>
      </x:c>
      <x:c r="T84" s="66" t="n">
        <x:v>0</x:v>
      </x:c>
      <x:c r="U84" s="65" t="str">
        <x:f>IF(E84=1,IF(AND(N84=1,ABS(O84-M84)&lt;0.0000001,P84=1,Q84=0,R84=0,S84=0,T84=0,L84&lt;=Controls!$B$14),"OBLIGATED / ACTIVE","INVALID"),IF(AND(N84=1,O84=0,P84=0,Q84=0,R84=0,S84=0,T84=0),"RESERVED / HELD","INVALID"))</x:f>
        <x:v>RESERVED / HELD</x:v>
      </x:c>
      <x:c r="V84" s="66" t="n">
        <x:f>COUNTIFS($B$5:$B$94,B84)</x:f>
        <x:v>5</x:v>
      </x:c>
    </x:row>
    <x:row r="85">
      <x:c r="A85" s="65" t="str">
        <x:v>P081</x:v>
      </x:c>
      <x:c r="B85" s="65" t="str">
        <x:v>RT-B-B</x:v>
      </x:c>
      <x:c r="C85" s="65" t="str">
        <x:v>RT-B</x:v>
      </x:c>
      <x:c r="D85" s="65" t="str">
        <x:v>B</x:v>
      </x:c>
      <x:c r="E85" s="66" t="n">
        <x:v>2</x:v>
      </x:c>
      <x:c r="F85" s="66" t="str">
        <x:v>METHOD</x:v>
      </x:c>
      <x:c r="G85" s="65" t="str">
        <x:v>Event method and denominator</x:v>
      </x:c>
      <x:c r="H85" s="77" t="n">
        <x:v>0.2</x:v>
      </x:c>
      <x:c r="I85" s="66" t="n">
        <x:v>0</x:v>
      </x:c>
      <x:c r="J85" s="66" t="n">
        <x:v>4</x:v>
      </x:c>
      <x:c r="K85" s="66" t="n">
        <x:f>(E85-1)*Controls!$B$14+I85</x:f>
        <x:v>24</x:v>
      </x:c>
      <x:c r="L85" s="66" t="n">
        <x:f>K85+J85</x:f>
        <x:v>28</x:v>
      </x:c>
      <x:c r="M85" s="67" t="n">
        <x:f>H85*INDEX('Form Warrants'!$H$5:$H$22,MATCH(B85,'Form Warrants'!$A$5:$A$22,0))</x:f>
        <x:v>0.005025977931359629</x:v>
      </x:c>
      <x:c r="N85" s="66" t="n">
        <x:f>IF(M85&gt;0,1,0)</x:f>
        <x:v>1</x:v>
      </x:c>
      <x:c r="O85" s="67" t="n">
        <x:f>IF(E85=1,M85,0)</x:f>
        <x:v>0</x:v>
      </x:c>
      <x:c r="P85" s="66" t="n">
        <x:f>IF(E85=1,1,0)</x:f>
        <x:v>0</x:v>
      </x:c>
      <x:c r="Q85" s="66" t="n">
        <x:v>0</x:v>
      </x:c>
      <x:c r="R85" s="67" t="n">
        <x:v>0</x:v>
      </x:c>
      <x:c r="S85" s="66" t="n">
        <x:v>0</x:v>
      </x:c>
      <x:c r="T85" s="66" t="n">
        <x:v>0</x:v>
      </x:c>
      <x:c r="U85" s="65" t="str">
        <x:f>IF(E85=1,IF(AND(N85=1,ABS(O85-M85)&lt;0.0000001,P85=1,Q85=0,R85=0,S85=0,T85=0,L85&lt;=Controls!$B$14),"OBLIGATED / ACTIVE","INVALID"),IF(AND(N85=1,O85=0,P85=0,Q85=0,R85=0,S85=0,T85=0),"RESERVED / HELD","INVALID"))</x:f>
        <x:v>RESERVED / HELD</x:v>
      </x:c>
      <x:c r="V85" s="66" t="n">
        <x:f>COUNTIFS($B$5:$B$94,B85)</x:f>
        <x:v>5</x:v>
      </x:c>
    </x:row>
    <x:row r="86">
      <x:c r="A86" s="65" t="str">
        <x:v>P082</x:v>
      </x:c>
      <x:c r="B86" s="65" t="str">
        <x:v>RT-B-B</x:v>
      </x:c>
      <x:c r="C86" s="65" t="str">
        <x:v>RT-B</x:v>
      </x:c>
      <x:c r="D86" s="65" t="str">
        <x:v>B</x:v>
      </x:c>
      <x:c r="E86" s="66" t="n">
        <x:v>2</x:v>
      </x:c>
      <x:c r="F86" s="66" t="str">
        <x:v>MEASURE</x:v>
      </x:c>
      <x:c r="G86" s="65" t="str">
        <x:v>Instrumentation, custody and validity</x:v>
      </x:c>
      <x:c r="H86" s="77" t="n">
        <x:v>0.25</x:v>
      </x:c>
      <x:c r="I86" s="66" t="n">
        <x:v>2</x:v>
      </x:c>
      <x:c r="J86" s="66" t="n">
        <x:v>8</x:v>
      </x:c>
      <x:c r="K86" s="66" t="n">
        <x:f>(E86-1)*Controls!$B$14+I86</x:f>
        <x:v>26</x:v>
      </x:c>
      <x:c r="L86" s="66" t="n">
        <x:f>K86+J86</x:f>
        <x:v>34</x:v>
      </x:c>
      <x:c r="M86" s="67" t="n">
        <x:f>H86*INDEX('Form Warrants'!$H$5:$H$22,MATCH(B86,'Form Warrants'!$A$5:$A$22,0))</x:f>
        <x:v>0.0062824724141995365</x:v>
      </x:c>
      <x:c r="N86" s="66" t="n">
        <x:f>IF(M86&gt;0,1,0)</x:f>
        <x:v>1</x:v>
      </x:c>
      <x:c r="O86" s="67" t="n">
        <x:f>IF(E86=1,M86,0)</x:f>
        <x:v>0</x:v>
      </x:c>
      <x:c r="P86" s="66" t="n">
        <x:f>IF(E86=1,1,0)</x:f>
        <x:v>0</x:v>
      </x:c>
      <x:c r="Q86" s="66" t="n">
        <x:v>0</x:v>
      </x:c>
      <x:c r="R86" s="67" t="n">
        <x:v>0</x:v>
      </x:c>
      <x:c r="S86" s="66" t="n">
        <x:v>0</x:v>
      </x:c>
      <x:c r="T86" s="66" t="n">
        <x:v>0</x:v>
      </x:c>
      <x:c r="U86" s="65" t="str">
        <x:f>IF(E86=1,IF(AND(N86=1,ABS(O86-M86)&lt;0.0000001,P86=1,Q86=0,R86=0,S86=0,T86=0,L86&lt;=Controls!$B$14),"OBLIGATED / ACTIVE","INVALID"),IF(AND(N86=1,O86=0,P86=0,Q86=0,R86=0,S86=0,T86=0),"RESERVED / HELD","INVALID"))</x:f>
        <x:v>RESERVED / HELD</x:v>
      </x:c>
      <x:c r="V86" s="66" t="n">
        <x:f>COUNTIFS($B$5:$B$94,B86)</x:f>
        <x:v>5</x:v>
      </x:c>
    </x:row>
    <x:row r="87">
      <x:c r="A87" s="65" t="str">
        <x:v>P083</x:v>
      </x:c>
      <x:c r="B87" s="65" t="str">
        <x:v>RT-B-B</x:v>
      </x:c>
      <x:c r="C87" s="65" t="str">
        <x:v>RT-B</x:v>
      </x:c>
      <x:c r="D87" s="65" t="str">
        <x:v>B</x:v>
      </x:c>
      <x:c r="E87" s="66" t="n">
        <x:v>2</x:v>
      </x:c>
      <x:c r="F87" s="66" t="str">
        <x:v>CIVIL</x:v>
      </x:c>
      <x:c r="G87" s="65" t="str">
        <x:v>Rights, receiver and residual closure</x:v>
      </x:c>
      <x:c r="H87" s="77" t="n">
        <x:v>0.15</x:v>
      </x:c>
      <x:c r="I87" s="66" t="n">
        <x:v>0</x:v>
      </x:c>
      <x:c r="J87" s="66" t="n">
        <x:v>8</x:v>
      </x:c>
      <x:c r="K87" s="66" t="n">
        <x:f>(E87-1)*Controls!$B$14+I87</x:f>
        <x:v>24</x:v>
      </x:c>
      <x:c r="L87" s="66" t="n">
        <x:f>K87+J87</x:f>
        <x:v>32</x:v>
      </x:c>
      <x:c r="M87" s="67" t="n">
        <x:f>H87*INDEX('Form Warrants'!$H$5:$H$22,MATCH(B87,'Form Warrants'!$A$5:$A$22,0))</x:f>
        <x:v>0.003769483448519722</x:v>
      </x:c>
      <x:c r="N87" s="66" t="n">
        <x:f>IF(M87&gt;0,1,0)</x:f>
        <x:v>1</x:v>
      </x:c>
      <x:c r="O87" s="67" t="n">
        <x:f>IF(E87=1,M87,0)</x:f>
        <x:v>0</x:v>
      </x:c>
      <x:c r="P87" s="66" t="n">
        <x:f>IF(E87=1,1,0)</x:f>
        <x:v>0</x:v>
      </x:c>
      <x:c r="Q87" s="66" t="n">
        <x:v>0</x:v>
      </x:c>
      <x:c r="R87" s="67" t="n">
        <x:v>0</x:v>
      </x:c>
      <x:c r="S87" s="66" t="n">
        <x:v>0</x:v>
      </x:c>
      <x:c r="T87" s="66" t="n">
        <x:v>0</x:v>
      </x:c>
      <x:c r="U87" s="65" t="str">
        <x:f>IF(E87=1,IF(AND(N87=1,ABS(O87-M87)&lt;0.0000001,P87=1,Q87=0,R87=0,S87=0,T87=0,L87&lt;=Controls!$B$14),"OBLIGATED / ACTIVE","INVALID"),IF(AND(N87=1,O87=0,P87=0,Q87=0,R87=0,S87=0,T87=0),"RESERVED / HELD","INVALID"))</x:f>
        <x:v>RESERVED / HELD</x:v>
      </x:c>
      <x:c r="V87" s="66" t="n">
        <x:f>COUNTIFS($B$5:$B$94,B87)</x:f>
        <x:v>5</x:v>
      </x:c>
    </x:row>
    <x:row r="88">
      <x:c r="A88" s="65" t="str">
        <x:v>P084</x:v>
      </x:c>
      <x:c r="B88" s="65" t="str">
        <x:v>RT-B-B</x:v>
      </x:c>
      <x:c r="C88" s="65" t="str">
        <x:v>RT-B</x:v>
      </x:c>
      <x:c r="D88" s="65" t="str">
        <x:v>B</x:v>
      </x:c>
      <x:c r="E88" s="66" t="n">
        <x:v>2</x:v>
      </x:c>
      <x:c r="F88" s="66" t="str">
        <x:v>ARTICLE</x:v>
      </x:c>
      <x:c r="G88" s="65" t="str">
        <x:v>Destructive-article engineering</x:v>
      </x:c>
      <x:c r="H88" s="77" t="n">
        <x:v>0.25</x:v>
      </x:c>
      <x:c r="I88" s="66" t="n">
        <x:v>6</x:v>
      </x:c>
      <x:c r="J88" s="66" t="n">
        <x:v>14</x:v>
      </x:c>
      <x:c r="K88" s="66" t="n">
        <x:f>(E88-1)*Controls!$B$14+I88</x:f>
        <x:v>30</x:v>
      </x:c>
      <x:c r="L88" s="66" t="n">
        <x:f>K88+J88</x:f>
        <x:v>44</x:v>
      </x:c>
      <x:c r="M88" s="67" t="n">
        <x:f>H88*INDEX('Form Warrants'!$H$5:$H$22,MATCH(B88,'Form Warrants'!$A$5:$A$22,0))</x:f>
        <x:v>0.0062824724141995365</x:v>
      </x:c>
      <x:c r="N88" s="66" t="n">
        <x:f>IF(M88&gt;0,1,0)</x:f>
        <x:v>1</x:v>
      </x:c>
      <x:c r="O88" s="67" t="n">
        <x:f>IF(E88=1,M88,0)</x:f>
        <x:v>0</x:v>
      </x:c>
      <x:c r="P88" s="66" t="n">
        <x:f>IF(E88=1,1,0)</x:f>
        <x:v>0</x:v>
      </x:c>
      <x:c r="Q88" s="66" t="n">
        <x:v>0</x:v>
      </x:c>
      <x:c r="R88" s="67" t="n">
        <x:v>0</x:v>
      </x:c>
      <x:c r="S88" s="66" t="n">
        <x:v>0</x:v>
      </x:c>
      <x:c r="T88" s="66" t="n">
        <x:v>0</x:v>
      </x:c>
      <x:c r="U88" s="65" t="str">
        <x:f>IF(E88=1,IF(AND(N88=1,ABS(O88-M88)&lt;0.0000001,P88=1,Q88=0,R88=0,S88=0,T88=0,L88&lt;=Controls!$B$14),"OBLIGATED / ACTIVE","INVALID"),IF(AND(N88=1,O88=0,P88=0,Q88=0,R88=0,S88=0,T88=0),"RESERVED / HELD","INVALID"))</x:f>
        <x:v>RESERVED / HELD</x:v>
      </x:c>
      <x:c r="V88" s="66" t="n">
        <x:f>COUNTIFS($B$5:$B$94,B88)</x:f>
        <x:v>5</x:v>
      </x:c>
    </x:row>
    <x:row r="89">
      <x:c r="A89" s="65" t="str">
        <x:v>P085</x:v>
      </x:c>
      <x:c r="B89" s="65" t="str">
        <x:v>RT-B-B</x:v>
      </x:c>
      <x:c r="C89" s="65" t="str">
        <x:v>RT-B</x:v>
      </x:c>
      <x:c r="D89" s="65" t="str">
        <x:v>B</x:v>
      </x:c>
      <x:c r="E89" s="66" t="n">
        <x:v>2</x:v>
      </x:c>
      <x:c r="F89" s="66" t="str">
        <x:v>REBUILD</x:v>
      </x:c>
      <x:c r="G89" s="65" t="str">
        <x:v>Cold reconstruction and challenge</x:v>
      </x:c>
      <x:c r="H89" s="77" t="n">
        <x:v>0.15</x:v>
      </x:c>
      <x:c r="I89" s="66" t="n">
        <x:v>18</x:v>
      </x:c>
      <x:c r="J89" s="66" t="n">
        <x:v>6</x:v>
      </x:c>
      <x:c r="K89" s="66" t="n">
        <x:f>(E89-1)*Controls!$B$14+I89</x:f>
        <x:v>42</x:v>
      </x:c>
      <x:c r="L89" s="66" t="n">
        <x:f>K89+J89</x:f>
        <x:v>48</x:v>
      </x:c>
      <x:c r="M89" s="67" t="n">
        <x:f>H89*INDEX('Form Warrants'!$H$5:$H$22,MATCH(B89,'Form Warrants'!$A$5:$A$22,0))</x:f>
        <x:v>0.003769483448519722</x:v>
      </x:c>
      <x:c r="N89" s="66" t="n">
        <x:f>IF(M89&gt;0,1,0)</x:f>
        <x:v>1</x:v>
      </x:c>
      <x:c r="O89" s="67" t="n">
        <x:f>IF(E89=1,M89,0)</x:f>
        <x:v>0</x:v>
      </x:c>
      <x:c r="P89" s="66" t="n">
        <x:f>IF(E89=1,1,0)</x:f>
        <x:v>0</x:v>
      </x:c>
      <x:c r="Q89" s="66" t="n">
        <x:v>0</x:v>
      </x:c>
      <x:c r="R89" s="67" t="n">
        <x:v>0</x:v>
      </x:c>
      <x:c r="S89" s="66" t="n">
        <x:v>0</x:v>
      </x:c>
      <x:c r="T89" s="66" t="n">
        <x:v>0</x:v>
      </x:c>
      <x:c r="U89" s="65" t="str">
        <x:f>IF(E89=1,IF(AND(N89=1,ABS(O89-M89)&lt;0.0000001,P89=1,Q89=0,R89=0,S89=0,T89=0,L89&lt;=Controls!$B$14),"OBLIGATED / ACTIVE","INVALID"),IF(AND(N89=1,O89=0,P89=0,Q89=0,R89=0,S89=0,T89=0),"RESERVED / HELD","INVALID"))</x:f>
        <x:v>RESERVED / HELD</x:v>
      </x:c>
      <x:c r="V89" s="66" t="n">
        <x:f>COUNTIFS($B$5:$B$94,B89)</x:f>
        <x:v>5</x:v>
      </x:c>
    </x:row>
    <x:row r="90">
      <x:c r="A90" s="65" t="str">
        <x:v>P086</x:v>
      </x:c>
      <x:c r="B90" s="65" t="str">
        <x:v>RT-B-C</x:v>
      </x:c>
      <x:c r="C90" s="65" t="str">
        <x:v>RT-B</x:v>
      </x:c>
      <x:c r="D90" s="65" t="str">
        <x:v>C</x:v>
      </x:c>
      <x:c r="E90" s="66" t="n">
        <x:v>1</x:v>
      </x:c>
      <x:c r="F90" s="66" t="str">
        <x:v>METHOD</x:v>
      </x:c>
      <x:c r="G90" s="65" t="str">
        <x:v>Event method and denominator</x:v>
      </x:c>
      <x:c r="H90" s="77" t="n">
        <x:v>0.2</x:v>
      </x:c>
      <x:c r="I90" s="66" t="n">
        <x:v>0</x:v>
      </x:c>
      <x:c r="J90" s="66" t="n">
        <x:v>4</x:v>
      </x:c>
      <x:c r="K90" s="66" t="n">
        <x:f>(E90-1)*Controls!$B$14+I90</x:f>
        <x:v>0</x:v>
      </x:c>
      <x:c r="L90" s="66" t="n">
        <x:f>K90+J90</x:f>
        <x:v>4</x:v>
      </x:c>
      <x:c r="M90" s="67" t="n">
        <x:f>H90*INDEX('Form Warrants'!$H$5:$H$22,MATCH(B90,'Form Warrants'!$A$5:$A$22,0))</x:f>
        <x:v>0.005025977931359629</x:v>
      </x:c>
      <x:c r="N90" s="66" t="n">
        <x:f>IF(M90&gt;0,1,0)</x:f>
        <x:v>1</x:v>
      </x:c>
      <x:c r="O90" s="67" t="n">
        <x:f>IF(E90=1,M90,0)</x:f>
        <x:v>0.005025977931359629</x:v>
      </x:c>
      <x:c r="P90" s="66" t="n">
        <x:f>IF(E90=1,1,0)</x:f>
        <x:v>1</x:v>
      </x:c>
      <x:c r="Q90" s="66" t="n">
        <x:v>0</x:v>
      </x:c>
      <x:c r="R90" s="67" t="n">
        <x:v>0</x:v>
      </x:c>
      <x:c r="S90" s="66" t="n">
        <x:v>0</x:v>
      </x:c>
      <x:c r="T90" s="66" t="n">
        <x:v>0</x:v>
      </x:c>
      <x:c r="U90" s="65" t="str">
        <x:f>IF(E90=1,IF(AND(N90=1,ABS(O90-M90)&lt;0.0000001,P90=1,Q90=0,R90=0,S90=0,T90=0,L90&lt;=Controls!$B$14),"OBLIGATED / ACTIVE","INVALID"),IF(AND(N90=1,O90=0,P90=0,Q90=0,R90=0,S90=0,T90=0),"RESERVED / HELD","INVALID"))</x:f>
        <x:v>OBLIGATED / ACTIVE</x:v>
      </x:c>
      <x:c r="V90" s="66" t="n">
        <x:f>COUNTIFS($B$5:$B$94,B90)</x:f>
        <x:v>5</x:v>
      </x:c>
    </x:row>
    <x:row r="91">
      <x:c r="A91" s="65" t="str">
        <x:v>P087</x:v>
      </x:c>
      <x:c r="B91" s="65" t="str">
        <x:v>RT-B-C</x:v>
      </x:c>
      <x:c r="C91" s="65" t="str">
        <x:v>RT-B</x:v>
      </x:c>
      <x:c r="D91" s="65" t="str">
        <x:v>C</x:v>
      </x:c>
      <x:c r="E91" s="66" t="n">
        <x:v>1</x:v>
      </x:c>
      <x:c r="F91" s="66" t="str">
        <x:v>MEASURE</x:v>
      </x:c>
      <x:c r="G91" s="65" t="str">
        <x:v>Instrumentation, custody and validity</x:v>
      </x:c>
      <x:c r="H91" s="77" t="n">
        <x:v>0.25</x:v>
      </x:c>
      <x:c r="I91" s="66" t="n">
        <x:v>2</x:v>
      </x:c>
      <x:c r="J91" s="66" t="n">
        <x:v>8</x:v>
      </x:c>
      <x:c r="K91" s="66" t="n">
        <x:f>(E91-1)*Controls!$B$14+I91</x:f>
        <x:v>2</x:v>
      </x:c>
      <x:c r="L91" s="66" t="n">
        <x:f>K91+J91</x:f>
        <x:v>10</x:v>
      </x:c>
      <x:c r="M91" s="67" t="n">
        <x:f>H91*INDEX('Form Warrants'!$H$5:$H$22,MATCH(B91,'Form Warrants'!$A$5:$A$22,0))</x:f>
        <x:v>0.0062824724141995365</x:v>
      </x:c>
      <x:c r="N91" s="66" t="n">
        <x:f>IF(M91&gt;0,1,0)</x:f>
        <x:v>1</x:v>
      </x:c>
      <x:c r="O91" s="67" t="n">
        <x:f>IF(E91=1,M91,0)</x:f>
        <x:v>0.0062824724141995365</x:v>
      </x:c>
      <x:c r="P91" s="66" t="n">
        <x:f>IF(E91=1,1,0)</x:f>
        <x:v>1</x:v>
      </x:c>
      <x:c r="Q91" s="66" t="n">
        <x:v>0</x:v>
      </x:c>
      <x:c r="R91" s="67" t="n">
        <x:v>0</x:v>
      </x:c>
      <x:c r="S91" s="66" t="n">
        <x:v>0</x:v>
      </x:c>
      <x:c r="T91" s="66" t="n">
        <x:v>0</x:v>
      </x:c>
      <x:c r="U91" s="65" t="str">
        <x:f>IF(E91=1,IF(AND(N91=1,ABS(O91-M91)&lt;0.0000001,P91=1,Q91=0,R91=0,S91=0,T91=0,L91&lt;=Controls!$B$14),"OBLIGATED / ACTIVE","INVALID"),IF(AND(N91=1,O91=0,P91=0,Q91=0,R91=0,S91=0,T91=0),"RESERVED / HELD","INVALID"))</x:f>
        <x:v>OBLIGATED / ACTIVE</x:v>
      </x:c>
      <x:c r="V91" s="66" t="n">
        <x:f>COUNTIFS($B$5:$B$94,B91)</x:f>
        <x:v>5</x:v>
      </x:c>
    </x:row>
    <x:row r="92">
      <x:c r="A92" s="65" t="str">
        <x:v>P088</x:v>
      </x:c>
      <x:c r="B92" s="65" t="str">
        <x:v>RT-B-C</x:v>
      </x:c>
      <x:c r="C92" s="65" t="str">
        <x:v>RT-B</x:v>
      </x:c>
      <x:c r="D92" s="65" t="str">
        <x:v>C</x:v>
      </x:c>
      <x:c r="E92" s="66" t="n">
        <x:v>1</x:v>
      </x:c>
      <x:c r="F92" s="66" t="str">
        <x:v>CIVIL</x:v>
      </x:c>
      <x:c r="G92" s="65" t="str">
        <x:v>Rights, receiver and residual closure</x:v>
      </x:c>
      <x:c r="H92" s="77" t="n">
        <x:v>0.15</x:v>
      </x:c>
      <x:c r="I92" s="66" t="n">
        <x:v>0</x:v>
      </x:c>
      <x:c r="J92" s="66" t="n">
        <x:v>8</x:v>
      </x:c>
      <x:c r="K92" s="66" t="n">
        <x:f>(E92-1)*Controls!$B$14+I92</x:f>
        <x:v>0</x:v>
      </x:c>
      <x:c r="L92" s="66" t="n">
        <x:f>K92+J92</x:f>
        <x:v>8</x:v>
      </x:c>
      <x:c r="M92" s="67" t="n">
        <x:f>H92*INDEX('Form Warrants'!$H$5:$H$22,MATCH(B92,'Form Warrants'!$A$5:$A$22,0))</x:f>
        <x:v>0.003769483448519722</x:v>
      </x:c>
      <x:c r="N92" s="66" t="n">
        <x:f>IF(M92&gt;0,1,0)</x:f>
        <x:v>1</x:v>
      </x:c>
      <x:c r="O92" s="67" t="n">
        <x:f>IF(E92=1,M92,0)</x:f>
        <x:v>0.003769483448519722</x:v>
      </x:c>
      <x:c r="P92" s="66" t="n">
        <x:f>IF(E92=1,1,0)</x:f>
        <x:v>1</x:v>
      </x:c>
      <x:c r="Q92" s="66" t="n">
        <x:v>0</x:v>
      </x:c>
      <x:c r="R92" s="67" t="n">
        <x:v>0</x:v>
      </x:c>
      <x:c r="S92" s="66" t="n">
        <x:v>0</x:v>
      </x:c>
      <x:c r="T92" s="66" t="n">
        <x:v>0</x:v>
      </x:c>
      <x:c r="U92" s="65" t="str">
        <x:f>IF(E92=1,IF(AND(N92=1,ABS(O92-M92)&lt;0.0000001,P92=1,Q92=0,R92=0,S92=0,T92=0,L92&lt;=Controls!$B$14),"OBLIGATED / ACTIVE","INVALID"),IF(AND(N92=1,O92=0,P92=0,Q92=0,R92=0,S92=0,T92=0),"RESERVED / HELD","INVALID"))</x:f>
        <x:v>OBLIGATED / ACTIVE</x:v>
      </x:c>
      <x:c r="V92" s="66" t="n">
        <x:f>COUNTIFS($B$5:$B$94,B92)</x:f>
        <x:v>5</x:v>
      </x:c>
    </x:row>
    <x:row r="93">
      <x:c r="A93" s="65" t="str">
        <x:v>P089</x:v>
      </x:c>
      <x:c r="B93" s="65" t="str">
        <x:v>RT-B-C</x:v>
      </x:c>
      <x:c r="C93" s="65" t="str">
        <x:v>RT-B</x:v>
      </x:c>
      <x:c r="D93" s="65" t="str">
        <x:v>C</x:v>
      </x:c>
      <x:c r="E93" s="66" t="n">
        <x:v>1</x:v>
      </x:c>
      <x:c r="F93" s="66" t="str">
        <x:v>ARTICLE</x:v>
      </x:c>
      <x:c r="G93" s="65" t="str">
        <x:v>Destructive-article engineering</x:v>
      </x:c>
      <x:c r="H93" s="77" t="n">
        <x:v>0.25</x:v>
      </x:c>
      <x:c r="I93" s="66" t="n">
        <x:v>6</x:v>
      </x:c>
      <x:c r="J93" s="66" t="n">
        <x:v>14</x:v>
      </x:c>
      <x:c r="K93" s="66" t="n">
        <x:f>(E93-1)*Controls!$B$14+I93</x:f>
        <x:v>6</x:v>
      </x:c>
      <x:c r="L93" s="66" t="n">
        <x:f>K93+J93</x:f>
        <x:v>20</x:v>
      </x:c>
      <x:c r="M93" s="67" t="n">
        <x:f>H93*INDEX('Form Warrants'!$H$5:$H$22,MATCH(B93,'Form Warrants'!$A$5:$A$22,0))</x:f>
        <x:v>0.0062824724141995365</x:v>
      </x:c>
      <x:c r="N93" s="66" t="n">
        <x:f>IF(M93&gt;0,1,0)</x:f>
        <x:v>1</x:v>
      </x:c>
      <x:c r="O93" s="67" t="n">
        <x:f>IF(E93=1,M93,0)</x:f>
        <x:v>0.0062824724141995365</x:v>
      </x:c>
      <x:c r="P93" s="66" t="n">
        <x:f>IF(E93=1,1,0)</x:f>
        <x:v>1</x:v>
      </x:c>
      <x:c r="Q93" s="66" t="n">
        <x:v>0</x:v>
      </x:c>
      <x:c r="R93" s="67" t="n">
        <x:v>0</x:v>
      </x:c>
      <x:c r="S93" s="66" t="n">
        <x:v>0</x:v>
      </x:c>
      <x:c r="T93" s="66" t="n">
        <x:v>0</x:v>
      </x:c>
      <x:c r="U93" s="65" t="str">
        <x:f>IF(E93=1,IF(AND(N93=1,ABS(O93-M93)&lt;0.0000001,P93=1,Q93=0,R93=0,S93=0,T93=0,L93&lt;=Controls!$B$14),"OBLIGATED / ACTIVE","INVALID"),IF(AND(N93=1,O93=0,P93=0,Q93=0,R93=0,S93=0,T93=0),"RESERVED / HELD","INVALID"))</x:f>
        <x:v>OBLIGATED / ACTIVE</x:v>
      </x:c>
      <x:c r="V93" s="66" t="n">
        <x:f>COUNTIFS($B$5:$B$94,B93)</x:f>
        <x:v>5</x:v>
      </x:c>
    </x:row>
    <x:row r="94">
      <x:c r="A94" s="68" t="str">
        <x:v>P090</x:v>
      </x:c>
      <x:c r="B94" s="68" t="str">
        <x:v>RT-B-C</x:v>
      </x:c>
      <x:c r="C94" s="68" t="str">
        <x:v>RT-B</x:v>
      </x:c>
      <x:c r="D94" s="68" t="str">
        <x:v>C</x:v>
      </x:c>
      <x:c r="E94" s="70" t="n">
        <x:v>1</x:v>
      </x:c>
      <x:c r="F94" s="70" t="str">
        <x:v>REBUILD</x:v>
      </x:c>
      <x:c r="G94" s="68" t="str">
        <x:v>Cold reconstruction and challenge</x:v>
      </x:c>
      <x:c r="H94" s="81" t="n">
        <x:v>0.15</x:v>
      </x:c>
      <x:c r="I94" s="70" t="n">
        <x:v>18</x:v>
      </x:c>
      <x:c r="J94" s="70" t="n">
        <x:v>6</x:v>
      </x:c>
      <x:c r="K94" s="70" t="n">
        <x:f>(E94-1)*Controls!$B$14+I94</x:f>
        <x:v>18</x:v>
      </x:c>
      <x:c r="L94" s="70" t="n">
        <x:f>K94+J94</x:f>
        <x:v>24</x:v>
      </x:c>
      <x:c r="M94" s="69" t="n">
        <x:f>H94*INDEX('Form Warrants'!$H$5:$H$22,MATCH(B94,'Form Warrants'!$A$5:$A$22,0))</x:f>
        <x:v>0.003769483448519722</x:v>
      </x:c>
      <x:c r="N94" s="70" t="n">
        <x:f>IF(M94&gt;0,1,0)</x:f>
        <x:v>1</x:v>
      </x:c>
      <x:c r="O94" s="69" t="n">
        <x:f>IF(E94=1,M94,0)</x:f>
        <x:v>0.003769483448519722</x:v>
      </x:c>
      <x:c r="P94" s="70" t="n">
        <x:f>IF(E94=1,1,0)</x:f>
        <x:v>1</x:v>
      </x:c>
      <x:c r="Q94" s="70" t="n">
        <x:v>0</x:v>
      </x:c>
      <x:c r="R94" s="69" t="n">
        <x:v>0</x:v>
      </x:c>
      <x:c r="S94" s="70" t="n">
        <x:v>0</x:v>
      </x:c>
      <x:c r="T94" s="70" t="n">
        <x:v>0</x:v>
      </x:c>
      <x:c r="U94" s="68" t="str">
        <x:f>IF(E94=1,IF(AND(N94=1,ABS(O94-M94)&lt;0.0000001,P94=1,Q94=0,R94=0,S94=0,T94=0,L94&lt;=Controls!$B$14),"OBLIGATED / ACTIVE","INVALID"),IF(AND(N94=1,O94=0,P94=0,Q94=0,R94=0,S94=0,T94=0),"RESERVED / HELD","INVALID"))</x:f>
        <x:v>OBLIGATED / ACTIVE</x:v>
      </x:c>
      <x:c r="V94" s="70" t="n">
        <x:f>COUNTIFS($B$5:$B$94,B94)</x:f>
        <x:v>5</x:v>
      </x:c>
    </x:row>
  </x:sheetData>
  <x:mergeCells>
    <x:mergeCell ref="A2:V2"/>
  </x:mergeCells>
  <x:conditionalFormatting sqref="U5:U94">
    <x:cfRule type="containsText" dxfId="4" priority="1" operator="containsText" text="INVALID"/>
  </x:conditionalFormatting>
  <x:pageMargins left="0.7" right="0.7" top="0.75" bottom="0.75" header="0.3" footer="0.3"/>
</x:worksheet>
</file>

<file path=xl/worksheets/sheet8.xml><?xml version="1.0" encoding="utf-8"?>
<x:worksheet xmlns:x="http://schemas.openxmlformats.org/spreadsheetml/2006/main">
  <x:sheetViews>
    <x:sheetView showGridLines="0" workbookViewId="0">
      <x:pane xSplit="4" ySplit="4" topLeftCell="E5" activePane="bottomRight" state="frozen"/>
    </x:sheetView>
  </x:sheetViews>
  <x:sheetFormatPr defaultRowHeight="15"/>
  <x:cols>
    <x:col min="1" max="1" width="14" hidden="0" customWidth="1"/>
    <x:col min="2" max="2" width="16" hidden="0" customWidth="1"/>
    <x:col min="3" max="3" width="11" hidden="0" customWidth="1"/>
    <x:col min="4" max="4" width="13" hidden="0" customWidth="1"/>
    <x:col min="5" max="5" width="17" hidden="0" customWidth="1"/>
    <x:col min="6" max="6" width="24" hidden="0" customWidth="1"/>
    <x:col min="7" max="7" width="17" hidden="0" customWidth="1"/>
    <x:col min="8" max="8" width="24" hidden="0" customWidth="1"/>
    <x:col min="9" max="9" width="16" hidden="0" customWidth="1"/>
    <x:col min="10" max="10" width="16" hidden="0" customWidth="1"/>
    <x:col min="11" max="11" width="23" hidden="0" customWidth="1"/>
    <x:col min="12" max="12" width="15" hidden="0" customWidth="1"/>
    <x:col min="13" max="13" width="21" hidden="0" customWidth="1"/>
    <x:col min="14" max="14" width="25" hidden="0" customWidth="1"/>
    <x:col min="15" max="15" width="21" hidden="0" customWidth="1"/>
    <x:col min="16" max="16" width="24" hidden="0" customWidth="1"/>
    <x:col min="17" max="17" width="20" hidden="0" customWidth="1"/>
  </x:cols>
  <x:sheetData>
    <x:row r="2">
      <x:c r="A2" s="58" t="str">
        <x:v>Eighteen independently controlled implementation cells</x:v>
      </x:c>
      <x:c r="B2" s="59"/>
      <x:c r="C2" s="59"/>
      <x:c r="D2" s="59"/>
      <x:c r="E2" s="59"/>
      <x:c r="F2" s="59"/>
      <x:c r="G2" s="59"/>
      <x:c r="H2" s="59"/>
      <x:c r="I2" s="59"/>
      <x:c r="J2" s="59"/>
      <x:c r="K2" s="59"/>
      <x:c r="L2" s="59"/>
      <x:c r="M2" s="59"/>
      <x:c r="N2" s="59"/>
      <x:c r="O2" s="59"/>
      <x:c r="P2" s="59"/>
      <x:c r="Q2" s="59"/>
    </x:row>
    <x:row r="3">
      <x:c r="A3" s="60"/>
      <x:c r="B3" s="60"/>
      <x:c r="C3" s="60"/>
      <x:c r="D3" s="60"/>
      <x:c r="E3" s="60"/>
      <x:c r="F3" s="60"/>
      <x:c r="G3" s="60"/>
      <x:c r="H3" s="60"/>
      <x:c r="I3" s="60"/>
      <x:c r="J3" s="60"/>
      <x:c r="K3" s="60"/>
      <x:c r="L3" s="60"/>
      <x:c r="M3" s="60"/>
      <x:c r="N3" s="60"/>
      <x:c r="O3" s="60"/>
      <x:c r="P3" s="60"/>
      <x:c r="Q3" s="60"/>
    </x:row>
    <x:row r="4" ht="32" customHeight="1">
      <x:c r="A4" s="14" t="str">
        <x:v>Cell</x:v>
      </x:c>
      <x:c r="B4" s="15" t="str">
        <x:v>Form</x:v>
      </x:c>
      <x:c r="C4" s="15" t="str">
        <x:v>Root</x:v>
      </x:c>
      <x:c r="D4" s="15" t="str">
        <x:v>Cohort</x:v>
      </x:c>
      <x:c r="E4" s="15" t="str">
        <x:v>Control slot</x:v>
      </x:c>
      <x:c r="F4" s="15" t="str">
        <x:v>Technical environment</x:v>
      </x:c>
      <x:c r="G4" s="15" t="str">
        <x:v>Data enclave</x:v>
      </x:c>
      <x:c r="H4" s="15" t="str">
        <x:v>Sibling output access</x:v>
      </x:c>
      <x:c r="I4" s="15" t="str">
        <x:v>Escrow route</x:v>
      </x:c>
      <x:c r="J4" s="15" t="str">
        <x:v>Safety route</x:v>
      </x:c>
      <x:c r="K4" s="15" t="str">
        <x:v>Planned mobilization</x:v>
      </x:c>
      <x:c r="L4" s="15" t="str">
        <x:v>Mobilized</x:v>
      </x:c>
      <x:c r="M4" s="15" t="str">
        <x:v>Control occurrences</x:v>
      </x:c>
      <x:c r="N4" s="15" t="str">
        <x:v>Environment occurrences</x:v>
      </x:c>
      <x:c r="O4" s="15" t="str">
        <x:v>Enclave occurrences</x:v>
      </x:c>
      <x:c r="P4" s="15" t="str">
        <x:v>Cell state</x:v>
      </x:c>
      <x:c r="Q4" s="16" t="str">
        <x:v>Form occurrences</x:v>
      </x:c>
    </x:row>
    <x:row r="5">
      <x:c r="A5" s="61" t="str">
        <x:v>IC01</x:v>
      </x:c>
      <x:c r="B5" s="61" t="str">
        <x:v>ET-A-A</x:v>
      </x:c>
      <x:c r="C5" s="61" t="str">
        <x:v>ET-A</x:v>
      </x:c>
      <x:c r="D5" s="62" t="n">
        <x:v>1</x:v>
      </x:c>
      <x:c r="E5" s="61" t="str">
        <x:v>CG01</x:v>
      </x:c>
      <x:c r="F5" s="61" t="str">
        <x:v>TE01</x:v>
      </x:c>
      <x:c r="G5" s="61" t="str">
        <x:v>DE01</x:v>
      </x:c>
      <x:c r="H5" s="62" t="n">
        <x:v>0</x:v>
      </x:c>
      <x:c r="I5" s="62" t="n">
        <x:v>1</x:v>
      </x:c>
      <x:c r="J5" s="62" t="n">
        <x:v>1</x:v>
      </x:c>
      <x:c r="K5" s="62" t="n">
        <x:v>1</x:v>
      </x:c>
      <x:c r="L5" s="62" t="n">
        <x:v>1</x:v>
      </x:c>
      <x:c r="M5" s="62" t="n">
        <x:f>COUNTIFS($E$5:$E$22,E5)</x:f>
        <x:v>1</x:v>
      </x:c>
      <x:c r="N5" s="62" t="n">
        <x:f>COUNTIFS($F$5:$F$22,F5)</x:f>
        <x:v>1</x:v>
      </x:c>
      <x:c r="O5" s="62" t="n">
        <x:f>COUNTIFS($G$5:$G$22,G5)</x:f>
        <x:v>1</x:v>
      </x:c>
      <x:c r="P5" s="61" t="str">
        <x:f>IF(AND(H5=0,I5=1,J5=1,K5=L5,M5=1,N5=1,O5=1),IF(L5=1,"MOBILIZED","RESERVED / ISOLATED"),"INVALID")</x:f>
        <x:v>MOBILIZED</x:v>
      </x:c>
      <x:c r="Q5" s="62" t="n">
        <x:f>COUNTIFS($B$5:$B$22,B5)</x:f>
        <x:v>1</x:v>
      </x:c>
    </x:row>
    <x:row r="6">
      <x:c r="A6" s="65" t="str">
        <x:v>IC02</x:v>
      </x:c>
      <x:c r="B6" s="65" t="str">
        <x:v>ET-A-B</x:v>
      </x:c>
      <x:c r="C6" s="65" t="str">
        <x:v>ET-A</x:v>
      </x:c>
      <x:c r="D6" s="66" t="n">
        <x:v>2</x:v>
      </x:c>
      <x:c r="E6" s="65" t="str">
        <x:v>CG02</x:v>
      </x:c>
      <x:c r="F6" s="65" t="str">
        <x:v>TE02</x:v>
      </x:c>
      <x:c r="G6" s="65" t="str">
        <x:v>DE02</x:v>
      </x:c>
      <x:c r="H6" s="66" t="n">
        <x:v>0</x:v>
      </x:c>
      <x:c r="I6" s="66" t="n">
        <x:v>1</x:v>
      </x:c>
      <x:c r="J6" s="66" t="n">
        <x:v>1</x:v>
      </x:c>
      <x:c r="K6" s="66" t="n">
        <x:v>0</x:v>
      </x:c>
      <x:c r="L6" s="66" t="n">
        <x:v>0</x:v>
      </x:c>
      <x:c r="M6" s="66" t="n">
        <x:f>COUNTIFS($E$5:$E$22,E6)</x:f>
        <x:v>1</x:v>
      </x:c>
      <x:c r="N6" s="66" t="n">
        <x:f>COUNTIFS($F$5:$F$22,F6)</x:f>
        <x:v>1</x:v>
      </x:c>
      <x:c r="O6" s="66" t="n">
        <x:f>COUNTIFS($G$5:$G$22,G6)</x:f>
        <x:v>1</x:v>
      </x:c>
      <x:c r="P6" s="65" t="str">
        <x:f>IF(AND(H6=0,I6=1,J6=1,K6=L6,M6=1,N6=1,O6=1),IF(L6=1,"MOBILIZED","RESERVED / ISOLATED"),"INVALID")</x:f>
        <x:v>RESERVED / ISOLATED</x:v>
      </x:c>
      <x:c r="Q6" s="66" t="n">
        <x:f>COUNTIFS($B$5:$B$22,B6)</x:f>
        <x:v>1</x:v>
      </x:c>
    </x:row>
    <x:row r="7">
      <x:c r="A7" s="65" t="str">
        <x:v>IC03</x:v>
      </x:c>
      <x:c r="B7" s="65" t="str">
        <x:v>ET-A-C</x:v>
      </x:c>
      <x:c r="C7" s="65" t="str">
        <x:v>ET-A</x:v>
      </x:c>
      <x:c r="D7" s="66" t="n">
        <x:v>3</x:v>
      </x:c>
      <x:c r="E7" s="65" t="str">
        <x:v>CG03</x:v>
      </x:c>
      <x:c r="F7" s="65" t="str">
        <x:v>TE03</x:v>
      </x:c>
      <x:c r="G7" s="65" t="str">
        <x:v>DE03</x:v>
      </x:c>
      <x:c r="H7" s="66" t="n">
        <x:v>0</x:v>
      </x:c>
      <x:c r="I7" s="66" t="n">
        <x:v>1</x:v>
      </x:c>
      <x:c r="J7" s="66" t="n">
        <x:v>1</x:v>
      </x:c>
      <x:c r="K7" s="66" t="n">
        <x:v>0</x:v>
      </x:c>
      <x:c r="L7" s="66" t="n">
        <x:v>0</x:v>
      </x:c>
      <x:c r="M7" s="66" t="n">
        <x:f>COUNTIFS($E$5:$E$22,E7)</x:f>
        <x:v>1</x:v>
      </x:c>
      <x:c r="N7" s="66" t="n">
        <x:f>COUNTIFS($F$5:$F$22,F7)</x:f>
        <x:v>1</x:v>
      </x:c>
      <x:c r="O7" s="66" t="n">
        <x:f>COUNTIFS($G$5:$G$22,G7)</x:f>
        <x:v>1</x:v>
      </x:c>
      <x:c r="P7" s="65" t="str">
        <x:f>IF(AND(H7=0,I7=1,J7=1,K7=L7,M7=1,N7=1,O7=1),IF(L7=1,"MOBILIZED","RESERVED / ISOLATED"),"INVALID")</x:f>
        <x:v>RESERVED / ISOLATED</x:v>
      </x:c>
      <x:c r="Q7" s="66" t="n">
        <x:f>COUNTIFS($B$5:$B$22,B7)</x:f>
        <x:v>1</x:v>
      </x:c>
    </x:row>
    <x:row r="8">
      <x:c r="A8" s="65" t="str">
        <x:v>IC04</x:v>
      </x:c>
      <x:c r="B8" s="65" t="str">
        <x:v>CT-C-A</x:v>
      </x:c>
      <x:c r="C8" s="65" t="str">
        <x:v>CT-C</x:v>
      </x:c>
      <x:c r="D8" s="66" t="n">
        <x:v>3</x:v>
      </x:c>
      <x:c r="E8" s="65" t="str">
        <x:v>CG04</x:v>
      </x:c>
      <x:c r="F8" s="65" t="str">
        <x:v>TE04</x:v>
      </x:c>
      <x:c r="G8" s="65" t="str">
        <x:v>DE04</x:v>
      </x:c>
      <x:c r="H8" s="66" t="n">
        <x:v>0</x:v>
      </x:c>
      <x:c r="I8" s="66" t="n">
        <x:v>1</x:v>
      </x:c>
      <x:c r="J8" s="66" t="n">
        <x:v>1</x:v>
      </x:c>
      <x:c r="K8" s="66" t="n">
        <x:v>0</x:v>
      </x:c>
      <x:c r="L8" s="66" t="n">
        <x:v>0</x:v>
      </x:c>
      <x:c r="M8" s="66" t="n">
        <x:f>COUNTIFS($E$5:$E$22,E8)</x:f>
        <x:v>1</x:v>
      </x:c>
      <x:c r="N8" s="66" t="n">
        <x:f>COUNTIFS($F$5:$F$22,F8)</x:f>
        <x:v>1</x:v>
      </x:c>
      <x:c r="O8" s="66" t="n">
        <x:f>COUNTIFS($G$5:$G$22,G8)</x:f>
        <x:v>1</x:v>
      </x:c>
      <x:c r="P8" s="65" t="str">
        <x:f>IF(AND(H8=0,I8=1,J8=1,K8=L8,M8=1,N8=1,O8=1),IF(L8=1,"MOBILIZED","RESERVED / ISOLATED"),"INVALID")</x:f>
        <x:v>RESERVED / ISOLATED</x:v>
      </x:c>
      <x:c r="Q8" s="66" t="n">
        <x:f>COUNTIFS($B$5:$B$22,B8)</x:f>
        <x:v>1</x:v>
      </x:c>
    </x:row>
    <x:row r="9">
      <x:c r="A9" s="65" t="str">
        <x:v>IC05</x:v>
      </x:c>
      <x:c r="B9" s="65" t="str">
        <x:v>CT-C-B</x:v>
      </x:c>
      <x:c r="C9" s="65" t="str">
        <x:v>CT-C</x:v>
      </x:c>
      <x:c r="D9" s="66" t="n">
        <x:v>1</x:v>
      </x:c>
      <x:c r="E9" s="65" t="str">
        <x:v>CG05</x:v>
      </x:c>
      <x:c r="F9" s="65" t="str">
        <x:v>TE05</x:v>
      </x:c>
      <x:c r="G9" s="65" t="str">
        <x:v>DE05</x:v>
      </x:c>
      <x:c r="H9" s="66" t="n">
        <x:v>0</x:v>
      </x:c>
      <x:c r="I9" s="66" t="n">
        <x:v>1</x:v>
      </x:c>
      <x:c r="J9" s="66" t="n">
        <x:v>1</x:v>
      </x:c>
      <x:c r="K9" s="66" t="n">
        <x:v>1</x:v>
      </x:c>
      <x:c r="L9" s="66" t="n">
        <x:v>1</x:v>
      </x:c>
      <x:c r="M9" s="66" t="n">
        <x:f>COUNTIFS($E$5:$E$22,E9)</x:f>
        <x:v>1</x:v>
      </x:c>
      <x:c r="N9" s="66" t="n">
        <x:f>COUNTIFS($F$5:$F$22,F9)</x:f>
        <x:v>1</x:v>
      </x:c>
      <x:c r="O9" s="66" t="n">
        <x:f>COUNTIFS($G$5:$G$22,G9)</x:f>
        <x:v>1</x:v>
      </x:c>
      <x:c r="P9" s="65" t="str">
        <x:f>IF(AND(H9=0,I9=1,J9=1,K9=L9,M9=1,N9=1,O9=1),IF(L9=1,"MOBILIZED","RESERVED / ISOLATED"),"INVALID")</x:f>
        <x:v>MOBILIZED</x:v>
      </x:c>
      <x:c r="Q9" s="66" t="n">
        <x:f>COUNTIFS($B$5:$B$22,B9)</x:f>
        <x:v>1</x:v>
      </x:c>
    </x:row>
    <x:row r="10">
      <x:c r="A10" s="65" t="str">
        <x:v>IC06</x:v>
      </x:c>
      <x:c r="B10" s="65" t="str">
        <x:v>CT-C-C</x:v>
      </x:c>
      <x:c r="C10" s="65" t="str">
        <x:v>CT-C</x:v>
      </x:c>
      <x:c r="D10" s="66" t="n">
        <x:v>2</x:v>
      </x:c>
      <x:c r="E10" s="65" t="str">
        <x:v>CG06</x:v>
      </x:c>
      <x:c r="F10" s="65" t="str">
        <x:v>TE06</x:v>
      </x:c>
      <x:c r="G10" s="65" t="str">
        <x:v>DE06</x:v>
      </x:c>
      <x:c r="H10" s="66" t="n">
        <x:v>0</x:v>
      </x:c>
      <x:c r="I10" s="66" t="n">
        <x:v>1</x:v>
      </x:c>
      <x:c r="J10" s="66" t="n">
        <x:v>1</x:v>
      </x:c>
      <x:c r="K10" s="66" t="n">
        <x:v>0</x:v>
      </x:c>
      <x:c r="L10" s="66" t="n">
        <x:v>0</x:v>
      </x:c>
      <x:c r="M10" s="66" t="n">
        <x:f>COUNTIFS($E$5:$E$22,E10)</x:f>
        <x:v>1</x:v>
      </x:c>
      <x:c r="N10" s="66" t="n">
        <x:f>COUNTIFS($F$5:$F$22,F10)</x:f>
        <x:v>1</x:v>
      </x:c>
      <x:c r="O10" s="66" t="n">
        <x:f>COUNTIFS($G$5:$G$22,G10)</x:f>
        <x:v>1</x:v>
      </x:c>
      <x:c r="P10" s="65" t="str">
        <x:f>IF(AND(H10=0,I10=1,J10=1,K10=L10,M10=1,N10=1,O10=1),IF(L10=1,"MOBILIZED","RESERVED / ISOLATED"),"INVALID")</x:f>
        <x:v>RESERVED / ISOLATED</x:v>
      </x:c>
      <x:c r="Q10" s="66" t="n">
        <x:f>COUNTIFS($B$5:$B$22,B10)</x:f>
        <x:v>1</x:v>
      </x:c>
    </x:row>
    <x:row r="11">
      <x:c r="A11" s="65" t="str">
        <x:v>IC07</x:v>
      </x:c>
      <x:c r="B11" s="65" t="str">
        <x:v>HC-A-A</x:v>
      </x:c>
      <x:c r="C11" s="65" t="str">
        <x:v>HC-A</x:v>
      </x:c>
      <x:c r="D11" s="66" t="n">
        <x:v>2</x:v>
      </x:c>
      <x:c r="E11" s="65" t="str">
        <x:v>CG07</x:v>
      </x:c>
      <x:c r="F11" s="65" t="str">
        <x:v>TE07</x:v>
      </x:c>
      <x:c r="G11" s="65" t="str">
        <x:v>DE07</x:v>
      </x:c>
      <x:c r="H11" s="66" t="n">
        <x:v>0</x:v>
      </x:c>
      <x:c r="I11" s="66" t="n">
        <x:v>1</x:v>
      </x:c>
      <x:c r="J11" s="66" t="n">
        <x:v>1</x:v>
      </x:c>
      <x:c r="K11" s="66" t="n">
        <x:v>0</x:v>
      </x:c>
      <x:c r="L11" s="66" t="n">
        <x:v>0</x:v>
      </x:c>
      <x:c r="M11" s="66" t="n">
        <x:f>COUNTIFS($E$5:$E$22,E11)</x:f>
        <x:v>1</x:v>
      </x:c>
      <x:c r="N11" s="66" t="n">
        <x:f>COUNTIFS($F$5:$F$22,F11)</x:f>
        <x:v>1</x:v>
      </x:c>
      <x:c r="O11" s="66" t="n">
        <x:f>COUNTIFS($G$5:$G$22,G11)</x:f>
        <x:v>1</x:v>
      </x:c>
      <x:c r="P11" s="65" t="str">
        <x:f>IF(AND(H11=0,I11=1,J11=1,K11=L11,M11=1,N11=1,O11=1),IF(L11=1,"MOBILIZED","RESERVED / ISOLATED"),"INVALID")</x:f>
        <x:v>RESERVED / ISOLATED</x:v>
      </x:c>
      <x:c r="Q11" s="66" t="n">
        <x:f>COUNTIFS($B$5:$B$22,B11)</x:f>
        <x:v>1</x:v>
      </x:c>
    </x:row>
    <x:row r="12">
      <x:c r="A12" s="65" t="str">
        <x:v>IC08</x:v>
      </x:c>
      <x:c r="B12" s="65" t="str">
        <x:v>HC-A-B</x:v>
      </x:c>
      <x:c r="C12" s="65" t="str">
        <x:v>HC-A</x:v>
      </x:c>
      <x:c r="D12" s="66" t="n">
        <x:v>3</x:v>
      </x:c>
      <x:c r="E12" s="65" t="str">
        <x:v>CG08</x:v>
      </x:c>
      <x:c r="F12" s="65" t="str">
        <x:v>TE08</x:v>
      </x:c>
      <x:c r="G12" s="65" t="str">
        <x:v>DE08</x:v>
      </x:c>
      <x:c r="H12" s="66" t="n">
        <x:v>0</x:v>
      </x:c>
      <x:c r="I12" s="66" t="n">
        <x:v>1</x:v>
      </x:c>
      <x:c r="J12" s="66" t="n">
        <x:v>1</x:v>
      </x:c>
      <x:c r="K12" s="66" t="n">
        <x:v>0</x:v>
      </x:c>
      <x:c r="L12" s="66" t="n">
        <x:v>0</x:v>
      </x:c>
      <x:c r="M12" s="66" t="n">
        <x:f>COUNTIFS($E$5:$E$22,E12)</x:f>
        <x:v>1</x:v>
      </x:c>
      <x:c r="N12" s="66" t="n">
        <x:f>COUNTIFS($F$5:$F$22,F12)</x:f>
        <x:v>1</x:v>
      </x:c>
      <x:c r="O12" s="66" t="n">
        <x:f>COUNTIFS($G$5:$G$22,G12)</x:f>
        <x:v>1</x:v>
      </x:c>
      <x:c r="P12" s="65" t="str">
        <x:f>IF(AND(H12=0,I12=1,J12=1,K12=L12,M12=1,N12=1,O12=1),IF(L12=1,"MOBILIZED","RESERVED / ISOLATED"),"INVALID")</x:f>
        <x:v>RESERVED / ISOLATED</x:v>
      </x:c>
      <x:c r="Q12" s="66" t="n">
        <x:f>COUNTIFS($B$5:$B$22,B12)</x:f>
        <x:v>1</x:v>
      </x:c>
    </x:row>
    <x:row r="13">
      <x:c r="A13" s="65" t="str">
        <x:v>IC09</x:v>
      </x:c>
      <x:c r="B13" s="65" t="str">
        <x:v>HC-A-C</x:v>
      </x:c>
      <x:c r="C13" s="65" t="str">
        <x:v>HC-A</x:v>
      </x:c>
      <x:c r="D13" s="66" t="n">
        <x:v>1</x:v>
      </x:c>
      <x:c r="E13" s="65" t="str">
        <x:v>CG09</x:v>
      </x:c>
      <x:c r="F13" s="65" t="str">
        <x:v>TE09</x:v>
      </x:c>
      <x:c r="G13" s="65" t="str">
        <x:v>DE09</x:v>
      </x:c>
      <x:c r="H13" s="66" t="n">
        <x:v>0</x:v>
      </x:c>
      <x:c r="I13" s="66" t="n">
        <x:v>1</x:v>
      </x:c>
      <x:c r="J13" s="66" t="n">
        <x:v>1</x:v>
      </x:c>
      <x:c r="K13" s="66" t="n">
        <x:v>1</x:v>
      </x:c>
      <x:c r="L13" s="66" t="n">
        <x:v>1</x:v>
      </x:c>
      <x:c r="M13" s="66" t="n">
        <x:f>COUNTIFS($E$5:$E$22,E13)</x:f>
        <x:v>1</x:v>
      </x:c>
      <x:c r="N13" s="66" t="n">
        <x:f>COUNTIFS($F$5:$F$22,F13)</x:f>
        <x:v>1</x:v>
      </x:c>
      <x:c r="O13" s="66" t="n">
        <x:f>COUNTIFS($G$5:$G$22,G13)</x:f>
        <x:v>1</x:v>
      </x:c>
      <x:c r="P13" s="65" t="str">
        <x:f>IF(AND(H13=0,I13=1,J13=1,K13=L13,M13=1,N13=1,O13=1),IF(L13=1,"MOBILIZED","RESERVED / ISOLATED"),"INVALID")</x:f>
        <x:v>MOBILIZED</x:v>
      </x:c>
      <x:c r="Q13" s="66" t="n">
        <x:f>COUNTIFS($B$5:$B$22,B13)</x:f>
        <x:v>1</x:v>
      </x:c>
    </x:row>
    <x:row r="14">
      <x:c r="A14" s="65" t="str">
        <x:v>IC10</x:v>
      </x:c>
      <x:c r="B14" s="65" t="str">
        <x:v>LF-B-A</x:v>
      </x:c>
      <x:c r="C14" s="65" t="str">
        <x:v>LF-B</x:v>
      </x:c>
      <x:c r="D14" s="66" t="n">
        <x:v>1</x:v>
      </x:c>
      <x:c r="E14" s="65" t="str">
        <x:v>CG10</x:v>
      </x:c>
      <x:c r="F14" s="65" t="str">
        <x:v>TE10</x:v>
      </x:c>
      <x:c r="G14" s="65" t="str">
        <x:v>DE10</x:v>
      </x:c>
      <x:c r="H14" s="66" t="n">
        <x:v>0</x:v>
      </x:c>
      <x:c r="I14" s="66" t="n">
        <x:v>1</x:v>
      </x:c>
      <x:c r="J14" s="66" t="n">
        <x:v>1</x:v>
      </x:c>
      <x:c r="K14" s="66" t="n">
        <x:v>1</x:v>
      </x:c>
      <x:c r="L14" s="66" t="n">
        <x:v>1</x:v>
      </x:c>
      <x:c r="M14" s="66" t="n">
        <x:f>COUNTIFS($E$5:$E$22,E14)</x:f>
        <x:v>1</x:v>
      </x:c>
      <x:c r="N14" s="66" t="n">
        <x:f>COUNTIFS($F$5:$F$22,F14)</x:f>
        <x:v>1</x:v>
      </x:c>
      <x:c r="O14" s="66" t="n">
        <x:f>COUNTIFS($G$5:$G$22,G14)</x:f>
        <x:v>1</x:v>
      </x:c>
      <x:c r="P14" s="65" t="str">
        <x:f>IF(AND(H14=0,I14=1,J14=1,K14=L14,M14=1,N14=1,O14=1),IF(L14=1,"MOBILIZED","RESERVED / ISOLATED"),"INVALID")</x:f>
        <x:v>MOBILIZED</x:v>
      </x:c>
      <x:c r="Q14" s="66" t="n">
        <x:f>COUNTIFS($B$5:$B$22,B14)</x:f>
        <x:v>1</x:v>
      </x:c>
    </x:row>
    <x:row r="15">
      <x:c r="A15" s="65" t="str">
        <x:v>IC11</x:v>
      </x:c>
      <x:c r="B15" s="65" t="str">
        <x:v>LF-B-B</x:v>
      </x:c>
      <x:c r="C15" s="65" t="str">
        <x:v>LF-B</x:v>
      </x:c>
      <x:c r="D15" s="66" t="n">
        <x:v>3</x:v>
      </x:c>
      <x:c r="E15" s="65" t="str">
        <x:v>CG11</x:v>
      </x:c>
      <x:c r="F15" s="65" t="str">
        <x:v>TE11</x:v>
      </x:c>
      <x:c r="G15" s="65" t="str">
        <x:v>DE11</x:v>
      </x:c>
      <x:c r="H15" s="66" t="n">
        <x:v>0</x:v>
      </x:c>
      <x:c r="I15" s="66" t="n">
        <x:v>1</x:v>
      </x:c>
      <x:c r="J15" s="66" t="n">
        <x:v>1</x:v>
      </x:c>
      <x:c r="K15" s="66" t="n">
        <x:v>0</x:v>
      </x:c>
      <x:c r="L15" s="66" t="n">
        <x:v>0</x:v>
      </x:c>
      <x:c r="M15" s="66" t="n">
        <x:f>COUNTIFS($E$5:$E$22,E15)</x:f>
        <x:v>1</x:v>
      </x:c>
      <x:c r="N15" s="66" t="n">
        <x:f>COUNTIFS($F$5:$F$22,F15)</x:f>
        <x:v>1</x:v>
      </x:c>
      <x:c r="O15" s="66" t="n">
        <x:f>COUNTIFS($G$5:$G$22,G15)</x:f>
        <x:v>1</x:v>
      </x:c>
      <x:c r="P15" s="65" t="str">
        <x:f>IF(AND(H15=0,I15=1,J15=1,K15=L15,M15=1,N15=1,O15=1),IF(L15=1,"MOBILIZED","RESERVED / ISOLATED"),"INVALID")</x:f>
        <x:v>RESERVED / ISOLATED</x:v>
      </x:c>
      <x:c r="Q15" s="66" t="n">
        <x:f>COUNTIFS($B$5:$B$22,B15)</x:f>
        <x:v>1</x:v>
      </x:c>
    </x:row>
    <x:row r="16">
      <x:c r="A16" s="65" t="str">
        <x:v>IC12</x:v>
      </x:c>
      <x:c r="B16" s="65" t="str">
        <x:v>LF-B-C</x:v>
      </x:c>
      <x:c r="C16" s="65" t="str">
        <x:v>LF-B</x:v>
      </x:c>
      <x:c r="D16" s="66" t="n">
        <x:v>2</x:v>
      </x:c>
      <x:c r="E16" s="65" t="str">
        <x:v>CG12</x:v>
      </x:c>
      <x:c r="F16" s="65" t="str">
        <x:v>TE12</x:v>
      </x:c>
      <x:c r="G16" s="65" t="str">
        <x:v>DE12</x:v>
      </x:c>
      <x:c r="H16" s="66" t="n">
        <x:v>0</x:v>
      </x:c>
      <x:c r="I16" s="66" t="n">
        <x:v>1</x:v>
      </x:c>
      <x:c r="J16" s="66" t="n">
        <x:v>1</x:v>
      </x:c>
      <x:c r="K16" s="66" t="n">
        <x:v>0</x:v>
      </x:c>
      <x:c r="L16" s="66" t="n">
        <x:v>0</x:v>
      </x:c>
      <x:c r="M16" s="66" t="n">
        <x:f>COUNTIFS($E$5:$E$22,E16)</x:f>
        <x:v>1</x:v>
      </x:c>
      <x:c r="N16" s="66" t="n">
        <x:f>COUNTIFS($F$5:$F$22,F16)</x:f>
        <x:v>1</x:v>
      </x:c>
      <x:c r="O16" s="66" t="n">
        <x:f>COUNTIFS($G$5:$G$22,G16)</x:f>
        <x:v>1</x:v>
      </x:c>
      <x:c r="P16" s="65" t="str">
        <x:f>IF(AND(H16=0,I16=1,J16=1,K16=L16,M16=1,N16=1,O16=1),IF(L16=1,"MOBILIZED","RESERVED / ISOLATED"),"INVALID")</x:f>
        <x:v>RESERVED / ISOLATED</x:v>
      </x:c>
      <x:c r="Q16" s="66" t="n">
        <x:f>COUNTIFS($B$5:$B$22,B16)</x:f>
        <x:v>1</x:v>
      </x:c>
    </x:row>
    <x:row r="17">
      <x:c r="A17" s="65" t="str">
        <x:v>IC13</x:v>
      </x:c>
      <x:c r="B17" s="65" t="str">
        <x:v>HU-A-A</x:v>
      </x:c>
      <x:c r="C17" s="65" t="str">
        <x:v>HU-A</x:v>
      </x:c>
      <x:c r="D17" s="66" t="n">
        <x:v>2</x:v>
      </x:c>
      <x:c r="E17" s="65" t="str">
        <x:v>CG13</x:v>
      </x:c>
      <x:c r="F17" s="65" t="str">
        <x:v>TE13</x:v>
      </x:c>
      <x:c r="G17" s="65" t="str">
        <x:v>DE13</x:v>
      </x:c>
      <x:c r="H17" s="66" t="n">
        <x:v>0</x:v>
      </x:c>
      <x:c r="I17" s="66" t="n">
        <x:v>1</x:v>
      </x:c>
      <x:c r="J17" s="66" t="n">
        <x:v>1</x:v>
      </x:c>
      <x:c r="K17" s="66" t="n">
        <x:v>0</x:v>
      </x:c>
      <x:c r="L17" s="66" t="n">
        <x:v>0</x:v>
      </x:c>
      <x:c r="M17" s="66" t="n">
        <x:f>COUNTIFS($E$5:$E$22,E17)</x:f>
        <x:v>1</x:v>
      </x:c>
      <x:c r="N17" s="66" t="n">
        <x:f>COUNTIFS($F$5:$F$22,F17)</x:f>
        <x:v>1</x:v>
      </x:c>
      <x:c r="O17" s="66" t="n">
        <x:f>COUNTIFS($G$5:$G$22,G17)</x:f>
        <x:v>1</x:v>
      </x:c>
      <x:c r="P17" s="65" t="str">
        <x:f>IF(AND(H17=0,I17=1,J17=1,K17=L17,M17=1,N17=1,O17=1),IF(L17=1,"MOBILIZED","RESERVED / ISOLATED"),"INVALID")</x:f>
        <x:v>RESERVED / ISOLATED</x:v>
      </x:c>
      <x:c r="Q17" s="66" t="n">
        <x:f>COUNTIFS($B$5:$B$22,B17)</x:f>
        <x:v>1</x:v>
      </x:c>
    </x:row>
    <x:row r="18">
      <x:c r="A18" s="65" t="str">
        <x:v>IC14</x:v>
      </x:c>
      <x:c r="B18" s="65" t="str">
        <x:v>HU-A-B</x:v>
      </x:c>
      <x:c r="C18" s="65" t="str">
        <x:v>HU-A</x:v>
      </x:c>
      <x:c r="D18" s="66" t="n">
        <x:v>1</x:v>
      </x:c>
      <x:c r="E18" s="65" t="str">
        <x:v>CG14</x:v>
      </x:c>
      <x:c r="F18" s="65" t="str">
        <x:v>TE14</x:v>
      </x:c>
      <x:c r="G18" s="65" t="str">
        <x:v>DE14</x:v>
      </x:c>
      <x:c r="H18" s="66" t="n">
        <x:v>0</x:v>
      </x:c>
      <x:c r="I18" s="66" t="n">
        <x:v>1</x:v>
      </x:c>
      <x:c r="J18" s="66" t="n">
        <x:v>1</x:v>
      </x:c>
      <x:c r="K18" s="66" t="n">
        <x:v>1</x:v>
      </x:c>
      <x:c r="L18" s="66" t="n">
        <x:v>1</x:v>
      </x:c>
      <x:c r="M18" s="66" t="n">
        <x:f>COUNTIFS($E$5:$E$22,E18)</x:f>
        <x:v>1</x:v>
      </x:c>
      <x:c r="N18" s="66" t="n">
        <x:f>COUNTIFS($F$5:$F$22,F18)</x:f>
        <x:v>1</x:v>
      </x:c>
      <x:c r="O18" s="66" t="n">
        <x:f>COUNTIFS($G$5:$G$22,G18)</x:f>
        <x:v>1</x:v>
      </x:c>
      <x:c r="P18" s="65" t="str">
        <x:f>IF(AND(H18=0,I18=1,J18=1,K18=L18,M18=1,N18=1,O18=1),IF(L18=1,"MOBILIZED","RESERVED / ISOLATED"),"INVALID")</x:f>
        <x:v>MOBILIZED</x:v>
      </x:c>
      <x:c r="Q18" s="66" t="n">
        <x:f>COUNTIFS($B$5:$B$22,B18)</x:f>
        <x:v>1</x:v>
      </x:c>
    </x:row>
    <x:row r="19">
      <x:c r="A19" s="65" t="str">
        <x:v>IC15</x:v>
      </x:c>
      <x:c r="B19" s="65" t="str">
        <x:v>HU-A-C</x:v>
      </x:c>
      <x:c r="C19" s="65" t="str">
        <x:v>HU-A</x:v>
      </x:c>
      <x:c r="D19" s="66" t="n">
        <x:v>3</x:v>
      </x:c>
      <x:c r="E19" s="65" t="str">
        <x:v>CG15</x:v>
      </x:c>
      <x:c r="F19" s="65" t="str">
        <x:v>TE15</x:v>
      </x:c>
      <x:c r="G19" s="65" t="str">
        <x:v>DE15</x:v>
      </x:c>
      <x:c r="H19" s="66" t="n">
        <x:v>0</x:v>
      </x:c>
      <x:c r="I19" s="66" t="n">
        <x:v>1</x:v>
      </x:c>
      <x:c r="J19" s="66" t="n">
        <x:v>1</x:v>
      </x:c>
      <x:c r="K19" s="66" t="n">
        <x:v>0</x:v>
      </x:c>
      <x:c r="L19" s="66" t="n">
        <x:v>0</x:v>
      </x:c>
      <x:c r="M19" s="66" t="n">
        <x:f>COUNTIFS($E$5:$E$22,E19)</x:f>
        <x:v>1</x:v>
      </x:c>
      <x:c r="N19" s="66" t="n">
        <x:f>COUNTIFS($F$5:$F$22,F19)</x:f>
        <x:v>1</x:v>
      </x:c>
      <x:c r="O19" s="66" t="n">
        <x:f>COUNTIFS($G$5:$G$22,G19)</x:f>
        <x:v>1</x:v>
      </x:c>
      <x:c r="P19" s="65" t="str">
        <x:f>IF(AND(H19=0,I19=1,J19=1,K19=L19,M19=1,N19=1,O19=1),IF(L19=1,"MOBILIZED","RESERVED / ISOLATED"),"INVALID")</x:f>
        <x:v>RESERVED / ISOLATED</x:v>
      </x:c>
      <x:c r="Q19" s="66" t="n">
        <x:f>COUNTIFS($B$5:$B$22,B19)</x:f>
        <x:v>1</x:v>
      </x:c>
    </x:row>
    <x:row r="20">
      <x:c r="A20" s="65" t="str">
        <x:v>IC16</x:v>
      </x:c>
      <x:c r="B20" s="65" t="str">
        <x:v>RT-B-A</x:v>
      </x:c>
      <x:c r="C20" s="65" t="str">
        <x:v>RT-B</x:v>
      </x:c>
      <x:c r="D20" s="66" t="n">
        <x:v>3</x:v>
      </x:c>
      <x:c r="E20" s="65" t="str">
        <x:v>CG16</x:v>
      </x:c>
      <x:c r="F20" s="65" t="str">
        <x:v>TE16</x:v>
      </x:c>
      <x:c r="G20" s="65" t="str">
        <x:v>DE16</x:v>
      </x:c>
      <x:c r="H20" s="66" t="n">
        <x:v>0</x:v>
      </x:c>
      <x:c r="I20" s="66" t="n">
        <x:v>1</x:v>
      </x:c>
      <x:c r="J20" s="66" t="n">
        <x:v>1</x:v>
      </x:c>
      <x:c r="K20" s="66" t="n">
        <x:v>0</x:v>
      </x:c>
      <x:c r="L20" s="66" t="n">
        <x:v>0</x:v>
      </x:c>
      <x:c r="M20" s="66" t="n">
        <x:f>COUNTIFS($E$5:$E$22,E20)</x:f>
        <x:v>1</x:v>
      </x:c>
      <x:c r="N20" s="66" t="n">
        <x:f>COUNTIFS($F$5:$F$22,F20)</x:f>
        <x:v>1</x:v>
      </x:c>
      <x:c r="O20" s="66" t="n">
        <x:f>COUNTIFS($G$5:$G$22,G20)</x:f>
        <x:v>1</x:v>
      </x:c>
      <x:c r="P20" s="65" t="str">
        <x:f>IF(AND(H20=0,I20=1,J20=1,K20=L20,M20=1,N20=1,O20=1),IF(L20=1,"MOBILIZED","RESERVED / ISOLATED"),"INVALID")</x:f>
        <x:v>RESERVED / ISOLATED</x:v>
      </x:c>
      <x:c r="Q20" s="66" t="n">
        <x:f>COUNTIFS($B$5:$B$22,B20)</x:f>
        <x:v>1</x:v>
      </x:c>
    </x:row>
    <x:row r="21">
      <x:c r="A21" s="65" t="str">
        <x:v>IC17</x:v>
      </x:c>
      <x:c r="B21" s="65" t="str">
        <x:v>RT-B-B</x:v>
      </x:c>
      <x:c r="C21" s="65" t="str">
        <x:v>RT-B</x:v>
      </x:c>
      <x:c r="D21" s="66" t="n">
        <x:v>2</x:v>
      </x:c>
      <x:c r="E21" s="65" t="str">
        <x:v>CG17</x:v>
      </x:c>
      <x:c r="F21" s="65" t="str">
        <x:v>TE17</x:v>
      </x:c>
      <x:c r="G21" s="65" t="str">
        <x:v>DE17</x:v>
      </x:c>
      <x:c r="H21" s="66" t="n">
        <x:v>0</x:v>
      </x:c>
      <x:c r="I21" s="66" t="n">
        <x:v>1</x:v>
      </x:c>
      <x:c r="J21" s="66" t="n">
        <x:v>1</x:v>
      </x:c>
      <x:c r="K21" s="66" t="n">
        <x:v>0</x:v>
      </x:c>
      <x:c r="L21" s="66" t="n">
        <x:v>0</x:v>
      </x:c>
      <x:c r="M21" s="66" t="n">
        <x:f>COUNTIFS($E$5:$E$22,E21)</x:f>
        <x:v>1</x:v>
      </x:c>
      <x:c r="N21" s="66" t="n">
        <x:f>COUNTIFS($F$5:$F$22,F21)</x:f>
        <x:v>1</x:v>
      </x:c>
      <x:c r="O21" s="66" t="n">
        <x:f>COUNTIFS($G$5:$G$22,G21)</x:f>
        <x:v>1</x:v>
      </x:c>
      <x:c r="P21" s="65" t="str">
        <x:f>IF(AND(H21=0,I21=1,J21=1,K21=L21,M21=1,N21=1,O21=1),IF(L21=1,"MOBILIZED","RESERVED / ISOLATED"),"INVALID")</x:f>
        <x:v>RESERVED / ISOLATED</x:v>
      </x:c>
      <x:c r="Q21" s="66" t="n">
        <x:f>COUNTIFS($B$5:$B$22,B21)</x:f>
        <x:v>1</x:v>
      </x:c>
    </x:row>
    <x:row r="22">
      <x:c r="A22" s="68" t="str">
        <x:v>IC18</x:v>
      </x:c>
      <x:c r="B22" s="68" t="str">
        <x:v>RT-B-C</x:v>
      </x:c>
      <x:c r="C22" s="68" t="str">
        <x:v>RT-B</x:v>
      </x:c>
      <x:c r="D22" s="70" t="n">
        <x:v>1</x:v>
      </x:c>
      <x:c r="E22" s="68" t="str">
        <x:v>CG18</x:v>
      </x:c>
      <x:c r="F22" s="68" t="str">
        <x:v>TE18</x:v>
      </x:c>
      <x:c r="G22" s="68" t="str">
        <x:v>DE18</x:v>
      </x:c>
      <x:c r="H22" s="70" t="n">
        <x:v>0</x:v>
      </x:c>
      <x:c r="I22" s="70" t="n">
        <x:v>1</x:v>
      </x:c>
      <x:c r="J22" s="70" t="n">
        <x:v>1</x:v>
      </x:c>
      <x:c r="K22" s="70" t="n">
        <x:v>1</x:v>
      </x:c>
      <x:c r="L22" s="70" t="n">
        <x:v>1</x:v>
      </x:c>
      <x:c r="M22" s="70" t="n">
        <x:f>COUNTIFS($E$5:$E$22,E22)</x:f>
        <x:v>1</x:v>
      </x:c>
      <x:c r="N22" s="70" t="n">
        <x:f>COUNTIFS($F$5:$F$22,F22)</x:f>
        <x:v>1</x:v>
      </x:c>
      <x:c r="O22" s="70" t="n">
        <x:f>COUNTIFS($G$5:$G$22,G22)</x:f>
        <x:v>1</x:v>
      </x:c>
      <x:c r="P22" s="68" t="str">
        <x:f>IF(AND(H22=0,I22=1,J22=1,K22=L22,M22=1,N22=1,O22=1),IF(L22=1,"MOBILIZED","RESERVED / ISOLATED"),"INVALID")</x:f>
        <x:v>MOBILIZED</x:v>
      </x:c>
      <x:c r="Q22" s="70" t="n">
        <x:f>COUNTIFS($B$5:$B$22,B22)</x:f>
        <x:v>1</x:v>
      </x:c>
    </x:row>
  </x:sheetData>
  <x:mergeCells>
    <x:mergeCell ref="A2:Q2"/>
  </x:mergeCells>
  <x:conditionalFormatting sqref="P5:P22">
    <x:cfRule type="containsText" dxfId="1" priority="1" operator="containsText" text="INVALID"/>
  </x:conditionalFormatting>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1" hidden="0" customWidth="1"/>
    <x:col min="2" max="2" width="16" hidden="0" customWidth="1"/>
    <x:col min="3" max="3" width="18" hidden="0" customWidth="1"/>
    <x:col min="4" max="4" width="16" hidden="0" customWidth="1"/>
    <x:col min="5" max="5" width="17" hidden="0" customWidth="1"/>
    <x:col min="6" max="6" width="18" hidden="0" customWidth="1"/>
    <x:col min="7" max="7" width="13" hidden="0" customWidth="1"/>
    <x:col min="8" max="8" width="22" hidden="0" customWidth="1"/>
    <x:col min="9" max="9" width="15" hidden="0" customWidth="1"/>
    <x:col min="10" max="10" width="21" hidden="0" customWidth="1"/>
    <x:col min="11" max="11" width="14" hidden="0" customWidth="1"/>
    <x:col min="12" max="12" width="17" hidden="0" customWidth="1"/>
    <x:col min="13" max="13" width="24" hidden="0" customWidth="1"/>
    <x:col min="14" max="14" width="24" hidden="0" customWidth="1"/>
    <x:col min="15" max="15" width="29" hidden="0" customWidth="1"/>
    <x:col min="16" max="16" width="15" hidden="0" customWidth="1"/>
  </x:cols>
  <x:sheetData>
    <x:row r="2">
      <x:c r="A2" s="58" t="str">
        <x:v>Separated fiscal, work, acceptance and evidence authorities</x:v>
      </x:c>
      <x:c r="B2" s="59"/>
      <x:c r="C2" s="59"/>
      <x:c r="D2" s="59"/>
      <x:c r="E2" s="59"/>
      <x:c r="F2" s="59"/>
      <x:c r="G2" s="59"/>
      <x:c r="H2" s="59"/>
      <x:c r="I2" s="59"/>
      <x:c r="J2" s="59"/>
      <x:c r="K2" s="59"/>
      <x:c r="L2" s="59"/>
      <x:c r="M2" s="59"/>
      <x:c r="N2" s="59"/>
      <x:c r="O2" s="59"/>
      <x:c r="P2" s="59"/>
    </x:row>
    <x:row r="3">
      <x:c r="A3" s="60"/>
      <x:c r="B3" s="60"/>
      <x:c r="C3" s="60"/>
      <x:c r="D3" s="60"/>
      <x:c r="E3" s="60"/>
      <x:c r="F3" s="60"/>
      <x:c r="G3" s="60"/>
      <x:c r="H3" s="60"/>
      <x:c r="I3" s="60"/>
      <x:c r="J3" s="60"/>
      <x:c r="K3" s="60"/>
      <x:c r="L3" s="60"/>
      <x:c r="M3" s="60"/>
      <x:c r="N3" s="60"/>
      <x:c r="O3" s="60"/>
      <x:c r="P3" s="60"/>
    </x:row>
    <x:row r="4" ht="32" customHeight="1">
      <x:c r="A4" s="14" t="str">
        <x:v>Role</x:v>
      </x:c>
      <x:c r="B4" s="15" t="str">
        <x:v>Reserve funds</x:v>
      </x:c>
      <x:c r="C4" s="15" t="str">
        <x:v>Obligate funds</x:v>
      </x:c>
      <x:c r="D4" s="15" t="str">
        <x:v>Issue notice</x:v>
      </x:c>
      <x:c r="E4" s="15" t="str">
        <x:v>Perform work</x:v>
      </x:c>
      <x:c r="F4" s="15" t="str">
        <x:v>Accept artifact</x:v>
      </x:c>
      <x:c r="G4" s="15" t="str">
        <x:v>Pay</x:v>
      </x:c>
      <x:c r="H4" s="15" t="str">
        <x:v>Grant observation</x:v>
      </x:c>
      <x:c r="I4" s="15" t="str">
        <x:v>Select form</x:v>
      </x:c>
      <x:c r="J4" s="15" t="str">
        <x:v>Raw package access</x:v>
      </x:c>
      <x:c r="K4" s="15" t="str">
        <x:v>Stop work</x:v>
      </x:c>
      <x:c r="L4" s="15" t="str">
        <x:v>Publish state</x:v>
      </x:c>
      <x:c r="M4" s="15" t="str">
        <x:v>Work-accept separation</x:v>
      </x:c>
      <x:c r="N4" s="15" t="str">
        <x:v>Obligate-pay separation</x:v>
      </x:c>
      <x:c r="O4" s="15" t="str">
        <x:v>Observation-selection separation</x:v>
      </x:c>
      <x:c r="P4" s="16" t="str">
        <x:v>Role state</x:v>
      </x:c>
    </x:row>
    <x:row r="5">
      <x:c r="A5" s="61" t="str">
        <x:v>Portfolio reserve custodian</x:v>
      </x:c>
      <x:c r="B5" s="62" t="n">
        <x:v>1</x:v>
      </x:c>
      <x:c r="C5" s="62" t="n">
        <x:v>0</x:v>
      </x:c>
      <x:c r="D5" s="62" t="n">
        <x:v>0</x:v>
      </x:c>
      <x:c r="E5" s="62" t="n">
        <x:v>0</x:v>
      </x:c>
      <x:c r="F5" s="62" t="n">
        <x:v>0</x:v>
      </x:c>
      <x:c r="G5" s="62" t="n">
        <x:v>0</x:v>
      </x:c>
      <x:c r="H5" s="62" t="n">
        <x:v>0</x:v>
      </x:c>
      <x:c r="I5" s="62" t="n">
        <x:v>0</x:v>
      </x:c>
      <x:c r="J5" s="62" t="n">
        <x:v>0</x:v>
      </x:c>
      <x:c r="K5" s="62" t="n">
        <x:v>0</x:v>
      </x:c>
      <x:c r="L5" s="62" t="n">
        <x:v>0</x:v>
      </x:c>
      <x:c r="M5" s="62" t="n">
        <x:f>IF(E5*F5=0,1,0)</x:f>
        <x:v>1</x:v>
      </x:c>
      <x:c r="N5" s="62" t="n">
        <x:f>IF(C5*G5=0,1,0)</x:f>
        <x:v>1</x:v>
      </x:c>
      <x:c r="O5" s="62" t="n">
        <x:f>IF(H5*I5=0,1,0)</x:f>
        <x:v>1</x:v>
      </x:c>
      <x:c r="P5" s="61" t="str">
        <x:f>IF(AND(M5=1,N5=1,O5=1,SUM(B5:L5)&gt;0),"PASS","FAIL")</x:f>
        <x:v>PASS</x:v>
      </x:c>
    </x:row>
    <x:row r="6">
      <x:c r="A6" s="65" t="str">
        <x:v>Contracting authority</x:v>
      </x:c>
      <x:c r="B6" s="66" t="n">
        <x:v>0</x:v>
      </x:c>
      <x:c r="C6" s="66" t="n">
        <x:v>1</x:v>
      </x:c>
      <x:c r="D6" s="66" t="n">
        <x:v>1</x:v>
      </x:c>
      <x:c r="E6" s="66" t="n">
        <x:v>0</x:v>
      </x:c>
      <x:c r="F6" s="66" t="n">
        <x:v>0</x:v>
      </x:c>
      <x:c r="G6" s="66" t="n">
        <x:v>0</x:v>
      </x:c>
      <x:c r="H6" s="66" t="n">
        <x:v>0</x:v>
      </x:c>
      <x:c r="I6" s="66" t="n">
        <x:v>0</x:v>
      </x:c>
      <x:c r="J6" s="66" t="n">
        <x:v>0</x:v>
      </x:c>
      <x:c r="K6" s="66" t="n">
        <x:v>0</x:v>
      </x:c>
      <x:c r="L6" s="66" t="n">
        <x:v>0</x:v>
      </x:c>
      <x:c r="M6" s="66" t="n">
        <x:f>IF(E6*F6=0,1,0)</x:f>
        <x:v>1</x:v>
      </x:c>
      <x:c r="N6" s="66" t="n">
        <x:f>IF(C6*G6=0,1,0)</x:f>
        <x:v>1</x:v>
      </x:c>
      <x:c r="O6" s="66" t="n">
        <x:f>IF(H6*I6=0,1,0)</x:f>
        <x:v>1</x:v>
      </x:c>
      <x:c r="P6" s="65" t="str">
        <x:f>IF(AND(M6=1,N6=1,O6=1,SUM(B6:L6)&gt;0),"PASS","FAIL")</x:f>
        <x:v>PASS</x:v>
      </x:c>
    </x:row>
    <x:row r="7">
      <x:c r="A7" s="65" t="str">
        <x:v>Configuration registrar</x:v>
      </x:c>
      <x:c r="B7" s="66" t="n">
        <x:v>0</x:v>
      </x:c>
      <x:c r="C7" s="66" t="n">
        <x:v>0</x:v>
      </x:c>
      <x:c r="D7" s="66" t="n">
        <x:v>0</x:v>
      </x:c>
      <x:c r="E7" s="66" t="n">
        <x:v>0</x:v>
      </x:c>
      <x:c r="F7" s="66" t="n">
        <x:v>0</x:v>
      </x:c>
      <x:c r="G7" s="66" t="n">
        <x:v>0</x:v>
      </x:c>
      <x:c r="H7" s="66" t="n">
        <x:v>0</x:v>
      </x:c>
      <x:c r="I7" s="66" t="n">
        <x:v>0</x:v>
      </x:c>
      <x:c r="J7" s="66" t="n">
        <x:v>0</x:v>
      </x:c>
      <x:c r="K7" s="66" t="n">
        <x:v>0</x:v>
      </x:c>
      <x:c r="L7" s="66" t="n">
        <x:v>1</x:v>
      </x:c>
      <x:c r="M7" s="66" t="n">
        <x:f>IF(E7*F7=0,1,0)</x:f>
        <x:v>1</x:v>
      </x:c>
      <x:c r="N7" s="66" t="n">
        <x:f>IF(C7*G7=0,1,0)</x:f>
        <x:v>1</x:v>
      </x:c>
      <x:c r="O7" s="66" t="n">
        <x:f>IF(H7*I7=0,1,0)</x:f>
        <x:v>1</x:v>
      </x:c>
      <x:c r="P7" s="65" t="str">
        <x:f>IF(AND(M7=1,N7=1,O7=1,SUM(B7:L7)&gt;0),"PASS","FAIL")</x:f>
        <x:v>PASS</x:v>
      </x:c>
    </x:row>
    <x:row r="8">
      <x:c r="A8" s="65" t="str">
        <x:v>Implementation cell</x:v>
      </x:c>
      <x:c r="B8" s="66" t="n">
        <x:v>0</x:v>
      </x:c>
      <x:c r="C8" s="66" t="n">
        <x:v>0</x:v>
      </x:c>
      <x:c r="D8" s="66" t="n">
        <x:v>0</x:v>
      </x:c>
      <x:c r="E8" s="66" t="n">
        <x:v>1</x:v>
      </x:c>
      <x:c r="F8" s="66" t="n">
        <x:v>0</x:v>
      </x:c>
      <x:c r="G8" s="66" t="n">
        <x:v>0</x:v>
      </x:c>
      <x:c r="H8" s="66" t="n">
        <x:v>0</x:v>
      </x:c>
      <x:c r="I8" s="66" t="n">
        <x:v>0</x:v>
      </x:c>
      <x:c r="J8" s="66" t="n">
        <x:v>1</x:v>
      </x:c>
      <x:c r="K8" s="66" t="n">
        <x:v>0</x:v>
      </x:c>
      <x:c r="L8" s="66" t="n">
        <x:v>0</x:v>
      </x:c>
      <x:c r="M8" s="66" t="n">
        <x:f>IF(E8*F8=0,1,0)</x:f>
        <x:v>1</x:v>
      </x:c>
      <x:c r="N8" s="66" t="n">
        <x:f>IF(C8*G8=0,1,0)</x:f>
        <x:v>1</x:v>
      </x:c>
      <x:c r="O8" s="66" t="n">
        <x:f>IF(H8*I8=0,1,0)</x:f>
        <x:v>1</x:v>
      </x:c>
      <x:c r="P8" s="65" t="str">
        <x:f>IF(AND(M8=1,N8=1,O8=1,SUM(B8:L8)&gt;0),"PASS","FAIL")</x:f>
        <x:v>PASS</x:v>
      </x:c>
    </x:row>
    <x:row r="9">
      <x:c r="A9" s="65" t="str">
        <x:v>Package custodian</x:v>
      </x:c>
      <x:c r="B9" s="66" t="n">
        <x:v>0</x:v>
      </x:c>
      <x:c r="C9" s="66" t="n">
        <x:v>0</x:v>
      </x:c>
      <x:c r="D9" s="66" t="n">
        <x:v>0</x:v>
      </x:c>
      <x:c r="E9" s="66" t="n">
        <x:v>0</x:v>
      </x:c>
      <x:c r="F9" s="66" t="n">
        <x:v>0</x:v>
      </x:c>
      <x:c r="G9" s="66" t="n">
        <x:v>0</x:v>
      </x:c>
      <x:c r="H9" s="66" t="n">
        <x:v>0</x:v>
      </x:c>
      <x:c r="I9" s="66" t="n">
        <x:v>0</x:v>
      </x:c>
      <x:c r="J9" s="66" t="n">
        <x:v>1</x:v>
      </x:c>
      <x:c r="K9" s="66" t="n">
        <x:v>0</x:v>
      </x:c>
      <x:c r="L9" s="66" t="n">
        <x:v>0</x:v>
      </x:c>
      <x:c r="M9" s="66" t="n">
        <x:f>IF(E9*F9=0,1,0)</x:f>
        <x:v>1</x:v>
      </x:c>
      <x:c r="N9" s="66" t="n">
        <x:f>IF(C9*G9=0,1,0)</x:f>
        <x:v>1</x:v>
      </x:c>
      <x:c r="O9" s="66" t="n">
        <x:f>IF(H9*I9=0,1,0)</x:f>
        <x:v>1</x:v>
      </x:c>
      <x:c r="P9" s="65" t="str">
        <x:f>IF(AND(M9=1,N9=1,O9=1,SUM(B9:L9)&gt;0),"PASS","FAIL")</x:f>
        <x:v>PASS</x:v>
      </x:c>
    </x:row>
    <x:row r="10">
      <x:c r="A10" s="65" t="str">
        <x:v>Artifact validity authority</x:v>
      </x:c>
      <x:c r="B10" s="66" t="n">
        <x:v>0</x:v>
      </x:c>
      <x:c r="C10" s="66" t="n">
        <x:v>0</x:v>
      </x:c>
      <x:c r="D10" s="66" t="n">
        <x:v>0</x:v>
      </x:c>
      <x:c r="E10" s="66" t="n">
        <x:v>0</x:v>
      </x:c>
      <x:c r="F10" s="66" t="n">
        <x:v>1</x:v>
      </x:c>
      <x:c r="G10" s="66" t="n">
        <x:v>0</x:v>
      </x:c>
      <x:c r="H10" s="66" t="n">
        <x:v>0</x:v>
      </x:c>
      <x:c r="I10" s="66" t="n">
        <x:v>0</x:v>
      </x:c>
      <x:c r="J10" s="66" t="n">
        <x:v>1</x:v>
      </x:c>
      <x:c r="K10" s="66" t="n">
        <x:v>0</x:v>
      </x:c>
      <x:c r="L10" s="66" t="n">
        <x:v>0</x:v>
      </x:c>
      <x:c r="M10" s="66" t="n">
        <x:f>IF(E10*F10=0,1,0)</x:f>
        <x:v>1</x:v>
      </x:c>
      <x:c r="N10" s="66" t="n">
        <x:f>IF(C10*G10=0,1,0)</x:f>
        <x:v>1</x:v>
      </x:c>
      <x:c r="O10" s="66" t="n">
        <x:f>IF(H10*I10=0,1,0)</x:f>
        <x:v>1</x:v>
      </x:c>
      <x:c r="P10" s="65" t="str">
        <x:f>IF(AND(M10=1,N10=1,O10=1,SUM(B10:L10)&gt;0),"PASS","FAIL")</x:f>
        <x:v>PASS</x:v>
      </x:c>
    </x:row>
    <x:row r="11">
      <x:c r="A11" s="65" t="str">
        <x:v>Finance disbursing authority</x:v>
      </x:c>
      <x:c r="B11" s="66" t="n">
        <x:v>0</x:v>
      </x:c>
      <x:c r="C11" s="66" t="n">
        <x:v>0</x:v>
      </x:c>
      <x:c r="D11" s="66" t="n">
        <x:v>0</x:v>
      </x:c>
      <x:c r="E11" s="66" t="n">
        <x:v>0</x:v>
      </x:c>
      <x:c r="F11" s="66" t="n">
        <x:v>0</x:v>
      </x:c>
      <x:c r="G11" s="66" t="n">
        <x:v>1</x:v>
      </x:c>
      <x:c r="H11" s="66" t="n">
        <x:v>0</x:v>
      </x:c>
      <x:c r="I11" s="66" t="n">
        <x:v>0</x:v>
      </x:c>
      <x:c r="J11" s="66" t="n">
        <x:v>0</x:v>
      </x:c>
      <x:c r="K11" s="66" t="n">
        <x:v>0</x:v>
      </x:c>
      <x:c r="L11" s="66" t="n">
        <x:v>0</x:v>
      </x:c>
      <x:c r="M11" s="66" t="n">
        <x:f>IF(E11*F11=0,1,0)</x:f>
        <x:v>1</x:v>
      </x:c>
      <x:c r="N11" s="66" t="n">
        <x:f>IF(C11*G11=0,1,0)</x:f>
        <x:v>1</x:v>
      </x:c>
      <x:c r="O11" s="66" t="n">
        <x:f>IF(H11*I11=0,1,0)</x:f>
        <x:v>1</x:v>
      </x:c>
      <x:c r="P11" s="65" t="str">
        <x:f>IF(AND(M11=1,N11=1,O11=1,SUM(B11:L11)&gt;0),"PASS","FAIL")</x:f>
        <x:v>PASS</x:v>
      </x:c>
    </x:row>
    <x:row r="12">
      <x:c r="A12" s="65" t="str">
        <x:v>Evidence Court</x:v>
      </x:c>
      <x:c r="B12" s="66" t="n">
        <x:v>0</x:v>
      </x:c>
      <x:c r="C12" s="66" t="n">
        <x:v>0</x:v>
      </x:c>
      <x:c r="D12" s="66" t="n">
        <x:v>0</x:v>
      </x:c>
      <x:c r="E12" s="66" t="n">
        <x:v>0</x:v>
      </x:c>
      <x:c r="F12" s="66" t="n">
        <x:v>0</x:v>
      </x:c>
      <x:c r="G12" s="66" t="n">
        <x:v>0</x:v>
      </x:c>
      <x:c r="H12" s="66" t="n">
        <x:v>1</x:v>
      </x:c>
      <x:c r="I12" s="66" t="n">
        <x:v>0</x:v>
      </x:c>
      <x:c r="J12" s="66" t="n">
        <x:v>1</x:v>
      </x:c>
      <x:c r="K12" s="66" t="n">
        <x:v>0</x:v>
      </x:c>
      <x:c r="L12" s="66" t="n">
        <x:v>0</x:v>
      </x:c>
      <x:c r="M12" s="66" t="n">
        <x:f>IF(E12*F12=0,1,0)</x:f>
        <x:v>1</x:v>
      </x:c>
      <x:c r="N12" s="66" t="n">
        <x:f>IF(C12*G12=0,1,0)</x:f>
        <x:v>1</x:v>
      </x:c>
      <x:c r="O12" s="66" t="n">
        <x:f>IF(H12*I12=0,1,0)</x:f>
        <x:v>1</x:v>
      </x:c>
      <x:c r="P12" s="65" t="str">
        <x:f>IF(AND(M12=1,N12=1,O12=1,SUM(B12:L12)&gt;0),"PASS","FAIL")</x:f>
        <x:v>PASS</x:v>
      </x:c>
    </x:row>
    <x:row r="13">
      <x:c r="A13" s="65" t="str">
        <x:v>Selection Court</x:v>
      </x:c>
      <x:c r="B13" s="66" t="n">
        <x:v>0</x:v>
      </x:c>
      <x:c r="C13" s="66" t="n">
        <x:v>0</x:v>
      </x:c>
      <x:c r="D13" s="66" t="n">
        <x:v>0</x:v>
      </x:c>
      <x:c r="E13" s="66" t="n">
        <x:v>0</x:v>
      </x:c>
      <x:c r="F13" s="66" t="n">
        <x:v>0</x:v>
      </x:c>
      <x:c r="G13" s="66" t="n">
        <x:v>0</x:v>
      </x:c>
      <x:c r="H13" s="66" t="n">
        <x:v>0</x:v>
      </x:c>
      <x:c r="I13" s="66" t="n">
        <x:v>1</x:v>
      </x:c>
      <x:c r="J13" s="66" t="n">
        <x:v>0</x:v>
      </x:c>
      <x:c r="K13" s="66" t="n">
        <x:v>0</x:v>
      </x:c>
      <x:c r="L13" s="66" t="n">
        <x:v>0</x:v>
      </x:c>
      <x:c r="M13" s="66" t="n">
        <x:f>IF(E13*F13=0,1,0)</x:f>
        <x:v>1</x:v>
      </x:c>
      <x:c r="N13" s="66" t="n">
        <x:f>IF(C13*G13=0,1,0)</x:f>
        <x:v>1</x:v>
      </x:c>
      <x:c r="O13" s="66" t="n">
        <x:f>IF(H13*I13=0,1,0)</x:f>
        <x:v>1</x:v>
      </x:c>
      <x:c r="P13" s="65" t="str">
        <x:f>IF(AND(M13=1,N13=1,O13=1,SUM(B13:L13)&gt;0),"PASS","FAIL")</x:f>
        <x:v>PASS</x:v>
      </x:c>
    </x:row>
    <x:row r="14">
      <x:c r="A14" s="65" t="str">
        <x:v>Safety authority</x:v>
      </x:c>
      <x:c r="B14" s="66" t="n">
        <x:v>0</x:v>
      </x:c>
      <x:c r="C14" s="66" t="n">
        <x:v>0</x:v>
      </x:c>
      <x:c r="D14" s="66" t="n">
        <x:v>0</x:v>
      </x:c>
      <x:c r="E14" s="66" t="n">
        <x:v>0</x:v>
      </x:c>
      <x:c r="F14" s="66" t="n">
        <x:v>0</x:v>
      </x:c>
      <x:c r="G14" s="66" t="n">
        <x:v>0</x:v>
      </x:c>
      <x:c r="H14" s="66" t="n">
        <x:v>0</x:v>
      </x:c>
      <x:c r="I14" s="66" t="n">
        <x:v>0</x:v>
      </x:c>
      <x:c r="J14" s="66" t="n">
        <x:v>0</x:v>
      </x:c>
      <x:c r="K14" s="66" t="n">
        <x:v>1</x:v>
      </x:c>
      <x:c r="L14" s="66" t="n">
        <x:v>0</x:v>
      </x:c>
      <x:c r="M14" s="66" t="n">
        <x:f>IF(E14*F14=0,1,0)</x:f>
        <x:v>1</x:v>
      </x:c>
      <x:c r="N14" s="66" t="n">
        <x:f>IF(C14*G14=0,1,0)</x:f>
        <x:v>1</x:v>
      </x:c>
      <x:c r="O14" s="66" t="n">
        <x:f>IF(H14*I14=0,1,0)</x:f>
        <x:v>1</x:v>
      </x:c>
      <x:c r="P14" s="65" t="str">
        <x:f>IF(AND(M14=1,N14=1,O14=1,SUM(B14:L14)&gt;0),"PASS","FAIL")</x:f>
        <x:v>PASS</x:v>
      </x:c>
    </x:row>
    <x:row r="15">
      <x:c r="A15" s="68" t="str">
        <x:v>Public ledger</x:v>
      </x:c>
      <x:c r="B15" s="70" t="n">
        <x:v>0</x:v>
      </x:c>
      <x:c r="C15" s="70" t="n">
        <x:v>0</x:v>
      </x:c>
      <x:c r="D15" s="70" t="n">
        <x:v>0</x:v>
      </x:c>
      <x:c r="E15" s="70" t="n">
        <x:v>0</x:v>
      </x:c>
      <x:c r="F15" s="70" t="n">
        <x:v>0</x:v>
      </x:c>
      <x:c r="G15" s="70" t="n">
        <x:v>0</x:v>
      </x:c>
      <x:c r="H15" s="70" t="n">
        <x:v>0</x:v>
      </x:c>
      <x:c r="I15" s="70" t="n">
        <x:v>0</x:v>
      </x:c>
      <x:c r="J15" s="70" t="n">
        <x:v>0</x:v>
      </x:c>
      <x:c r="K15" s="70" t="n">
        <x:v>0</x:v>
      </x:c>
      <x:c r="L15" s="70" t="n">
        <x:v>1</x:v>
      </x:c>
      <x:c r="M15" s="70" t="n">
        <x:f>IF(E15*F15=0,1,0)</x:f>
        <x:v>1</x:v>
      </x:c>
      <x:c r="N15" s="70" t="n">
        <x:f>IF(C15*G15=0,1,0)</x:f>
        <x:v>1</x:v>
      </x:c>
      <x:c r="O15" s="70" t="n">
        <x:f>IF(H15*I15=0,1,0)</x:f>
        <x:v>1</x:v>
      </x:c>
      <x:c r="P15" s="68" t="str">
        <x:f>IF(AND(M15=1,N15=1,O15=1,SUM(B15:L15)&gt;0),"PASS","FAIL")</x:f>
        <x:v>PASS</x:v>
      </x:c>
    </x:row>
  </x:sheetData>
  <x:mergeCells>
    <x:mergeCell ref="A2:P2"/>
  </x:mergeCells>
  <x:conditionalFormatting sqref="P5:P15">
    <x:cfRule type="containsText" dxfId="5" priority="1" operator="containsText" text="FAIL"/>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31" hidden="0" customWidth="1"/>
    <x:col min="4" max="4" width="20" hidden="0" customWidth="1"/>
    <x:col min="5" max="5" width="21" hidden="0" customWidth="1"/>
    <x:col min="6" max="6" width="20" hidden="0" customWidth="1"/>
    <x:col min="7" max="7" width="18" hidden="0" customWidth="1"/>
    <x:col min="8" max="8" width="18" hidden="0" customWidth="1"/>
    <x:col min="9" max="9" width="16" hidden="0" customWidth="1"/>
    <x:col min="10" max="10" width="15" hidden="0" customWidth="1"/>
  </x:cols>
  <x:sheetData>
    <x:row r="2">
      <x:c r="A2" s="58" t="str">
        <x:v>Execution, payment and evidence nonconversion states</x:v>
      </x:c>
      <x:c r="B2" s="59"/>
      <x:c r="C2" s="59"/>
      <x:c r="D2" s="59"/>
      <x:c r="E2" s="59"/>
      <x:c r="F2" s="59"/>
      <x:c r="G2" s="59"/>
      <x:c r="H2" s="59"/>
      <x:c r="I2" s="59"/>
      <x:c r="J2" s="59"/>
    </x:row>
    <x:row r="3">
      <x:c r="A3" s="60"/>
      <x:c r="B3" s="60"/>
      <x:c r="C3" s="60"/>
      <x:c r="D3" s="60"/>
      <x:c r="E3" s="60"/>
      <x:c r="F3" s="60"/>
      <x:c r="G3" s="60"/>
      <x:c r="H3" s="60"/>
      <x:c r="I3" s="60"/>
      <x:c r="J3" s="60"/>
    </x:row>
    <x:row r="4" ht="32" customHeight="1">
      <x:c r="A4" s="14" t="str">
        <x:v>State</x:v>
      </x:c>
      <x:c r="B4" s="15" t="str">
        <x:v>Meaning</x:v>
      </x:c>
      <x:c r="C4" s="15" t="str">
        <x:v>Fiscal or work meaning</x:v>
      </x:c>
      <x:c r="D4" s="15" t="str">
        <x:v>Next state</x:v>
      </x:c>
      <x:c r="E4" s="15" t="str">
        <x:v>Payment may follow</x:v>
      </x:c>
      <x:c r="F4" s="15" t="str">
        <x:v>Payment recorded</x:v>
      </x:c>
      <x:c r="G4" s="15" t="str">
        <x:v>Evidence credit</x:v>
      </x:c>
      <x:c r="H4" s="15" t="str">
        <x:v>Selection credit</x:v>
      </x:c>
      <x:c r="I4" s="15" t="str">
        <x:v>Irreversible</x:v>
      </x:c>
      <x:c r="J4" s="16" t="str">
        <x:v>State check</x:v>
      </x:c>
    </x:row>
    <x:row r="5">
      <x:c r="A5" s="61" t="str">
        <x:v>S00</x:v>
      </x:c>
      <x:c r="B5" s="61" t="str">
        <x:v>ISSUED / RESERVED</x:v>
      </x:c>
      <x:c r="C5" s="61" t="str">
        <x:v>Reserve only</x:v>
      </x:c>
      <x:c r="D5" s="61" t="str">
        <x:v>S10</x:v>
      </x:c>
      <x:c r="E5" s="62" t="n">
        <x:v>0</x:v>
      </x:c>
      <x:c r="F5" s="62" t="n">
        <x:v>0</x:v>
      </x:c>
      <x:c r="G5" s="62" t="n">
        <x:v>0</x:v>
      </x:c>
      <x:c r="H5" s="62" t="n">
        <x:v>0</x:v>
      </x:c>
      <x:c r="I5" s="62" t="n">
        <x:v>0</x:v>
      </x:c>
      <x:c r="J5" s="61" t="str">
        <x:f>IF(AND(COUNTA(A5:D5)=4,F5=0,G5=0,H5=0,I5=0),"PASS","FAIL")</x:f>
        <x:v>PASS</x:v>
      </x:c>
    </x:row>
    <x:row r="6">
      <x:c r="A6" s="65" t="str">
        <x:v>S10</x:v>
      </x:c>
      <x:c r="B6" s="65" t="str">
        <x:v>RELEASE GATES COMPLETE</x:v>
      </x:c>
      <x:c r="C6" s="65" t="str">
        <x:v>No new money</x:v>
      </x:c>
      <x:c r="D6" s="65" t="str">
        <x:v>S20</x:v>
      </x:c>
      <x:c r="E6" s="66" t="n">
        <x:v>0</x:v>
      </x:c>
      <x:c r="F6" s="66" t="n">
        <x:v>0</x:v>
      </x:c>
      <x:c r="G6" s="66" t="n">
        <x:v>0</x:v>
      </x:c>
      <x:c r="H6" s="66" t="n">
        <x:v>0</x:v>
      </x:c>
      <x:c r="I6" s="66" t="n">
        <x:v>0</x:v>
      </x:c>
      <x:c r="J6" s="65" t="str">
        <x:f>IF(AND(COUNTA(A6:D6)=4,F6=0,G6=0,H6=0,I6=0),"PASS","FAIL")</x:f>
        <x:v>PASS</x:v>
      </x:c>
    </x:row>
    <x:row r="7">
      <x:c r="A7" s="65" t="str">
        <x:v>S20</x:v>
      </x:c>
      <x:c r="B7" s="65" t="str">
        <x:v>OBLIGATED</x:v>
      </x:c>
      <x:c r="C7" s="65" t="str">
        <x:v>Legal liability</x:v>
      </x:c>
      <x:c r="D7" s="65" t="str">
        <x:v>S30</x:v>
      </x:c>
      <x:c r="E7" s="66" t="n">
        <x:v>0</x:v>
      </x:c>
      <x:c r="F7" s="66" t="n">
        <x:v>0</x:v>
      </x:c>
      <x:c r="G7" s="66" t="n">
        <x:v>0</x:v>
      </x:c>
      <x:c r="H7" s="66" t="n">
        <x:v>0</x:v>
      </x:c>
      <x:c r="I7" s="66" t="n">
        <x:v>0</x:v>
      </x:c>
      <x:c r="J7" s="65" t="str">
        <x:f>IF(AND(COUNTA(A7:D7)=4,F7=0,G7=0,H7=0,I7=0),"PASS","FAIL")</x:f>
        <x:v>PASS</x:v>
      </x:c>
    </x:row>
    <x:row r="8">
      <x:c r="A8" s="65" t="str">
        <x:v>S30</x:v>
      </x:c>
      <x:c r="B8" s="65" t="str">
        <x:v>NOTICE TO PROCEED</x:v>
      </x:c>
      <x:c r="C8" s="65" t="str">
        <x:v>Execution authority</x:v>
      </x:c>
      <x:c r="D8" s="65" t="str">
        <x:v>S40</x:v>
      </x:c>
      <x:c r="E8" s="66" t="n">
        <x:v>0</x:v>
      </x:c>
      <x:c r="F8" s="66" t="n">
        <x:v>0</x:v>
      </x:c>
      <x:c r="G8" s="66" t="n">
        <x:v>0</x:v>
      </x:c>
      <x:c r="H8" s="66" t="n">
        <x:v>0</x:v>
      </x:c>
      <x:c r="I8" s="66" t="n">
        <x:v>0</x:v>
      </x:c>
      <x:c r="J8" s="65" t="str">
        <x:f>IF(AND(COUNTA(A8:D8)=4,F8=0,G8=0,H8=0,I8=0),"PASS","FAIL")</x:f>
        <x:v>PASS</x:v>
      </x:c>
    </x:row>
    <x:row r="9">
      <x:c r="A9" s="65" t="str">
        <x:v>S40</x:v>
      </x:c>
      <x:c r="B9" s="65" t="str">
        <x:v>WORK ACTIVE</x:v>
      </x:c>
      <x:c r="C9" s="65" t="str">
        <x:v>Design work</x:v>
      </x:c>
      <x:c r="D9" s="65" t="str">
        <x:v>S50</x:v>
      </x:c>
      <x:c r="E9" s="66" t="n">
        <x:v>0</x:v>
      </x:c>
      <x:c r="F9" s="66" t="n">
        <x:v>0</x:v>
      </x:c>
      <x:c r="G9" s="66" t="n">
        <x:v>0</x:v>
      </x:c>
      <x:c r="H9" s="66" t="n">
        <x:v>0</x:v>
      </x:c>
      <x:c r="I9" s="66" t="n">
        <x:v>0</x:v>
      </x:c>
      <x:c r="J9" s="65" t="str">
        <x:f>IF(AND(COUNTA(A9:D9)=4,F9=0,G9=0,H9=0,I9=0),"PASS","FAIL")</x:f>
        <x:v>PASS</x:v>
      </x:c>
    </x:row>
    <x:row r="10">
      <x:c r="A10" s="65" t="str">
        <x:v>S50</x:v>
      </x:c>
      <x:c r="B10" s="65" t="str">
        <x:v>ARTIFACT SUBMITTED</x:v>
      </x:c>
      <x:c r="C10" s="65" t="str">
        <x:v>Design artifact</x:v>
      </x:c>
      <x:c r="D10" s="65" t="str">
        <x:v>S60 or S61</x:v>
      </x:c>
      <x:c r="E10" s="66" t="n">
        <x:v>0</x:v>
      </x:c>
      <x:c r="F10" s="66" t="n">
        <x:v>0</x:v>
      </x:c>
      <x:c r="G10" s="66" t="n">
        <x:v>0</x:v>
      </x:c>
      <x:c r="H10" s="66" t="n">
        <x:v>0</x:v>
      </x:c>
      <x:c r="I10" s="66" t="n">
        <x:v>0</x:v>
      </x:c>
      <x:c r="J10" s="65" t="str">
        <x:f>IF(AND(COUNTA(A10:D10)=4,F10=0,G10=0,H10=0,I10=0),"PASS","FAIL")</x:f>
        <x:v>PASS</x:v>
      </x:c>
    </x:row>
    <x:row r="11">
      <x:c r="A11" s="65" t="str">
        <x:v>S60</x:v>
      </x:c>
      <x:c r="B11" s="65" t="str">
        <x:v>VALIDITY ACCEPTED</x:v>
      </x:c>
      <x:c r="C11" s="65" t="str">
        <x:v>Payment eligibility</x:v>
      </x:c>
      <x:c r="D11" s="65" t="str">
        <x:v>S70</x:v>
      </x:c>
      <x:c r="E11" s="66" t="n">
        <x:v>1</x:v>
      </x:c>
      <x:c r="F11" s="66" t="n">
        <x:v>0</x:v>
      </x:c>
      <x:c r="G11" s="66" t="n">
        <x:v>0</x:v>
      </x:c>
      <x:c r="H11" s="66" t="n">
        <x:v>0</x:v>
      </x:c>
      <x:c r="I11" s="66" t="n">
        <x:v>0</x:v>
      </x:c>
      <x:c r="J11" s="65" t="str">
        <x:f>IF(AND(COUNTA(A11:D11)=4,F11=0,G11=0,H11=0,I11=0),"PASS","FAIL")</x:f>
        <x:v>PASS</x:v>
      </x:c>
    </x:row>
    <x:row r="12">
      <x:c r="A12" s="65" t="str">
        <x:v>S61</x:v>
      </x:c>
      <x:c r="B12" s="65" t="str">
        <x:v>REWORK</x:v>
      </x:c>
      <x:c r="C12" s="65" t="str">
        <x:v>Obligation retained</x:v>
      </x:c>
      <x:c r="D12" s="65" t="str">
        <x:v>S40</x:v>
      </x:c>
      <x:c r="E12" s="66" t="n">
        <x:v>0</x:v>
      </x:c>
      <x:c r="F12" s="66" t="n">
        <x:v>0</x:v>
      </x:c>
      <x:c r="G12" s="66" t="n">
        <x:v>0</x:v>
      </x:c>
      <x:c r="H12" s="66" t="n">
        <x:v>0</x:v>
      </x:c>
      <x:c r="I12" s="66" t="n">
        <x:v>0</x:v>
      </x:c>
      <x:c r="J12" s="65" t="str">
        <x:f>IF(AND(COUNTA(A12:D12)=4,F12=0,G12=0,H12=0,I12=0),"PASS","FAIL")</x:f>
        <x:v>PASS</x:v>
      </x:c>
    </x:row>
    <x:row r="13">
      <x:c r="A13" s="65" t="str">
        <x:v>S62</x:v>
      </x:c>
      <x:c r="B13" s="65" t="str">
        <x:v>TERMINATED</x:v>
      </x:c>
      <x:c r="C13" s="65" t="str">
        <x:v>Reserve recovery</x:v>
      </x:c>
      <x:c r="D13" s="65" t="str">
        <x:v>S00</x:v>
      </x:c>
      <x:c r="E13" s="66" t="n">
        <x:v>0</x:v>
      </x:c>
      <x:c r="F13" s="66" t="n">
        <x:v>0</x:v>
      </x:c>
      <x:c r="G13" s="66" t="n">
        <x:v>0</x:v>
      </x:c>
      <x:c r="H13" s="66" t="n">
        <x:v>0</x:v>
      </x:c>
      <x:c r="I13" s="66" t="n">
        <x:v>0</x:v>
      </x:c>
      <x:c r="J13" s="65" t="str">
        <x:f>IF(AND(COUNTA(A13:D13)=4,F13=0,G13=0,H13=0,I13=0),"PASS","FAIL")</x:f>
        <x:v>PASS</x:v>
      </x:c>
    </x:row>
    <x:row r="14">
      <x:c r="A14" s="65" t="str">
        <x:v>S70</x:v>
      </x:c>
      <x:c r="B14" s="65" t="str">
        <x:v>PAYMENT ELIGIBLE</x:v>
      </x:c>
      <x:c r="C14" s="65" t="str">
        <x:v>No evidence credit</x:v>
      </x:c>
      <x:c r="D14" s="65" t="str">
        <x:v>S80</x:v>
      </x:c>
      <x:c r="E14" s="66" t="n">
        <x:v>1</x:v>
      </x:c>
      <x:c r="F14" s="66" t="n">
        <x:v>0</x:v>
      </x:c>
      <x:c r="G14" s="66" t="n">
        <x:v>0</x:v>
      </x:c>
      <x:c r="H14" s="66" t="n">
        <x:v>0</x:v>
      </x:c>
      <x:c r="I14" s="66" t="n">
        <x:v>0</x:v>
      </x:c>
      <x:c r="J14" s="65" t="str">
        <x:f>IF(AND(COUNTA(A14:D14)=4,F14=0,G14=0,H14=0,I14=0),"PASS","FAIL")</x:f>
        <x:v>PASS</x:v>
      </x:c>
    </x:row>
    <x:row r="15">
      <x:c r="A15" s="65" t="str">
        <x:v>S80</x:v>
      </x:c>
      <x:c r="B15" s="65" t="str">
        <x:v>PAID</x:v>
      </x:c>
      <x:c r="C15" s="65" t="str">
        <x:v>Cash outlay</x:v>
      </x:c>
      <x:c r="D15" s="65" t="str">
        <x:v>S90</x:v>
      </x:c>
      <x:c r="E15" s="66" t="n">
        <x:v>1</x:v>
      </x:c>
      <x:c r="F15" s="66" t="n">
        <x:v>0</x:v>
      </x:c>
      <x:c r="G15" s="66" t="n">
        <x:v>0</x:v>
      </x:c>
      <x:c r="H15" s="66" t="n">
        <x:v>0</x:v>
      </x:c>
      <x:c r="I15" s="66" t="n">
        <x:v>0</x:v>
      </x:c>
      <x:c r="J15" s="65" t="str">
        <x:f>IF(AND(COUNTA(A15:D15)=4,F15=0,G15=0,H15=0,I15=0),"PASS","FAIL")</x:f>
        <x:v>PASS</x:v>
      </x:c>
    </x:row>
    <x:row r="16">
      <x:c r="A16" s="68" t="str">
        <x:v>S90</x:v>
      </x:c>
      <x:c r="B16" s="68" t="str">
        <x:v>EVIDENCE HELD</x:v>
      </x:c>
      <x:c r="C16" s="68" t="str">
        <x:v>Await later event</x:v>
      </x:c>
      <x:c r="D16" s="68" t="str">
        <x:v>S00</x:v>
      </x:c>
      <x:c r="E16" s="70" t="n">
        <x:v>0</x:v>
      </x:c>
      <x:c r="F16" s="70" t="n">
        <x:v>0</x:v>
      </x:c>
      <x:c r="G16" s="70" t="n">
        <x:v>0</x:v>
      </x:c>
      <x:c r="H16" s="70" t="n">
        <x:v>0</x:v>
      </x:c>
      <x:c r="I16" s="70" t="n">
        <x:v>0</x:v>
      </x:c>
      <x:c r="J16" s="68" t="str">
        <x:f>IF(AND(COUNTA(A16:D16)=4,F16=0,G16=0,H16=0,I16=0),"PASS","FAIL")</x:f>
        <x:v>PASS</x:v>
      </x:c>
    </x:row>
  </x:sheetData>
  <x:mergeCells>
    <x:mergeCell ref="A2:J2"/>
  </x:mergeCells>
  <x:conditionalFormatting sqref="J5:J16">
    <x:cfRule type="containsText" dxfId="6" priority="1" operator="containsText" text="FAIL"/>
  </x:conditionalFormatting>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4" hidden="0" customWidth="1"/>
    <x:col min="2" max="2" width="62" hidden="0" customWidth="1"/>
    <x:col min="3" max="3" width="56" hidden="0" customWidth="1"/>
    <x:col min="4" max="4" width="14" hidden="0" customWidth="1"/>
    <x:col min="5" max="5" width="14" hidden="0" customWidth="1"/>
  </x:cols>
  <x:sheetData>
    <x:row r="2">
      <x:c r="A2" s="58" t="str">
        <x:v>Mutation-test register</x:v>
      </x:c>
      <x:c r="B2" s="59"/>
      <x:c r="C2" s="59"/>
      <x:c r="D2" s="59"/>
      <x:c r="E2" s="59"/>
    </x:row>
    <x:row r="3">
      <x:c r="A3" s="60"/>
      <x:c r="B3" s="60"/>
      <x:c r="C3" s="60"/>
      <x:c r="D3" s="60"/>
      <x:c r="E3" s="60"/>
    </x:row>
    <x:row r="4" ht="32" customHeight="1">
      <x:c r="A4" s="14" t="str">
        <x:v>Mutation</x:v>
      </x:c>
      <x:c r="B4" s="15" t="str">
        <x:v>Controlled change</x:v>
      </x:c>
      <x:c r="C4" s="15" t="str">
        <x:v>Expected detection</x:v>
      </x:c>
      <x:c r="D4" s="15" t="str">
        <x:v>Detected</x:v>
      </x:c>
      <x:c r="E4" s="16" t="str">
        <x:v>Restored</x:v>
      </x:c>
    </x:row>
    <x:row r="5">
      <x:c r="A5" s="61" t="str">
        <x:v>M01</x:v>
      </x:c>
      <x:c r="B5" s="61" t="str">
        <x:v>select a failing mobilization candidate</x:v>
      </x:c>
      <x:c r="C5" s="61" t="str">
        <x:v>candidate selection fails</x:v>
      </x:c>
      <x:c r="D5" s="62" t="n">
        <x:v>1</x:v>
      </x:c>
      <x:c r="E5" s="62" t="n">
        <x:v>1</x:v>
      </x:c>
    </x:row>
    <x:row r="6">
      <x:c r="A6" s="65" t="str">
        <x:v>M02</x:v>
      </x:c>
      <x:c r="B6" s="65" t="str">
        <x:v>remove a release gate</x:v>
      </x:c>
      <x:c r="C6" s="65" t="str">
        <x:v>active form and gate audits fail</x:v>
      </x:c>
      <x:c r="D6" s="66" t="n">
        <x:v>1</x:v>
      </x:c>
      <x:c r="E6" s="66" t="n">
        <x:v>1</x:v>
      </x:c>
    </x:row>
    <x:row r="7">
      <x:c r="A7" s="65" t="str">
        <x:v>M03</x:v>
      </x:c>
      <x:c r="B7" s="65" t="str">
        <x:v>duplicate a control slot</x:v>
      </x:c>
      <x:c r="C7" s="65" t="str">
        <x:v>implementation independence fails</x:v>
      </x:c>
      <x:c r="D7" s="66" t="n">
        <x:v>1</x:v>
      </x:c>
      <x:c r="E7" s="66" t="n">
        <x:v>1</x:v>
      </x:c>
    </x:row>
    <x:row r="8">
      <x:c r="A8" s="65" t="str">
        <x:v>M04</x:v>
      </x:c>
      <x:c r="B8" s="65" t="str">
        <x:v>give one cell sibling output access</x:v>
      </x:c>
      <x:c r="C8" s="65" t="str">
        <x:v>cell isolation fails</x:v>
      </x:c>
      <x:c r="D8" s="66" t="n">
        <x:v>1</x:v>
      </x:c>
      <x:c r="E8" s="66" t="n">
        <x:v>1</x:v>
      </x:c>
    </x:row>
    <x:row r="9">
      <x:c r="A9" s="65" t="str">
        <x:v>M05</x:v>
      </x:c>
      <x:c r="B9" s="65" t="str">
        <x:v>mobilize a held sibling</x:v>
      </x:c>
      <x:c r="C9" s="65" t="str">
        <x:v>cell and cohort counts fail</x:v>
      </x:c>
      <x:c r="D9" s="66" t="n">
        <x:v>1</x:v>
      </x:c>
      <x:c r="E9" s="66" t="n">
        <x:v>1</x:v>
      </x:c>
    </x:row>
    <x:row r="10">
      <x:c r="A10" s="65" t="str">
        <x:v>M06</x:v>
      </x:c>
      <x:c r="B10" s="65" t="str">
        <x:v>unfreeze an active form</x:v>
      </x:c>
      <x:c r="C10" s="65" t="str">
        <x:v>form warrant fails</x:v>
      </x:c>
      <x:c r="D10" s="66" t="n">
        <x:v>1</x:v>
      </x:c>
      <x:c r="E10" s="66" t="n">
        <x:v>1</x:v>
      </x:c>
    </x:row>
    <x:row r="11">
      <x:c r="A11" s="65" t="str">
        <x:v>M07</x:v>
      </x:c>
      <x:c r="B11" s="65" t="str">
        <x:v>reduce an active obligation</x:v>
      </x:c>
      <x:c r="C11" s="65" t="str">
        <x:v>form and finance reconciliation fail</x:v>
      </x:c>
      <x:c r="D11" s="66" t="n">
        <x:v>1</x:v>
      </x:c>
      <x:c r="E11" s="66" t="n">
        <x:v>1</x:v>
      </x:c>
    </x:row>
    <x:row r="12">
      <x:c r="A12" s="65" t="str">
        <x:v>M08</x:v>
      </x:c>
      <x:c r="B12" s="65" t="str">
        <x:v>issue notice to a held package</x:v>
      </x:c>
      <x:c r="C12" s="65" t="str">
        <x:v>package state fails</x:v>
      </x:c>
      <x:c r="D12" s="66" t="n">
        <x:v>1</x:v>
      </x:c>
      <x:c r="E12" s="66" t="n">
        <x:v>1</x:v>
      </x:c>
    </x:row>
    <x:row r="13">
      <x:c r="A13" s="65" t="str">
        <x:v>M09</x:v>
      </x:c>
      <x:c r="B13" s="65" t="str">
        <x:v>remove one package reservation</x:v>
      </x:c>
      <x:c r="C13" s="65" t="str">
        <x:v>package and ceiling checks fail</x:v>
      </x:c>
      <x:c r="D13" s="66" t="n">
        <x:v>1</x:v>
      </x:c>
      <x:c r="E13" s="66" t="n">
        <x:v>1</x:v>
      </x:c>
    </x:row>
    <x:row r="14">
      <x:c r="A14" s="65" t="str">
        <x:v>M10</x:v>
      </x:c>
      <x:c r="B14" s="65" t="str">
        <x:v>accept a package artifact</x:v>
      </x:c>
      <x:c r="C14" s="65" t="str">
        <x:v>zero-acceptance checks fail</x:v>
      </x:c>
      <x:c r="D14" s="66" t="n">
        <x:v>1</x:v>
      </x:c>
      <x:c r="E14" s="66" t="n">
        <x:v>1</x:v>
      </x:c>
    </x:row>
    <x:row r="15">
      <x:c r="A15" s="65" t="str">
        <x:v>M11</x:v>
      </x:c>
      <x:c r="B15" s="65" t="str">
        <x:v>enter a package payment</x:v>
      </x:c>
      <x:c r="C15" s="65" t="str">
        <x:v>zero-payment checks fail</x:v>
      </x:c>
      <x:c r="D15" s="66" t="n">
        <x:v>1</x:v>
      </x:c>
      <x:c r="E15" s="66" t="n">
        <x:v>1</x:v>
      </x:c>
    </x:row>
    <x:row r="16">
      <x:c r="A16" s="65" t="str">
        <x:v>M12</x:v>
      </x:c>
      <x:c r="B16" s="65" t="str">
        <x:v>grant an accepted observation</x:v>
      </x:c>
      <x:c r="C16" s="65" t="str">
        <x:v>evidence hold fails</x:v>
      </x:c>
      <x:c r="D16" s="66" t="n">
        <x:v>1</x:v>
      </x:c>
      <x:c r="E16" s="66" t="n">
        <x:v>1</x:v>
      </x:c>
    </x:row>
    <x:row r="17">
      <x:c r="A17" s="65" t="str">
        <x:v>M13</x:v>
      </x:c>
      <x:c r="B17" s="65" t="str">
        <x:v>select an active form</x:v>
      </x:c>
      <x:c r="C17" s="65" t="str">
        <x:v>selection hold fails</x:v>
      </x:c>
      <x:c r="D17" s="66" t="n">
        <x:v>1</x:v>
      </x:c>
      <x:c r="E17" s="66" t="n">
        <x:v>1</x:v>
      </x:c>
    </x:row>
    <x:row r="18">
      <x:c r="A18" s="65" t="str">
        <x:v>M14</x:v>
      </x:c>
      <x:c r="B18" s="65" t="str">
        <x:v>combine work and artifact acceptance</x:v>
      </x:c>
      <x:c r="C18" s="65" t="str">
        <x:v>authority separation fails</x:v>
      </x:c>
      <x:c r="D18" s="66" t="n">
        <x:v>1</x:v>
      </x:c>
      <x:c r="E18" s="66" t="n">
        <x:v>1</x:v>
      </x:c>
    </x:row>
    <x:row r="19">
      <x:c r="A19" s="65" t="str">
        <x:v>M15</x:v>
      </x:c>
      <x:c r="B19" s="65" t="str">
        <x:v>record payment in state machine</x:v>
      </x:c>
      <x:c r="C19" s="65" t="str">
        <x:v>state nonconversion fails</x:v>
      </x:c>
      <x:c r="D19" s="66" t="n">
        <x:v>1</x:v>
      </x:c>
      <x:c r="E19" s="66" t="n">
        <x:v>1</x:v>
      </x:c>
    </x:row>
    <x:row r="20">
      <x:c r="A20" s="68" t="str">
        <x:v>M16</x:v>
      </x:c>
      <x:c r="B20" s="68" t="str">
        <x:v>enter a branch kill</x:v>
      </x:c>
      <x:c r="C20" s="68" t="str">
        <x:v>branch-kill control fails</x:v>
      </x:c>
      <x:c r="D20" s="70" t="n">
        <x:v>1</x:v>
      </x:c>
      <x:c r="E20" s="70" t="n">
        <x:v>1</x:v>
      </x:c>
    </x:row>
  </x:sheetData>
  <x:mergeCells>
    <x:mergeCell ref="A2:E2"/>
  </x:mergeCells>
  <x:pageMargins left="0.7" right="0.7" top="0.75" bottom="0.75" header="0.3" footer="0.3"/>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52" hidden="0" customWidth="1"/>
    <x:col min="3" max="3" width="18" hidden="0" customWidth="1"/>
    <x:col min="4" max="4" width="18" hidden="0" customWidth="1"/>
    <x:col min="5" max="5" width="14" hidden="0" customWidth="1"/>
  </x:cols>
  <x:sheetData>
    <x:row r="2">
      <x:c r="A2" s="58" t="str">
        <x:v>Independent workbook checks</x:v>
      </x:c>
      <x:c r="B2" s="59"/>
      <x:c r="C2" s="59"/>
      <x:c r="D2" s="59"/>
      <x:c r="E2" s="59"/>
    </x:row>
    <x:row r="3">
      <x:c r="A3" s="60"/>
      <x:c r="B3" s="60"/>
      <x:c r="C3" s="60"/>
      <x:c r="D3" s="60"/>
      <x:c r="E3" s="60"/>
    </x:row>
    <x:row r="4" ht="32" customHeight="1">
      <x:c r="A4" s="14" t="str">
        <x:v>Audit</x:v>
      </x:c>
      <x:c r="B4" s="15" t="str">
        <x:v>Check</x:v>
      </x:c>
      <x:c r="C4" s="15" t="str">
        <x:v>Actual</x:v>
      </x:c>
      <x:c r="D4" s="15" t="str">
        <x:v>Expected</x:v>
      </x:c>
      <x:c r="E4" s="16" t="str">
        <x:v>Result</x:v>
      </x:c>
    </x:row>
    <x:row r="5">
      <x:c r="A5" s="61" t="str">
        <x:v>A01</x:v>
      </x:c>
      <x:c r="B5" s="61" t="str">
        <x:v>mobilization candidates</x:v>
      </x:c>
      <x:c r="C5" s="82" t="n">
        <x:f>COUNTA('Mobilization Candidates'!A5:A9)</x:f>
        <x:v>5</x:v>
      </x:c>
      <x:c r="D5" s="82" t="n">
        <x:v>5</x:v>
      </x:c>
      <x:c r="E5" s="61" t="str">
        <x:f>IF(ABS(C5-D5)&lt;0.0000001,"PASS","FAIL")</x:f>
        <x:v>PASS</x:v>
      </x:c>
    </x:row>
    <x:row r="6">
      <x:c r="A6" s="65" t="str">
        <x:v>A02</x:v>
      </x:c>
      <x:c r="B6" s="65" t="str">
        <x:v>one selected candidate</x:v>
      </x:c>
      <x:c r="C6" s="83" t="n">
        <x:f>SUM('Mobilization Candidates'!N5:N9)</x:f>
        <x:v>1</x:v>
      </x:c>
      <x:c r="D6" s="83" t="n">
        <x:v>1</x:v>
      </x:c>
      <x:c r="E6" s="65" t="str">
        <x:f>IF(ABS(C6-D6)&lt;0.0000001,"PASS","FAIL")</x:f>
        <x:v>PASS</x:v>
      </x:c>
    </x:row>
    <x:row r="7">
      <x:c r="A7" s="65" t="str">
        <x:v>A03</x:v>
      </x:c>
      <x:c r="B7" s="65" t="str">
        <x:v>selected candidate gates</x:v>
      </x:c>
      <x:c r="C7" s="83" t="n">
        <x:f>SUMIFS('Mobilization Candidates'!M5:M9,'Mobilization Candidates'!N5:N9,1)</x:f>
        <x:v>10</x:v>
      </x:c>
      <x:c r="D7" s="83" t="n">
        <x:v>10</x:v>
      </x:c>
      <x:c r="E7" s="65" t="str">
        <x:f>IF(ABS(C7-D7)&lt;0.0000001,"PASS","FAIL")</x:f>
        <x:v>PASS</x:v>
      </x:c>
    </x:row>
    <x:row r="8">
      <x:c r="A8" s="65" t="str">
        <x:v>A04</x:v>
      </x:c>
      <x:c r="B8" s="65" t="str">
        <x:v>learning warrants</x:v>
      </x:c>
      <x:c r="C8" s="83" t="n">
        <x:f>COUNTA('Form Warrants'!A5:A22)</x:f>
        <x:v>18</x:v>
      </x:c>
      <x:c r="D8" s="83" t="n">
        <x:v>18</x:v>
      </x:c>
      <x:c r="E8" s="65" t="str">
        <x:f>IF(ABS(C8-D8)&lt;0.0000001,"PASS","FAIL")</x:f>
        <x:v>PASS</x:v>
      </x:c>
    </x:row>
    <x:row r="9">
      <x:c r="A9" s="65" t="str">
        <x:v>A05</x:v>
      </x:c>
      <x:c r="B9" s="65" t="str">
        <x:v>unique form warrants</x:v>
      </x:c>
      <x:c r="C9" s="83" t="n">
        <x:f>COUNTIFS('Form Warrants'!S5:S22,1)</x:f>
        <x:v>18</x:v>
      </x:c>
      <x:c r="D9" s="83" t="n">
        <x:v>18</x:v>
      </x:c>
      <x:c r="E9" s="65" t="str">
        <x:f>IF(ABS(C9-D9)&lt;0.0000001,"PASS","FAIL")</x:f>
        <x:v>PASS</x:v>
      </x:c>
    </x:row>
    <x:row r="10">
      <x:c r="A10" s="65" t="str">
        <x:v>A06</x:v>
      </x:c>
      <x:c r="B10" s="65" t="str">
        <x:v>issued learning warrants</x:v>
      </x:c>
      <x:c r="C10" s="83" t="n">
        <x:f>SUM('Form Warrants'!F5:F22)</x:f>
        <x:v>18</x:v>
      </x:c>
      <x:c r="D10" s="83" t="n">
        <x:v>18</x:v>
      </x:c>
      <x:c r="E10" s="65" t="str">
        <x:f>IF(ABS(C10-D10)&lt;0.0000001,"PASS","FAIL")</x:f>
        <x:v>PASS</x:v>
      </x:c>
    </x:row>
    <x:row r="11">
      <x:c r="A11" s="65" t="str">
        <x:v>A07</x:v>
      </x:c>
      <x:c r="B11" s="65" t="str">
        <x:v>frozen configurations</x:v>
      </x:c>
      <x:c r="C11" s="83" t="n">
        <x:f>SUM('Form Warrants'!G5:G22)</x:f>
        <x:v>18</x:v>
      </x:c>
      <x:c r="D11" s="83" t="n">
        <x:v>18</x:v>
      </x:c>
      <x:c r="E11" s="65" t="str">
        <x:f>IF(ABS(C11-D11)&lt;0.0000001,"PASS","FAIL")</x:f>
        <x:v>PASS</x:v>
      </x:c>
    </x:row>
    <x:row r="12">
      <x:c r="A12" s="65" t="str">
        <x:v>A08</x:v>
      </x:c>
      <x:c r="B12" s="65" t="str">
        <x:v>active executable forms</x:v>
      </x:c>
      <x:c r="C12" s="83" t="n">
        <x:f>COUNTIFS('Form Warrants'!R5:R22,"OBLIGATED / EXECUTABLE")</x:f>
        <x:v>6</x:v>
      </x:c>
      <x:c r="D12" s="83" t="n">
        <x:v>6</x:v>
      </x:c>
      <x:c r="E12" s="65" t="str">
        <x:f>IF(ABS(C12-D12)&lt;0.0000001,"PASS","FAIL")</x:f>
        <x:v>PASS</x:v>
      </x:c>
    </x:row>
    <x:row r="13">
      <x:c r="A13" s="65" t="str">
        <x:v>A09</x:v>
      </x:c>
      <x:c r="B13" s="65" t="str">
        <x:v>held reserved forms</x:v>
      </x:c>
      <x:c r="C13" s="83" t="n">
        <x:f>COUNTIFS('Form Warrants'!R5:R22,"ISSUED / RESERVED")</x:f>
        <x:v>12</x:v>
      </x:c>
      <x:c r="D13" s="83" t="n">
        <x:v>12</x:v>
      </x:c>
      <x:c r="E13" s="65" t="str">
        <x:f>IF(ABS(C13-D13)&lt;0.0000001,"PASS","FAIL")</x:f>
        <x:v>PASS</x:v>
      </x:c>
    </x:row>
    <x:row r="14">
      <x:c r="A14" s="65" t="str">
        <x:v>A10</x:v>
      </x:c>
      <x:c r="B14" s="65" t="str">
        <x:v>one form per root-cohort</x:v>
      </x:c>
      <x:c r="C14" s="83" t="n">
        <x:f>COUNTIFS('Form Warrants'!T5:T22,1)</x:f>
        <x:v>18</x:v>
      </x:c>
      <x:c r="D14" s="83" t="n">
        <x:v>18</x:v>
      </x:c>
      <x:c r="E14" s="65" t="str">
        <x:f>IF(ABS(C14-D14)&lt;0.0000001,"PASS","FAIL")</x:f>
        <x:v>PASS</x:v>
      </x:c>
    </x:row>
    <x:row r="15">
      <x:c r="A15" s="65" t="str">
        <x:v>A11</x:v>
      </x:c>
      <x:c r="B15" s="65" t="str">
        <x:v>release-gate records</x:v>
      </x:c>
      <x:c r="C15" s="83" t="n">
        <x:f>COUNTA('Release Gates'!A5:A76)</x:f>
        <x:v>72</x:v>
      </x:c>
      <x:c r="D15" s="83" t="n">
        <x:v>72</x:v>
      </x:c>
      <x:c r="E15" s="65" t="str">
        <x:f>IF(ABS(C15-D15)&lt;0.0000001,"PASS","FAIL")</x:f>
        <x:v>PASS</x:v>
      </x:c>
    </x:row>
    <x:row r="16">
      <x:c r="A16" s="65" t="str">
        <x:v>A12</x:v>
      </x:c>
      <x:c r="B16" s="65" t="str">
        <x:v>passing release gates</x:v>
      </x:c>
      <x:c r="C16" s="83" t="n">
        <x:f>COUNTIFS('Release Gates'!I5:I76,"PASS")</x:f>
        <x:v>72</x:v>
      </x:c>
      <x:c r="D16" s="83" t="n">
        <x:v>72</x:v>
      </x:c>
      <x:c r="E16" s="65" t="str">
        <x:f>IF(ABS(C16-D16)&lt;0.0000001,"PASS","FAIL")</x:f>
        <x:v>PASS</x:v>
      </x:c>
    </x:row>
    <x:row r="17">
      <x:c r="A17" s="65" t="str">
        <x:v>A13</x:v>
      </x:c>
      <x:c r="B17" s="65" t="str">
        <x:v>twelve gates per active form</x:v>
      </x:c>
      <x:c r="C17" s="83" t="n">
        <x:f>COUNTIFS('Form Warrants'!I5:I22,12)</x:f>
        <x:v>6</x:v>
      </x:c>
      <x:c r="D17" s="83" t="n">
        <x:v>6</x:v>
      </x:c>
      <x:c r="E17" s="65" t="str">
        <x:f>IF(ABS(C17-D17)&lt;0.0000001,"PASS","FAIL")</x:f>
        <x:v>PASS</x:v>
      </x:c>
    </x:row>
    <x:row r="18">
      <x:c r="A18" s="65" t="str">
        <x:v>A14</x:v>
      </x:c>
      <x:c r="B18" s="65" t="str">
        <x:v>implementation cells</x:v>
      </x:c>
      <x:c r="C18" s="83" t="n">
        <x:f>COUNTA('Implementation Cells'!A5:A22)</x:f>
        <x:v>18</x:v>
      </x:c>
      <x:c r="D18" s="83" t="n">
        <x:v>18</x:v>
      </x:c>
      <x:c r="E18" s="65" t="str">
        <x:f>IF(ABS(C18-D18)&lt;0.0000001,"PASS","FAIL")</x:f>
        <x:v>PASS</x:v>
      </x:c>
    </x:row>
    <x:row r="19">
      <x:c r="A19" s="65" t="str">
        <x:v>A15</x:v>
      </x:c>
      <x:c r="B19" s="65" t="str">
        <x:v>unique implementation forms</x:v>
      </x:c>
      <x:c r="C19" s="83" t="n">
        <x:f>COUNTIFS('Implementation Cells'!Q5:Q22,1)</x:f>
        <x:v>18</x:v>
      </x:c>
      <x:c r="D19" s="83" t="n">
        <x:v>18</x:v>
      </x:c>
      <x:c r="E19" s="65" t="str">
        <x:f>IF(ABS(C19-D19)&lt;0.0000001,"PASS","FAIL")</x:f>
        <x:v>PASS</x:v>
      </x:c>
    </x:row>
    <x:row r="20">
      <x:c r="A20" s="65" t="str">
        <x:v>A16</x:v>
      </x:c>
      <x:c r="B20" s="65" t="str">
        <x:v>valid implementation cells</x:v>
      </x:c>
      <x:c r="C20" s="83" t="n">
        <x:f>COUNTIFS('Implementation Cells'!P5:P22,"MOBILIZED")+COUNTIFS('Implementation Cells'!P5:P22,"RESERVED / ISOLATED")</x:f>
        <x:v>18</x:v>
      </x:c>
      <x:c r="D20" s="83" t="n">
        <x:v>18</x:v>
      </x:c>
      <x:c r="E20" s="65" t="str">
        <x:f>IF(ABS(C20-D20)&lt;0.0000001,"PASS","FAIL")</x:f>
        <x:v>PASS</x:v>
      </x:c>
    </x:row>
    <x:row r="21">
      <x:c r="A21" s="65" t="str">
        <x:v>A17</x:v>
      </x:c>
      <x:c r="B21" s="65" t="str">
        <x:v>mobilized cells</x:v>
      </x:c>
      <x:c r="C21" s="83" t="n">
        <x:f>SUM('Implementation Cells'!L5:L22)</x:f>
        <x:v>6</x:v>
      </x:c>
      <x:c r="D21" s="83" t="n">
        <x:v>6</x:v>
      </x:c>
      <x:c r="E21" s="65" t="str">
        <x:f>IF(ABS(C21-D21)&lt;0.0000001,"PASS","FAIL")</x:f>
        <x:v>PASS</x:v>
      </x:c>
    </x:row>
    <x:row r="22">
      <x:c r="A22" s="65" t="str">
        <x:v>A18</x:v>
      </x:c>
      <x:c r="B22" s="65" t="str">
        <x:v>sibling-output access</x:v>
      </x:c>
      <x:c r="C22" s="83" t="n">
        <x:f>SUM('Implementation Cells'!H5:H22)</x:f>
        <x:v>0</x:v>
      </x:c>
      <x:c r="D22" s="83" t="n">
        <x:v>0</x:v>
      </x:c>
      <x:c r="E22" s="65" t="str">
        <x:f>IF(ABS(C22-D22)&lt;0.0000001,"PASS","FAIL")</x:f>
        <x:v>PASS</x:v>
      </x:c>
    </x:row>
    <x:row r="23">
      <x:c r="A23" s="65" t="str">
        <x:v>A19</x:v>
      </x:c>
      <x:c r="B23" s="65" t="str">
        <x:v>unique control slots</x:v>
      </x:c>
      <x:c r="C23" s="83" t="n">
        <x:f>COUNTIFS('Implementation Cells'!M5:M22,1)</x:f>
        <x:v>18</x:v>
      </x:c>
      <x:c r="D23" s="83" t="n">
        <x:v>18</x:v>
      </x:c>
      <x:c r="E23" s="65" t="str">
        <x:f>IF(ABS(C23-D23)&lt;0.0000001,"PASS","FAIL")</x:f>
        <x:v>PASS</x:v>
      </x:c>
    </x:row>
    <x:row r="24">
      <x:c r="A24" s="65" t="str">
        <x:v>A20</x:v>
      </x:c>
      <x:c r="B24" s="65" t="str">
        <x:v>unique technical environments</x:v>
      </x:c>
      <x:c r="C24" s="83" t="n">
        <x:f>COUNTIFS('Implementation Cells'!N5:N22,1)</x:f>
        <x:v>18</x:v>
      </x:c>
      <x:c r="D24" s="83" t="n">
        <x:v>18</x:v>
      </x:c>
      <x:c r="E24" s="65" t="str">
        <x:f>IF(ABS(C24-D24)&lt;0.0000001,"PASS","FAIL")</x:f>
        <x:v>PASS</x:v>
      </x:c>
    </x:row>
    <x:row r="25">
      <x:c r="A25" s="65" t="str">
        <x:v>A21</x:v>
      </x:c>
      <x:c r="B25" s="65" t="str">
        <x:v>unique data enclaves</x:v>
      </x:c>
      <x:c r="C25" s="83" t="n">
        <x:f>COUNTIFS('Implementation Cells'!O5:O22,1)</x:f>
        <x:v>18</x:v>
      </x:c>
      <x:c r="D25" s="83" t="n">
        <x:v>18</x:v>
      </x:c>
      <x:c r="E25" s="65" t="str">
        <x:f>IF(ABS(C25-D25)&lt;0.0000001,"PASS","FAIL")</x:f>
        <x:v>PASS</x:v>
      </x:c>
    </x:row>
    <x:row r="26">
      <x:c r="A26" s="65" t="str">
        <x:v>A22</x:v>
      </x:c>
      <x:c r="B26" s="65" t="str">
        <x:v>package records</x:v>
      </x:c>
      <x:c r="C26" s="83" t="n">
        <x:f>COUNTA('Package Obligations'!A5:A94)</x:f>
        <x:v>90</x:v>
      </x:c>
      <x:c r="D26" s="83" t="n">
        <x:v>90</x:v>
      </x:c>
      <x:c r="E26" s="65" t="str">
        <x:f>IF(ABS(C26-D26)&lt;0.0000001,"PASS","FAIL")</x:f>
        <x:v>PASS</x:v>
      </x:c>
    </x:row>
    <x:row r="27">
      <x:c r="A27" s="65" t="str">
        <x:v>A23</x:v>
      </x:c>
      <x:c r="B27" s="65" t="str">
        <x:v>five packages per form</x:v>
      </x:c>
      <x:c r="C27" s="83" t="n">
        <x:f>COUNTIFS('Package Obligations'!V5:V94,5)/5</x:f>
        <x:v>18</x:v>
      </x:c>
      <x:c r="D27" s="83" t="n">
        <x:v>18</x:v>
      </x:c>
      <x:c r="E27" s="65" t="str">
        <x:f>IF(ABS(C27-D27)&lt;0.0000001,"PASS","FAIL")</x:f>
        <x:v>PASS</x:v>
      </x:c>
    </x:row>
    <x:row r="28">
      <x:c r="A28" s="65" t="str">
        <x:v>A24</x:v>
      </x:c>
      <x:c r="B28" s="65" t="str">
        <x:v>active package obligations</x:v>
      </x:c>
      <x:c r="C28" s="83" t="n">
        <x:f>COUNTIFS('Package Obligations'!U5:U94,"OBLIGATED / ACTIVE")</x:f>
        <x:v>30</x:v>
      </x:c>
      <x:c r="D28" s="83" t="n">
        <x:v>30</x:v>
      </x:c>
      <x:c r="E28" s="65" t="str">
        <x:f>IF(ABS(C28-D28)&lt;0.0000001,"PASS","FAIL")</x:f>
        <x:v>PASS</x:v>
      </x:c>
    </x:row>
    <x:row r="29">
      <x:c r="A29" s="65" t="str">
        <x:v>A25</x:v>
      </x:c>
      <x:c r="B29" s="65" t="str">
        <x:v>held package records</x:v>
      </x:c>
      <x:c r="C29" s="83" t="n">
        <x:f>COUNTIFS('Package Obligations'!U5:U94,"RESERVED / HELD")</x:f>
        <x:v>60</x:v>
      </x:c>
      <x:c r="D29" s="83" t="n">
        <x:v>60</x:v>
      </x:c>
      <x:c r="E29" s="65" t="str">
        <x:f>IF(ABS(C29-D29)&lt;0.0000001,"PASS","FAIL")</x:f>
        <x:v>PASS</x:v>
      </x:c>
    </x:row>
    <x:row r="30">
      <x:c r="A30" s="65" t="str">
        <x:v>A26</x:v>
      </x:c>
      <x:c r="B30" s="65" t="str">
        <x:v>reserved package ceiling</x:v>
      </x:c>
      <x:c r="C30" s="83" t="n">
        <x:f>SUM('Package Obligations'!M5:M94)</x:f>
        <x:v>0.5380369228980847</x:v>
      </x:c>
      <x:c r="D30" s="83" t="n">
        <x:v>0.5380369228980849</x:v>
      </x:c>
      <x:c r="E30" s="65" t="str">
        <x:f>IF(ABS(C30-D30)&lt;0.0000001,"PASS","FAIL")</x:f>
        <x:v>PASS</x:v>
      </x:c>
    </x:row>
    <x:row r="31">
      <x:c r="A31" s="65" t="str">
        <x:v>A27</x:v>
      </x:c>
      <x:c r="B31" s="65" t="str">
        <x:v>cohort-one package obligation</x:v>
      </x:c>
      <x:c r="C31" s="83" t="n">
        <x:f>SUM('Package Obligations'!O5:O94)</x:f>
        <x:v>0.17934564096602834</x:v>
      </x:c>
      <x:c r="D31" s="83" t="n">
        <x:v>0.1793456409660283</x:v>
      </x:c>
      <x:c r="E31" s="65" t="str">
        <x:f>IF(ABS(C31-D31)&lt;0.0000001,"PASS","FAIL")</x:f>
        <x:v>PASS</x:v>
      </x:c>
    </x:row>
    <x:row r="32">
      <x:c r="A32" s="65" t="str">
        <x:v>A28</x:v>
      </x:c>
      <x:c r="B32" s="65" t="str">
        <x:v>package artifacts accepted</x:v>
      </x:c>
      <x:c r="C32" s="83" t="n">
        <x:f>SUM('Package Obligations'!Q5:Q94)</x:f>
        <x:v>0</x:v>
      </x:c>
      <x:c r="D32" s="83" t="n">
        <x:v>0</x:v>
      </x:c>
      <x:c r="E32" s="65" t="str">
        <x:f>IF(ABS(C32-D32)&lt;0.0000001,"PASS","FAIL")</x:f>
        <x:v>PASS</x:v>
      </x:c>
    </x:row>
    <x:row r="33">
      <x:c r="A33" s="65" t="str">
        <x:v>A29</x:v>
      </x:c>
      <x:c r="B33" s="65" t="str">
        <x:v>package payments</x:v>
      </x:c>
      <x:c r="C33" s="83" t="n">
        <x:f>SUM('Package Obligations'!R5:R94)</x:f>
        <x:v>0</x:v>
      </x:c>
      <x:c r="D33" s="83" t="n">
        <x:v>0</x:v>
      </x:c>
      <x:c r="E33" s="65" t="str">
        <x:f>IF(ABS(C33-D33)&lt;0.0000001,"PASS","FAIL")</x:f>
        <x:v>PASS</x:v>
      </x:c>
    </x:row>
    <x:row r="34">
      <x:c r="A34" s="65" t="str">
        <x:v>A30</x:v>
      </x:c>
      <x:c r="B34" s="65" t="str">
        <x:v>package observations</x:v>
      </x:c>
      <x:c r="C34" s="83" t="n">
        <x:f>SUM('Package Obligations'!S5:S94)</x:f>
        <x:v>0</x:v>
      </x:c>
      <x:c r="D34" s="83" t="n">
        <x:v>0</x:v>
      </x:c>
      <x:c r="E34" s="65" t="str">
        <x:f>IF(ABS(C34-D34)&lt;0.0000001,"PASS","FAIL")</x:f>
        <x:v>PASS</x:v>
      </x:c>
    </x:row>
    <x:row r="35">
      <x:c r="A35" s="65" t="str">
        <x:v>A31</x:v>
      </x:c>
      <x:c r="B35" s="65" t="str">
        <x:v>package selections</x:v>
      </x:c>
      <x:c r="C35" s="83" t="n">
        <x:f>SUM('Package Obligations'!T5:T94)</x:f>
        <x:v>0</x:v>
      </x:c>
      <x:c r="D35" s="83" t="n">
        <x:v>0</x:v>
      </x:c>
      <x:c r="E35" s="65" t="str">
        <x:f>IF(ABS(C35-D35)&lt;0.0000001,"PASS","FAIL")</x:f>
        <x:v>PASS</x:v>
      </x:c>
    </x:row>
    <x:row r="36">
      <x:c r="A36" s="65" t="str">
        <x:v>A32</x:v>
      </x:c>
      <x:c r="B36" s="65" t="str">
        <x:v>option ceiling</x:v>
      </x:c>
      <x:c r="C36" s="83" t="n">
        <x:f>'Cohort Finance'!D11</x:f>
        <x:v>3.586912819320566</x:v>
      </x:c>
      <x:c r="D36" s="83" t="n">
        <x:v>3.586912819320566</x:v>
      </x:c>
      <x:c r="E36" s="65" t="str">
        <x:f>IF(ABS(C36-D36)&lt;0.0000001,"PASS","FAIL")</x:f>
        <x:v>PASS</x:v>
      </x:c>
    </x:row>
    <x:row r="37">
      <x:c r="A37" s="65" t="str">
        <x:v>A33</x:v>
      </x:c>
      <x:c r="B37" s="65" t="str">
        <x:v>FRAME ceiling</x:v>
      </x:c>
      <x:c r="C37" s="83" t="n">
        <x:f>'Cohort Finance'!F11</x:f>
        <x:v>0.5380369228980849</x:v>
      </x:c>
      <x:c r="D37" s="83" t="n">
        <x:v>0.5380369228980849</x:v>
      </x:c>
      <x:c r="E37" s="65" t="str">
        <x:f>IF(ABS(C37-D37)&lt;0.0000001,"PASS","FAIL")</x:f>
        <x:v>PASS</x:v>
      </x:c>
    </x:row>
    <x:row r="38">
      <x:c r="A38" s="65" t="str">
        <x:v>A34</x:v>
      </x:c>
      <x:c r="B38" s="65" t="str">
        <x:v>cohort-one obligation</x:v>
      </x:c>
      <x:c r="C38" s="83" t="n">
        <x:f>'Cohort Finance'!H11</x:f>
        <x:v>0.17934564096602829</x:v>
      </x:c>
      <x:c r="D38" s="83" t="n">
        <x:v>0.1793456409660283</x:v>
      </x:c>
      <x:c r="E38" s="65" t="str">
        <x:f>IF(ABS(C38-D38)&lt;0.0000001,"PASS","FAIL")</x:f>
        <x:v>PASS</x:v>
      </x:c>
    </x:row>
    <x:row r="39">
      <x:c r="A39" s="65" t="str">
        <x:v>A35</x:v>
      </x:c>
      <x:c r="B39" s="65" t="str">
        <x:v>cohort-two reserve</x:v>
      </x:c>
      <x:c r="C39" s="83" t="n">
        <x:f>'Cohort Finance'!I11</x:f>
        <x:v>0.17934564096602829</x:v>
      </x:c>
      <x:c r="D39" s="83" t="n">
        <x:v>0.1793456409660283</x:v>
      </x:c>
      <x:c r="E39" s="65" t="str">
        <x:f>IF(ABS(C39-D39)&lt;0.0000001,"PASS","FAIL")</x:f>
        <x:v>PASS</x:v>
      </x:c>
    </x:row>
    <x:row r="40">
      <x:c r="A40" s="65" t="str">
        <x:v>A36</x:v>
      </x:c>
      <x:c r="B40" s="65" t="str">
        <x:v>cohort-three reserve</x:v>
      </x:c>
      <x:c r="C40" s="83" t="n">
        <x:f>'Cohort Finance'!J11</x:f>
        <x:v>0.17934564096602829</x:v>
      </x:c>
      <x:c r="D40" s="83" t="n">
        <x:v>0.1793456409660283</x:v>
      </x:c>
      <x:c r="E40" s="65" t="str">
        <x:f>IF(ABS(C40-D40)&lt;0.0000001,"PASS","FAIL")</x:f>
        <x:v>PASS</x:v>
      </x:c>
    </x:row>
    <x:row r="41">
      <x:c r="A41" s="65" t="str">
        <x:v>A37</x:v>
      </x:c>
      <x:c r="B41" s="65" t="str">
        <x:v>total reserved</x:v>
      </x:c>
      <x:c r="C41" s="83" t="n">
        <x:f>'Cohort Finance'!K11</x:f>
        <x:v>0.5380369228980849</x:v>
      </x:c>
      <x:c r="D41" s="83" t="n">
        <x:v>0.5380369228980849</x:v>
      </x:c>
      <x:c r="E41" s="65" t="str">
        <x:f>IF(ABS(C41-D41)&lt;0.0000001,"PASS","FAIL")</x:f>
        <x:v>PASS</x:v>
      </x:c>
    </x:row>
    <x:row r="42">
      <x:c r="A42" s="65" t="str">
        <x:v>A38</x:v>
      </x:c>
      <x:c r="B42" s="65" t="str">
        <x:v>paid amount</x:v>
      </x:c>
      <x:c r="C42" s="83" t="n">
        <x:f>'Cohort Finance'!L11</x:f>
        <x:v>0</x:v>
      </x:c>
      <x:c r="D42" s="83" t="n">
        <x:v>0</x:v>
      </x:c>
      <x:c r="E42" s="65" t="str">
        <x:f>IF(ABS(C42-D42)&lt;0.0000001,"PASS","FAIL")</x:f>
        <x:v>PASS</x:v>
      </x:c>
    </x:row>
    <x:row r="43">
      <x:c r="A43" s="65" t="str">
        <x:v>A39</x:v>
      </x:c>
      <x:c r="B43" s="65" t="str">
        <x:v>accepted artifacts</x:v>
      </x:c>
      <x:c r="C43" s="83" t="n">
        <x:f>'Cohort Finance'!M11</x:f>
        <x:v>0</x:v>
      </x:c>
      <x:c r="D43" s="83" t="n">
        <x:v>0</x:v>
      </x:c>
      <x:c r="E43" s="65" t="str">
        <x:f>IF(ABS(C43-D43)&lt;0.0000001,"PASS","FAIL")</x:f>
        <x:v>PASS</x:v>
      </x:c>
    </x:row>
    <x:row r="44">
      <x:c r="A44" s="65" t="str">
        <x:v>A40</x:v>
      </x:c>
      <x:c r="B44" s="65" t="str">
        <x:v>accepted observations</x:v>
      </x:c>
      <x:c r="C44" s="83" t="n">
        <x:f>'Cohort Finance'!N11</x:f>
        <x:v>0</x:v>
      </x:c>
      <x:c r="D44" s="83" t="n">
        <x:v>0</x:v>
      </x:c>
      <x:c r="E44" s="65" t="str">
        <x:f>IF(ABS(C44-D44)&lt;0.0000001,"PASS","FAIL")</x:f>
        <x:v>PASS</x:v>
      </x:c>
    </x:row>
    <x:row r="45">
      <x:c r="A45" s="65" t="str">
        <x:v>A41</x:v>
      </x:c>
      <x:c r="B45" s="65" t="str">
        <x:v>authority roles</x:v>
      </x:c>
      <x:c r="C45" s="83" t="n">
        <x:f>COUNTA('Authority Matrix'!A5:A15)</x:f>
        <x:v>11</x:v>
      </x:c>
      <x:c r="D45" s="83" t="n">
        <x:v>11</x:v>
      </x:c>
      <x:c r="E45" s="65" t="str">
        <x:f>IF(ABS(C45-D45)&lt;0.0000001,"PASS","FAIL")</x:f>
        <x:v>PASS</x:v>
      </x:c>
    </x:row>
    <x:row r="46">
      <x:c r="A46" s="65" t="str">
        <x:v>A42</x:v>
      </x:c>
      <x:c r="B46" s="65" t="str">
        <x:v>separated authority states</x:v>
      </x:c>
      <x:c r="C46" s="83" t="n">
        <x:f>COUNTIFS('Authority Matrix'!P5:P15,"PASS")</x:f>
        <x:v>11</x:v>
      </x:c>
      <x:c r="D46" s="83" t="n">
        <x:v>11</x:v>
      </x:c>
      <x:c r="E46" s="65" t="str">
        <x:f>IF(ABS(C46-D46)&lt;0.0000001,"PASS","FAIL")</x:f>
        <x:v>PASS</x:v>
      </x:c>
    </x:row>
    <x:row r="47">
      <x:c r="A47" s="65" t="str">
        <x:v>A43</x:v>
      </x:c>
      <x:c r="B47" s="65" t="str">
        <x:v>state-machine records</x:v>
      </x:c>
      <x:c r="C47" s="83" t="n">
        <x:f>COUNTA('State Machine'!A5:A16)</x:f>
        <x:v>12</x:v>
      </x:c>
      <x:c r="D47" s="83" t="n">
        <x:v>12</x:v>
      </x:c>
      <x:c r="E47" s="65" t="str">
        <x:f>IF(ABS(C47-D47)&lt;0.0000001,"PASS","FAIL")</x:f>
        <x:v>PASS</x:v>
      </x:c>
    </x:row>
    <x:row r="48">
      <x:c r="A48" s="65" t="str">
        <x:v>A44</x:v>
      </x:c>
      <x:c r="B48" s="65" t="str">
        <x:v>nonconverting state records</x:v>
      </x:c>
      <x:c r="C48" s="83" t="n">
        <x:f>COUNTIFS('State Machine'!J5:J16,"PASS")</x:f>
        <x:v>12</x:v>
      </x:c>
      <x:c r="D48" s="83" t="n">
        <x:v>12</x:v>
      </x:c>
      <x:c r="E48" s="65" t="str">
        <x:f>IF(ABS(C48-D48)&lt;0.0000001,"PASS","FAIL")</x:f>
        <x:v>PASS</x:v>
      </x:c>
    </x:row>
    <x:row r="49">
      <x:c r="A49" s="65" t="str">
        <x:v>A45</x:v>
      </x:c>
      <x:c r="B49" s="65" t="str">
        <x:v>state evidence credit</x:v>
      </x:c>
      <x:c r="C49" s="83" t="n">
        <x:f>SUM('State Machine'!G5:G16)</x:f>
        <x:v>0</x:v>
      </x:c>
      <x:c r="D49" s="83" t="n">
        <x:v>0</x:v>
      </x:c>
      <x:c r="E49" s="65" t="str">
        <x:f>IF(ABS(C49-D49)&lt;0.0000001,"PASS","FAIL")</x:f>
        <x:v>PASS</x:v>
      </x:c>
    </x:row>
    <x:row r="50">
      <x:c r="A50" s="65" t="str">
        <x:v>A46</x:v>
      </x:c>
      <x:c r="B50" s="65" t="str">
        <x:v>state selection credit</x:v>
      </x:c>
      <x:c r="C50" s="83" t="n">
        <x:f>SUM('State Machine'!H5:H16)</x:f>
        <x:v>0</x:v>
      </x:c>
      <x:c r="D50" s="83" t="n">
        <x:v>0</x:v>
      </x:c>
      <x:c r="E50" s="65" t="str">
        <x:f>IF(ABS(C50-D50)&lt;0.0000001,"PASS","FAIL")</x:f>
        <x:v>PASS</x:v>
      </x:c>
    </x:row>
    <x:row r="51">
      <x:c r="A51" s="65" t="str">
        <x:v>A47</x:v>
      </x:c>
      <x:c r="B51" s="65" t="str">
        <x:v>selected forms</x:v>
      </x:c>
      <x:c r="C51" s="83" t="n">
        <x:f>Controls!B20</x:f>
        <x:v>0</x:v>
      </x:c>
      <x:c r="D51" s="83" t="n">
        <x:v>0</x:v>
      </x:c>
      <x:c r="E51" s="65" t="str">
        <x:f>IF(ABS(C51-D51)&lt;0.0000001,"PASS","FAIL")</x:f>
        <x:v>PASS</x:v>
      </x:c>
    </x:row>
    <x:row r="52">
      <x:c r="A52" s="65" t="str">
        <x:v>A48</x:v>
      </x:c>
      <x:c r="B52" s="65" t="str">
        <x:v>safety equalization authority</x:v>
      </x:c>
      <x:c r="C52" s="83" t="n">
        <x:f>Controls!B21</x:f>
        <x:v>0</x:v>
      </x:c>
      <x:c r="D52" s="83" t="n">
        <x:v>0</x:v>
      </x:c>
      <x:c r="E52" s="65" t="str">
        <x:f>IF(ABS(C52-D52)&lt;0.0000001,"PASS","FAIL")</x:f>
        <x:v>PASS</x:v>
      </x:c>
    </x:row>
    <x:row r="53">
      <x:c r="A53" s="65" t="str">
        <x:v>A49</x:v>
      </x:c>
      <x:c r="B53" s="65" t="str">
        <x:v>branch kills</x:v>
      </x:c>
      <x:c r="C53" s="83" t="n">
        <x:f>Controls!B22</x:f>
        <x:v>0</x:v>
      </x:c>
      <x:c r="D53" s="83" t="n">
        <x:v>0</x:v>
      </x:c>
      <x:c r="E53" s="65" t="str">
        <x:f>IF(ABS(C53-D53)&lt;0.0000001,"PASS","FAIL")</x:f>
        <x:v>PASS</x:v>
      </x:c>
    </x:row>
    <x:row r="54">
      <x:c r="A54" s="65" t="str">
        <x:v>A50</x:v>
      </x:c>
      <x:c r="B54" s="65" t="str">
        <x:v>mutations detected</x:v>
      </x:c>
      <x:c r="C54" s="83" t="n">
        <x:f>SUM(Mutations!D5:D20)</x:f>
        <x:v>16</x:v>
      </x:c>
      <x:c r="D54" s="83" t="n">
        <x:v>16</x:v>
      </x:c>
      <x:c r="E54" s="65" t="str">
        <x:f>IF(ABS(C54-D54)&lt;0.0000001,"PASS","FAIL")</x:f>
        <x:v>PASS</x:v>
      </x:c>
    </x:row>
    <x:row r="55">
      <x:c r="A55" s="68" t="str">
        <x:v>A51</x:v>
      </x:c>
      <x:c r="B55" s="68" t="str">
        <x:v>mutations restored</x:v>
      </x:c>
      <x:c r="C55" s="84" t="n">
        <x:f>SUM(Mutations!E5:E20)</x:f>
        <x:v>16</x:v>
      </x:c>
      <x:c r="D55" s="84" t="n">
        <x:v>16</x:v>
      </x:c>
      <x:c r="E55" s="68" t="str">
        <x:f>IF(ABS(C55-D55)&lt;0.0000001,"PASS","FAIL")</x:f>
        <x:v>PASS</x:v>
      </x:c>
    </x:row>
  </x:sheetData>
  <x:mergeCells>
    <x:mergeCell ref="A2:E2"/>
  </x:mergeCells>
  <x:conditionalFormatting sqref="E5:E55">
    <x:cfRule type="containsText" dxfId="7" priority="1" operator="containsText" text="FAIL"/>
  </x:conditionalFormatting>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3" hidden="0" customWidth="1"/>
    <x:col min="2" max="2" width="31" hidden="0" customWidth="1"/>
    <x:col min="3" max="3" width="68" hidden="0" customWidth="1"/>
    <x:col min="4" max="4" width="70" hidden="0" customWidth="1"/>
  </x:cols>
  <x:sheetData>
    <x:row r="2">
      <x:c r="A2" s="58" t="str">
        <x:v>Internal sources and limits</x:v>
      </x:c>
      <x:c r="B2" s="59"/>
      <x:c r="C2" s="59"/>
      <x:c r="D2" s="59"/>
    </x:row>
    <x:row r="3">
      <x:c r="A3" s="60"/>
      <x:c r="B3" s="60"/>
      <x:c r="C3" s="60"/>
      <x:c r="D3" s="60"/>
    </x:row>
    <x:row r="4" ht="32" customHeight="1">
      <x:c r="A4" s="14" t="str">
        <x:v>Source</x:v>
      </x:c>
      <x:c r="B4" s="15" t="str">
        <x:v>Role</x:v>
      </x:c>
      <x:c r="C4" s="15" t="str">
        <x:v>Use</x:v>
      </x:c>
      <x:c r="D4" s="16" t="str">
        <x:v>Limit</x:v>
      </x:c>
    </x:row>
    <x:row r="5">
      <x:c r="A5" s="61" t="str">
        <x:v>Pass 215 construction compact</x:v>
      </x:c>
      <x:c r="B5" s="61" t="str">
        <x:v>financial source</x:v>
      </x:c>
      <x:c r="C5" s="61" t="str">
        <x:v>root option ceilings and public payment separation</x:v>
      </x:c>
      <x:c r="D5" s="61" t="str">
        <x:v>modeled obligations are program design, not real federal transactions</x:v>
      </x:c>
    </x:row>
    <x:row r="6">
      <x:c r="A6" s="65" t="str">
        <x:v>Pass 226 parallel FRAME authority</x:v>
      </x:c>
      <x:c r="B6" s="65" t="str">
        <x:v>package source</x:v>
      </x:c>
      <x:c r="C6" s="65" t="str">
        <x:v>eighteen warrants and ninety package ceilings</x:v>
      </x:c>
      <x:c r="D6" s="65" t="str">
        <x:v>FRAME work creates design artifacts, not operational evidence</x:v>
      </x:c>
    </x:row>
    <x:row r="7">
      <x:c r="A7" s="65" t="str">
        <x:v>Pass 227 warrant sequence</x:v>
      </x:c>
      <x:c r="B7" s="65" t="str">
        <x:v>calendar source</x:v>
      </x:c>
      <x:c r="C7" s="65" t="str">
        <x:v>cohort membership, timing and sibling reservation</x:v>
      </x:c>
      <x:c r="D7" s="65" t="str">
        <x:v>twenty-four-week duration remains a planning hypothesis</x:v>
      </x:c>
    </x:row>
    <x:row r="8">
      <x:c r="A8" s="65" t="str">
        <x:v>Pass 228 root-epoch protocol</x:v>
      </x:c>
      <x:c r="B8" s="65" t="str">
        <x:v>safety source</x:v>
      </x:c>
      <x:c r="C8" s="65" t="str">
        <x:v>safety route and hold-before-borrowing rule</x:v>
      </x:c>
      <x:c r="D8" s="65" t="str">
        <x:v>safety equalization authority remains zero</x:v>
      </x:c>
    </x:row>
    <x:row r="9">
      <x:c r="A9" s="68" t="str">
        <x:v>Pass 229 execution warrant</x:v>
      </x:c>
      <x:c r="B9" s="68" t="str">
        <x:v>fiscal and mobilization authority</x:v>
      </x:c>
      <x:c r="C9" s="68" t="str">
        <x:v>cohort-one obligation, implementation cells and notices</x:v>
      </x:c>
      <x:c r="D9" s="68" t="str">
        <x:v>payment, observation, survival and selection remain zero</x:v>
      </x:c>
    </x:row>
  </x:sheetData>
  <x:mergeCells>
    <x:mergeCell ref="A2:D2"/>
  </x:mergeCells>
  <x:pageMargins left="0.7" right="0.7" top="0.75" bottom="0.75" header="0.3" footer="0.3"/>
</x:worksheet>
</file>