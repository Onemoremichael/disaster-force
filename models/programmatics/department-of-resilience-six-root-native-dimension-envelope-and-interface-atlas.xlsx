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Envelope Register" sheetId="3" state="visible" r:id="rId5"/>
    <sheet name="Coordinate Frames" sheetId="4" state="visible" r:id="rId6"/>
    <sheet name="Interface Zones" sheetId="5" state="visible" r:id="rId7"/>
    <sheet name="Section Carryover" sheetId="6" state="visible" r:id="rId8"/>
    <sheet name="Technology Demands" sheetId="7" state="visible" r:id="rId9"/>
    <sheet name="Finance" sheetId="8" state="visible" r:id="rId10"/>
    <sheet name="Mutations" sheetId="9" state="visible" r:id="rId11"/>
    <sheet name="Audit" sheetId="10" state="visible" r:id="rId12"/>
    <sheet name="Sources &amp; Limits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<sst xmlns="http://schemas.openxmlformats.org/spreadsheetml/2006/main" count="2265" uniqueCount="990">
  <si>
    <t xml:space="preserve">Six-root dimension envelope and interface atlas</t>
  </si>
  <si>
    <t xml:space="preserve">Decision measure</t>
  </si>
  <si>
    <t xml:space="preserve">Value</t>
  </si>
  <si>
    <t xml:space="preserve">State</t>
  </si>
  <si>
    <t xml:space="preserve">Form</t>
  </si>
  <si>
    <t xml:space="preserve">Primary range ratio</t>
  </si>
  <si>
    <t xml:space="preserve">Cell-volume range ratio</t>
  </si>
  <si>
    <t xml:space="preserve">root-native frames</t>
  </si>
  <si>
    <t xml:space="preserve">COMPLETE</t>
  </si>
  <si>
    <t xml:space="preserve">Decision
All eighteen corrected forms receive interval-bounded system and largest-cell envelopes plus six decisive-interface coordinate boxes. Six root-native frames make the coordinates noninterchangeable. Every form carries its inherited section bill, but all observations and technology campaigns remain open. The atlas prevents a common chassis and prevents apparent plate dimensions from becoming metrology.</t>
  </si>
  <si>
    <t xml:space="preserve">ET-A-A</t>
  </si>
  <si>
    <t xml:space="preserve">dimension envelopes</t>
  </si>
  <si>
    <t xml:space="preserve">ET-A-B</t>
  </si>
  <si>
    <t xml:space="preserve">valid envelopes</t>
  </si>
  <si>
    <t xml:space="preserve">PASS</t>
  </si>
  <si>
    <t xml:space="preserve">ET-A-C</t>
  </si>
  <si>
    <t xml:space="preserve">decisive-interface zones</t>
  </si>
  <si>
    <t xml:space="preserve">CT-C-A</t>
  </si>
  <si>
    <t xml:space="preserve">zones within bounds</t>
  </si>
  <si>
    <t xml:space="preserve">CT-C-B</t>
  </si>
  <si>
    <t xml:space="preserve">section carryover decisions</t>
  </si>
  <si>
    <t xml:space="preserve">CT-C-C</t>
  </si>
  <si>
    <t xml:space="preserve">design-close carryovers</t>
  </si>
  <si>
    <t xml:space="preserve">DESIGN ONLY</t>
  </si>
  <si>
    <t xml:space="preserve">HC-A-A</t>
  </si>
  <si>
    <t xml:space="preserve">technology campaigns</t>
  </si>
  <si>
    <t xml:space="preserve">OPEN / UNPROVEN</t>
  </si>
  <si>
    <t xml:space="preserve">HC-A-B</t>
  </si>
  <si>
    <t xml:space="preserve">common chassis entries</t>
  </si>
  <si>
    <t xml:space="preserve">ZERO</t>
  </si>
  <si>
    <t xml:space="preserve">HC-A-C</t>
  </si>
  <si>
    <t xml:space="preserve">selected forms</t>
  </si>
  <si>
    <t xml:space="preserve">LF-B-A</t>
  </si>
  <si>
    <t xml:space="preserve">accepted observations</t>
  </si>
  <si>
    <t xml:space="preserve">LF-B-B</t>
  </si>
  <si>
    <t xml:space="preserve">incremental ceiling USD B</t>
  </si>
  <si>
    <t xml:space="preserve">LF-B-C</t>
  </si>
  <si>
    <t xml:space="preserve">HU-A-A</t>
  </si>
  <si>
    <t xml:space="preserve">HU-A-B</t>
  </si>
  <si>
    <t xml:space="preserve">HU-A-C</t>
  </si>
  <si>
    <t xml:space="preserve">RT-B-A</t>
  </si>
  <si>
    <t xml:space="preserve">RT-B-B</t>
  </si>
  <si>
    <t xml:space="preserve">RT-B-C</t>
  </si>
  <si>
    <t xml:space="preserve">Root-native dimension authority controls</t>
  </si>
  <si>
    <t xml:space="preserve">Control</t>
  </si>
  <si>
    <t xml:space="preserve">Unit</t>
  </si>
  <si>
    <t xml:space="preserve">Authority</t>
  </si>
  <si>
    <t xml:space="preserve">roots</t>
  </si>
  <si>
    <t xml:space="preserve">count</t>
  </si>
  <si>
    <t xml:space="preserve">Pass 211</t>
  </si>
  <si>
    <t xml:space="preserve">hypotheses</t>
  </si>
  <si>
    <t xml:space="preserve">Pass 223</t>
  </si>
  <si>
    <t xml:space="preserve">interfaces per form</t>
  </si>
  <si>
    <t xml:space="preserve">Pass 224</t>
  </si>
  <si>
    <t xml:space="preserve">coordinate half-zone x</t>
  </si>
  <si>
    <t xml:space="preserve">share of minimum primary extent</t>
  </si>
  <si>
    <t xml:space="preserve">Pass 224 hypothesis</t>
  </si>
  <si>
    <t xml:space="preserve">coordinate half-zone y</t>
  </si>
  <si>
    <t xml:space="preserve">share of minimum cross extent</t>
  </si>
  <si>
    <t xml:space="preserve">default height half-zone</t>
  </si>
  <si>
    <t xml:space="preserve">share of minimum vertical extent</t>
  </si>
  <si>
    <t xml:space="preserve">Pass 224 hypothesis; RT-B uses 0.070</t>
  </si>
  <si>
    <t xml:space="preserve">depth half-zone</t>
  </si>
  <si>
    <t xml:space="preserve">share of minimum depth</t>
  </si>
  <si>
    <t xml:space="preserve">FRAME share</t>
  </si>
  <si>
    <t xml:space="preserve">share</t>
  </si>
  <si>
    <t xml:space="preserve">Pass 215</t>
  </si>
  <si>
    <t xml:space="preserve">held</t>
  </si>
  <si>
    <t xml:space="preserve">source empty</t>
  </si>
  <si>
    <t xml:space="preserve">branch kills</t>
  </si>
  <si>
    <t xml:space="preserve">Pass 224 decision</t>
  </si>
  <si>
    <t xml:space="preserve">incremental dimensioning ceiling</t>
  </si>
  <si>
    <t xml:space="preserve">USD B</t>
  </si>
  <si>
    <t xml:space="preserve">no new authority</t>
  </si>
  <si>
    <t xml:space="preserve">Eighteen root-native minimum dimension envelopes</t>
  </si>
  <si>
    <t xml:space="preserve">Hypothesis</t>
  </si>
  <si>
    <t xml:space="preserve">Root</t>
  </si>
  <si>
    <t xml:space="preserve">Variant</t>
  </si>
  <si>
    <t xml:space="preserve">Corrected form</t>
  </si>
  <si>
    <t xml:space="preserve">Topology token</t>
  </si>
  <si>
    <t xml:space="preserve">Bounded object</t>
  </si>
  <si>
    <t xml:space="preserve">Isolation basis</t>
  </si>
  <si>
    <t xml:space="preserve">Independent assemblies</t>
  </si>
  <si>
    <t xml:space="preserve">Required minimum</t>
  </si>
  <si>
    <t xml:space="preserve">Primary min m</t>
  </si>
  <si>
    <t xml:space="preserve">Primary max m</t>
  </si>
  <si>
    <t xml:space="preserve">Cross min m</t>
  </si>
  <si>
    <t xml:space="preserve">Cross max m</t>
  </si>
  <si>
    <t xml:space="preserve">Vertical min m</t>
  </si>
  <si>
    <t xml:space="preserve">Vertical max m</t>
  </si>
  <si>
    <t xml:space="preserve">Depth min m</t>
  </si>
  <si>
    <t xml:space="preserve">Depth max m</t>
  </si>
  <si>
    <t xml:space="preserve">Cell length min m</t>
  </si>
  <si>
    <t xml:space="preserve">Cell length max m</t>
  </si>
  <si>
    <t xml:space="preserve">Cell width min m</t>
  </si>
  <si>
    <t xml:space="preserve">Cell width max m</t>
  </si>
  <si>
    <t xml:space="preserve">Cell height min m</t>
  </si>
  <si>
    <t xml:space="preserve">Cell height max m</t>
  </si>
  <si>
    <t xml:space="preserve">Reach min m</t>
  </si>
  <si>
    <t xml:space="preserve">Reach max m</t>
  </si>
  <si>
    <t xml:space="preserve">Common chassis ID</t>
  </si>
  <si>
    <t xml:space="preserve">Selected</t>
  </si>
  <si>
    <t xml:space="preserve">Accepted evidence</t>
  </si>
  <si>
    <t xml:space="preserve">Topology occurrences</t>
  </si>
  <si>
    <t xml:space="preserve">Range state</t>
  </si>
  <si>
    <t xml:space="preserve">Authority state</t>
  </si>
  <si>
    <t xml:space="preserve">Hypothesis occurrences</t>
  </si>
  <si>
    <t xml:space="preserve">ET-A</t>
  </si>
  <si>
    <t xml:space="preserve">A</t>
  </si>
  <si>
    <t xml:space="preserve">Distributed twin-body exchange</t>
  </si>
  <si>
    <t xml:space="preserve">twin-body / path-separated</t>
  </si>
  <si>
    <t xml:space="preserve">two-body exchange cluster</t>
  </si>
  <si>
    <t xml:space="preserve">two complete end-to-end paths</t>
  </si>
  <si>
    <t xml:space="preserve">B</t>
  </si>
  <si>
    <t xml:space="preserve">Dual-chain articulated offshore spine</t>
  </si>
  <si>
    <t xml:space="preserve">dual-chain / articulated</t>
  </si>
  <si>
    <t xml:space="preserve">two-chain articulated cluster</t>
  </si>
  <si>
    <t xml:space="preserve">two separately safeable chains</t>
  </si>
  <si>
    <t xml:space="preserve">C</t>
  </si>
  <si>
    <t xml:space="preserve">Split-frame semi-submersible exchange lattice</t>
  </si>
  <si>
    <t xml:space="preserve">split-frame / semi-submersible</t>
  </si>
  <si>
    <t xml:space="preserve">two-frame lattice cluster</t>
  </si>
  <si>
    <t xml:space="preserve">two independent wet-to-dry frames</t>
  </si>
  <si>
    <t xml:space="preserve">CT-C</t>
  </si>
  <si>
    <t xml:space="preserve">Segmented telescoping utility spine</t>
  </si>
  <si>
    <t xml:space="preserve">segmented / telescoping</t>
  </si>
  <si>
    <t xml:space="preserve">five-trunk deployed sector</t>
  </si>
  <si>
    <t xml:space="preserve">five separately founded trunk groups</t>
  </si>
  <si>
    <t xml:space="preserve">Sectional suspended utility belt</t>
  </si>
  <si>
    <t xml:space="preserve">sectional / suspended</t>
  </si>
  <si>
    <t xml:space="preserve">five-trunk façade sector</t>
  </si>
  <si>
    <t xml:space="preserve">five independent anchor zones</t>
  </si>
  <si>
    <t xml:space="preserve">Mast-and-bridge insertion grid</t>
  </si>
  <si>
    <t xml:space="preserve">mast-grid / bridged</t>
  </si>
  <si>
    <t xml:space="preserve">five-trunk occupied-boundary grid</t>
  </si>
  <si>
    <t xml:space="preserve">five separate bridge drops</t>
  </si>
  <si>
    <t xml:space="preserve">HC-A</t>
  </si>
  <si>
    <t xml:space="preserve">Independent winged sector cells</t>
  </si>
  <si>
    <t xml:space="preserve">five-wing / distributed</t>
  </si>
  <si>
    <t xml:space="preserve">five-sector intervention field</t>
  </si>
  <si>
    <t xml:space="preserve">five independent airframes</t>
  </si>
  <si>
    <t xml:space="preserve">Independent aerostat sector cells</t>
  </si>
  <si>
    <t xml:space="preserve">five-aerostat / tethered</t>
  </si>
  <si>
    <t xml:space="preserve">five independent tether stations</t>
  </si>
  <si>
    <t xml:space="preserve">Distributed rotorborne cells</t>
  </si>
  <si>
    <t xml:space="preserve">five-rotor / distributed</t>
  </si>
  <si>
    <t xml:space="preserve">five independent rotor cells</t>
  </si>
  <si>
    <t xml:space="preserve">LF-B</t>
  </si>
  <si>
    <t xml:space="preserve">Cellular radial multi-bore field</t>
  </si>
  <si>
    <t xml:space="preserve">radial / loss-celled</t>
  </si>
  <si>
    <t xml:space="preserve">complete source position</t>
  </si>
  <si>
    <t xml:space="preserve">nine access slots around isolated conversion cells</t>
  </si>
  <si>
    <t xml:space="preserve">Dual-basin roadless source train</t>
  </si>
  <si>
    <t xml:space="preserve">dual-basin / linear</t>
  </si>
  <si>
    <t xml:space="preserve">two-basin source position</t>
  </si>
  <si>
    <t xml:space="preserve">two independently accessible route basins</t>
  </si>
  <si>
    <t xml:space="preserve">Nearshore caisson source archipelago</t>
  </si>
  <si>
    <t xml:space="preserve">three-caisson / nearshore</t>
  </si>
  <si>
    <t xml:space="preserve">three-caisson source position</t>
  </si>
  <si>
    <t xml:space="preserve">three separately founded caissons</t>
  </si>
  <si>
    <t xml:space="preserve">HU-A</t>
  </si>
  <si>
    <t xml:space="preserve">Utility-separated clinical courtyards</t>
  </si>
  <si>
    <t xml:space="preserve">courtyard / utility-separated</t>
  </si>
  <si>
    <t xml:space="preserve">two-island clinical region</t>
  </si>
  <si>
    <t xml:space="preserve">eight access cells across isolated courts</t>
  </si>
  <si>
    <t xml:space="preserve">Sectional bypassed care spine</t>
  </si>
  <si>
    <t xml:space="preserve">sectional / dual-bypass</t>
  </si>
  <si>
    <t xml:space="preserve">eight isolatable spine sections</t>
  </si>
  <si>
    <t xml:space="preserve">Paired clinical metabolism towers</t>
  </si>
  <si>
    <t xml:space="preserve">paired-tower / independent</t>
  </si>
  <si>
    <t xml:space="preserve">two complete independently founded towers</t>
  </si>
  <si>
    <t xml:space="preserve">RT-B</t>
  </si>
  <si>
    <t xml:space="preserve">Distributed container process mesh</t>
  </si>
  <si>
    <t xml:space="preserve">container-mesh / distributed</t>
  </si>
  <si>
    <t xml:space="preserve">complete 99-position regeneration field</t>
  </si>
  <si>
    <t xml:space="preserve">five complete process meshes</t>
  </si>
  <si>
    <t xml:space="preserve">Five-petal independent clean-core ring</t>
  </si>
  <si>
    <t xml:space="preserve">five-petal / center-nondecisive</t>
  </si>
  <si>
    <t xml:space="preserve">five complete process petals</t>
  </si>
  <si>
    <t xml:space="preserve">Parallel mobile microfactory trainlets</t>
  </si>
  <si>
    <t xml:space="preserve">parallel-trainlet / mobile</t>
  </si>
  <si>
    <t xml:space="preserve">five complete mobile trainlets</t>
  </si>
  <si>
    <t xml:space="preserve">Six noninterchangeable coordinate frames</t>
  </si>
  <si>
    <t xml:space="preserve">Origin</t>
  </si>
  <si>
    <t xml:space="preserve">Positive x</t>
  </si>
  <si>
    <t xml:space="preserve">Positive y</t>
  </si>
  <si>
    <t xml:space="preserve">Positive z</t>
  </si>
  <si>
    <t xml:space="preserve">Depth convention</t>
  </si>
  <si>
    <t xml:space="preserve">Permitted transform</t>
  </si>
  <si>
    <t xml:space="preserve">Prohibited transform</t>
  </si>
  <si>
    <t xml:space="preserve">Frame complete</t>
  </si>
  <si>
    <t xml:space="preserve">wet-source contact at calm-waterline projection</t>
  </si>
  <si>
    <t xml:space="preserve">wet source toward dry handoff</t>
  </si>
  <si>
    <t xml:space="preserve">path A toward path B</t>
  </si>
  <si>
    <t xml:space="preserve">waterline upward</t>
  </si>
  <si>
    <t xml:space="preserve">draft below z=0</t>
  </si>
  <si>
    <t xml:space="preserve">rigid translation and yaw only</t>
  </si>
  <si>
    <t xml:space="preserve">no scale transform; paths retain separate frames</t>
  </si>
  <si>
    <t xml:space="preserve">PLANNING DATUM</t>
  </si>
  <si>
    <t xml:space="preserve">first reversible ground attachment</t>
  </si>
  <si>
    <t xml:space="preserve">along occupied-boundary insertion</t>
  </si>
  <si>
    <t xml:space="preserve">façade outward</t>
  </si>
  <si>
    <t xml:space="preserve">grade upward</t>
  </si>
  <si>
    <t xml:space="preserve">none</t>
  </si>
  <si>
    <t xml:space="preserve">translate along surveyed building datum</t>
  </si>
  <si>
    <t xml:space="preserve">no rotation that exchanges inside and outside</t>
  </si>
  <si>
    <t xml:space="preserve">upwind protected-edge datum</t>
  </si>
  <si>
    <t xml:space="preserve">upwind toward downwind causal corridor</t>
  </si>
  <si>
    <t xml:space="preserve">along held line</t>
  </si>
  <si>
    <t xml:space="preserve">terrain upward</t>
  </si>
  <si>
    <t xml:space="preserve">each sector georeferences independently</t>
  </si>
  <si>
    <t xml:space="preserve">no common moving origin across sectors</t>
  </si>
  <si>
    <t xml:space="preserve">surface projection of first production contact</t>
  </si>
  <si>
    <t xml:space="preserve">production toward conversion and handoff</t>
  </si>
  <si>
    <t xml:space="preserve">production toward injection separation</t>
  </si>
  <si>
    <t xml:space="preserve">surface upward</t>
  </si>
  <si>
    <t xml:space="preserve">bore depth below z=0</t>
  </si>
  <si>
    <t xml:space="preserve">translate within one geodetic source datum</t>
  </si>
  <si>
    <t xml:space="preserve">no depth rescaling or basin-frame merger</t>
  </si>
  <si>
    <t xml:space="preserve">public reception threshold</t>
  </si>
  <si>
    <t xml:space="preserve">reception toward supported discharge</t>
  </si>
  <si>
    <t xml:space="preserve">clean circulation toward dirty service</t>
  </si>
  <si>
    <t xml:space="preserve">translate within one clinical island</t>
  </si>
  <si>
    <t xml:space="preserve">no transform that exchanges sterile and dirty sides</t>
  </si>
  <si>
    <t xml:space="preserve">dirty-return custody threshold</t>
  </si>
  <si>
    <t xml:space="preserve">dirty return toward signed release</t>
  </si>
  <si>
    <t xml:space="preserve">failure island 1 toward failure island 5</t>
  </si>
  <si>
    <t xml:space="preserve">translate a complete process island</t>
  </si>
  <si>
    <t xml:space="preserve">no transform that hides process ancestry</t>
  </si>
  <si>
    <t xml:space="preserve">One hundred eight decisive-interface coordinate boxes</t>
  </si>
  <si>
    <t xml:space="preserve">Zone</t>
  </si>
  <si>
    <t xml:space="preserve">Decisive interface</t>
  </si>
  <si>
    <t xml:space="preserve">x center share</t>
  </si>
  <si>
    <t xml:space="preserve">x half-zone</t>
  </si>
  <si>
    <t xml:space="preserve">y center share</t>
  </si>
  <si>
    <t xml:space="preserve">y half-zone</t>
  </si>
  <si>
    <t xml:space="preserve">z basis</t>
  </si>
  <si>
    <t xml:space="preserve">z center share</t>
  </si>
  <si>
    <t xml:space="preserve">z half-zone</t>
  </si>
  <si>
    <t xml:space="preserve">x low m</t>
  </si>
  <si>
    <t xml:space="preserve">x high m</t>
  </si>
  <si>
    <t xml:space="preserve">y low m</t>
  </si>
  <si>
    <t xml:space="preserve">y high m</t>
  </si>
  <si>
    <t xml:space="preserve">z low m</t>
  </si>
  <si>
    <t xml:space="preserve">z high m</t>
  </si>
  <si>
    <t xml:space="preserve">Role occurrences</t>
  </si>
  <si>
    <t xml:space="preserve">Bound state</t>
  </si>
  <si>
    <t xml:space="preserve">Zone occurrences</t>
  </si>
  <si>
    <t xml:space="preserve">ET-A-A-I1</t>
  </si>
  <si>
    <t xml:space="preserve">wet-source receiver</t>
  </si>
  <si>
    <t xml:space="preserve">HEIGHT</t>
  </si>
  <si>
    <t xml:space="preserve">PLANNING BOX</t>
  </si>
  <si>
    <t xml:space="preserve">ET-A-A-I2</t>
  </si>
  <si>
    <t xml:space="preserve">transfer path A</t>
  </si>
  <si>
    <t xml:space="preserve">ET-A-A-I3</t>
  </si>
  <si>
    <t xml:space="preserve">transfer path B</t>
  </si>
  <si>
    <t xml:space="preserve">ET-A-A-I4</t>
  </si>
  <si>
    <t xml:space="preserve">wet-dry break</t>
  </si>
  <si>
    <t xml:space="preserve">ET-A-A-I5</t>
  </si>
  <si>
    <t xml:space="preserve">dry custody and handoff</t>
  </si>
  <si>
    <t xml:space="preserve">ET-A-A-I6</t>
  </si>
  <si>
    <t xml:space="preserve">residual and cold access</t>
  </si>
  <si>
    <t xml:space="preserve">ET-A-B-I1</t>
  </si>
  <si>
    <t xml:space="preserve">ET-A-B-I2</t>
  </si>
  <si>
    <t xml:space="preserve">ET-A-B-I3</t>
  </si>
  <si>
    <t xml:space="preserve">ET-A-B-I4</t>
  </si>
  <si>
    <t xml:space="preserve">ET-A-B-I5</t>
  </si>
  <si>
    <t xml:space="preserve">ET-A-B-I6</t>
  </si>
  <si>
    <t xml:space="preserve">ET-A-C-I1</t>
  </si>
  <si>
    <t xml:space="preserve">ET-A-C-I2</t>
  </si>
  <si>
    <t xml:space="preserve">ET-A-C-I3</t>
  </si>
  <si>
    <t xml:space="preserve">ET-A-C-I4</t>
  </si>
  <si>
    <t xml:space="preserve">ET-A-C-I5</t>
  </si>
  <si>
    <t xml:space="preserve">ET-A-C-I6</t>
  </si>
  <si>
    <t xml:space="preserve">CT-C-A-I1</t>
  </si>
  <si>
    <t xml:space="preserve">reversible attachment</t>
  </si>
  <si>
    <t xml:space="preserve">CT-C-A-I2</t>
  </si>
  <si>
    <t xml:space="preserve">power trunk</t>
  </si>
  <si>
    <t xml:space="preserve">CT-C-A-I3</t>
  </si>
  <si>
    <t xml:space="preserve">water trunk</t>
  </si>
  <si>
    <t xml:space="preserve">CT-C-A-I4</t>
  </si>
  <si>
    <t xml:space="preserve">communications trunk</t>
  </si>
  <si>
    <t xml:space="preserve">CT-C-A-I5</t>
  </si>
  <si>
    <t xml:space="preserve">smoke and dirty-return trunk</t>
  </si>
  <si>
    <t xml:space="preserve">CT-C-A-I6</t>
  </si>
  <si>
    <t xml:space="preserve">egress and manual release</t>
  </si>
  <si>
    <t xml:space="preserve">CT-C-B-I1</t>
  </si>
  <si>
    <t xml:space="preserve">CT-C-B-I2</t>
  </si>
  <si>
    <t xml:space="preserve">CT-C-B-I3</t>
  </si>
  <si>
    <t xml:space="preserve">CT-C-B-I4</t>
  </si>
  <si>
    <t xml:space="preserve">CT-C-B-I5</t>
  </si>
  <si>
    <t xml:space="preserve">CT-C-B-I6</t>
  </si>
  <si>
    <t xml:space="preserve">CT-C-C-I1</t>
  </si>
  <si>
    <t xml:space="preserve">CT-C-C-I2</t>
  </si>
  <si>
    <t xml:space="preserve">CT-C-C-I3</t>
  </si>
  <si>
    <t xml:space="preserve">CT-C-C-I4</t>
  </si>
  <si>
    <t xml:space="preserve">CT-C-C-I5</t>
  </si>
  <si>
    <t xml:space="preserve">CT-C-C-I6</t>
  </si>
  <si>
    <t xml:space="preserve">HC-A-A-I1</t>
  </si>
  <si>
    <t xml:space="preserve">upwind sensing</t>
  </si>
  <si>
    <t xml:space="preserve">HC-A-A-I2</t>
  </si>
  <si>
    <t xml:space="preserve">sector lift and delivery</t>
  </si>
  <si>
    <t xml:space="preserve">HC-A-A-I3</t>
  </si>
  <si>
    <t xml:space="preserve">protected edge</t>
  </si>
  <si>
    <t xml:space="preserve">HC-A-A-I4</t>
  </si>
  <si>
    <t xml:space="preserve">downwind attribution</t>
  </si>
  <si>
    <t xml:space="preserve">HC-A-A-I5</t>
  </si>
  <si>
    <t xml:space="preserve">refill and custody</t>
  </si>
  <si>
    <t xml:space="preserve">HC-A-A-I6</t>
  </si>
  <si>
    <t xml:space="preserve">runoff and recovery</t>
  </si>
  <si>
    <t xml:space="preserve">HC-A-B-I1</t>
  </si>
  <si>
    <t xml:space="preserve">HC-A-B-I2</t>
  </si>
  <si>
    <t xml:space="preserve">HC-A-B-I3</t>
  </si>
  <si>
    <t xml:space="preserve">HC-A-B-I4</t>
  </si>
  <si>
    <t xml:space="preserve">HC-A-B-I5</t>
  </si>
  <si>
    <t xml:space="preserve">HC-A-B-I6</t>
  </si>
  <si>
    <t xml:space="preserve">HC-A-C-I1</t>
  </si>
  <si>
    <t xml:space="preserve">HC-A-C-I2</t>
  </si>
  <si>
    <t xml:space="preserve">HC-A-C-I3</t>
  </si>
  <si>
    <t xml:space="preserve">HC-A-C-I4</t>
  </si>
  <si>
    <t xml:space="preserve">HC-A-C-I5</t>
  </si>
  <si>
    <t xml:space="preserve">HC-A-C-I6</t>
  </si>
  <si>
    <t xml:space="preserve">LF-B-A-I1</t>
  </si>
  <si>
    <t xml:space="preserve">production contact</t>
  </si>
  <si>
    <t xml:space="preserve">DEPTH</t>
  </si>
  <si>
    <t xml:space="preserve">LF-B-A-I2</t>
  </si>
  <si>
    <t xml:space="preserve">injection contact</t>
  </si>
  <si>
    <t xml:space="preserve">LF-B-A-I3</t>
  </si>
  <si>
    <t xml:space="preserve">conversion cell</t>
  </si>
  <si>
    <t xml:space="preserve">LF-B-A-I4</t>
  </si>
  <si>
    <t xml:space="preserve">product-water custody</t>
  </si>
  <si>
    <t xml:space="preserve">LF-B-A-I5</t>
  </si>
  <si>
    <t xml:space="preserve">power and thermal handoff</t>
  </si>
  <si>
    <t xml:space="preserve">LF-B-A-I6</t>
  </si>
  <si>
    <t xml:space="preserve">brine and mineral custody</t>
  </si>
  <si>
    <t xml:space="preserve">LF-B-B-I1</t>
  </si>
  <si>
    <t xml:space="preserve">LF-B-B-I2</t>
  </si>
  <si>
    <t xml:space="preserve">LF-B-B-I3</t>
  </si>
  <si>
    <t xml:space="preserve">LF-B-B-I4</t>
  </si>
  <si>
    <t xml:space="preserve">LF-B-B-I5</t>
  </si>
  <si>
    <t xml:space="preserve">LF-B-B-I6</t>
  </si>
  <si>
    <t xml:space="preserve">LF-B-C-I1</t>
  </si>
  <si>
    <t xml:space="preserve">LF-B-C-I2</t>
  </si>
  <si>
    <t xml:space="preserve">LF-B-C-I3</t>
  </si>
  <si>
    <t xml:space="preserve">LF-B-C-I4</t>
  </si>
  <si>
    <t xml:space="preserve">LF-B-C-I5</t>
  </si>
  <si>
    <t xml:space="preserve">LF-B-C-I6</t>
  </si>
  <si>
    <t xml:space="preserve">HU-A-A-I1</t>
  </si>
  <si>
    <t xml:space="preserve">reception and triage</t>
  </si>
  <si>
    <t xml:space="preserve">HU-A-A-I2</t>
  </si>
  <si>
    <t xml:space="preserve">definitive care</t>
  </si>
  <si>
    <t xml:space="preserve">HU-A-A-I3</t>
  </si>
  <si>
    <t xml:space="preserve">sterile supply</t>
  </si>
  <si>
    <t xml:space="preserve">HU-A-A-I4</t>
  </si>
  <si>
    <t xml:space="preserve">isolated utilities</t>
  </si>
  <si>
    <t xml:space="preserve">HU-A-A-I5</t>
  </si>
  <si>
    <t xml:space="preserve">regulated transfer and discharge</t>
  </si>
  <si>
    <t xml:space="preserve">HU-A-A-I6</t>
  </si>
  <si>
    <t xml:space="preserve">dirty-return and cold access</t>
  </si>
  <si>
    <t xml:space="preserve">HU-A-B-I1</t>
  </si>
  <si>
    <t xml:space="preserve">HU-A-B-I2</t>
  </si>
  <si>
    <t xml:space="preserve">HU-A-B-I3</t>
  </si>
  <si>
    <t xml:space="preserve">HU-A-B-I4</t>
  </si>
  <si>
    <t xml:space="preserve">HU-A-B-I5</t>
  </si>
  <si>
    <t xml:space="preserve">HU-A-B-I6</t>
  </si>
  <si>
    <t xml:space="preserve">HU-A-C-I1</t>
  </si>
  <si>
    <t xml:space="preserve">HU-A-C-I2</t>
  </si>
  <si>
    <t xml:space="preserve">HU-A-C-I3</t>
  </si>
  <si>
    <t xml:space="preserve">HU-A-C-I4</t>
  </si>
  <si>
    <t xml:space="preserve">HU-A-C-I5</t>
  </si>
  <si>
    <t xml:space="preserve">HU-A-C-I6</t>
  </si>
  <si>
    <t xml:space="preserve">RT-B-A-I1</t>
  </si>
  <si>
    <t xml:space="preserve">dirty return</t>
  </si>
  <si>
    <t xml:space="preserve">RT-B-A-I2</t>
  </si>
  <si>
    <t xml:space="preserve">diagnosis</t>
  </si>
  <si>
    <t xml:space="preserve">RT-B-A-I3</t>
  </si>
  <si>
    <t xml:space="preserve">feedstock preparation</t>
  </si>
  <si>
    <t xml:space="preserve">RT-B-A-I4</t>
  </si>
  <si>
    <t xml:space="preserve">process island</t>
  </si>
  <si>
    <t xml:space="preserve">RT-B-A-I5</t>
  </si>
  <si>
    <t xml:space="preserve">metrology and calibration</t>
  </si>
  <si>
    <t xml:space="preserve">RT-B-A-I6</t>
  </si>
  <si>
    <t xml:space="preserve">signed release</t>
  </si>
  <si>
    <t xml:space="preserve">RT-B-B-I1</t>
  </si>
  <si>
    <t xml:space="preserve">RT-B-B-I2</t>
  </si>
  <si>
    <t xml:space="preserve">RT-B-B-I3</t>
  </si>
  <si>
    <t xml:space="preserve">RT-B-B-I4</t>
  </si>
  <si>
    <t xml:space="preserve">RT-B-B-I5</t>
  </si>
  <si>
    <t xml:space="preserve">RT-B-B-I6</t>
  </si>
  <si>
    <t xml:space="preserve">RT-B-C-I1</t>
  </si>
  <si>
    <t xml:space="preserve">RT-B-C-I2</t>
  </si>
  <si>
    <t xml:space="preserve">RT-B-C-I3</t>
  </si>
  <si>
    <t xml:space="preserve">RT-B-C-I4</t>
  </si>
  <si>
    <t xml:space="preserve">RT-B-C-I5</t>
  </si>
  <si>
    <t xml:space="preserve">RT-B-C-I6</t>
  </si>
  <si>
    <t xml:space="preserve">One hundred eight section-to-form carryover decisions</t>
  </si>
  <si>
    <t xml:space="preserve">Record</t>
  </si>
  <si>
    <t xml:space="preserve">Account</t>
  </si>
  <si>
    <t xml:space="preserve">Inherited minimum section</t>
  </si>
  <si>
    <t xml:space="preserve">Required units</t>
  </si>
  <si>
    <t xml:space="preserve">Provided units</t>
  </si>
  <si>
    <t xml:space="preserve">Observed values</t>
  </si>
  <si>
    <t xml:space="preserve">Count state</t>
  </si>
  <si>
    <t xml:space="preserve">Evidence state</t>
  </si>
  <si>
    <t xml:space="preserve">Carryover state</t>
  </si>
  <si>
    <t xml:space="preserve">Source</t>
  </si>
  <si>
    <t xml:space="preserve">C001</t>
  </si>
  <si>
    <t xml:space="preserve">mass</t>
  </si>
  <si>
    <t xml:space="preserve">complete 241 t/h exchange paths</t>
  </si>
  <si>
    <t xml:space="preserve">Pass 219</t>
  </si>
  <si>
    <t xml:space="preserve">C002</t>
  </si>
  <si>
    <t xml:space="preserve">energy</t>
  </si>
  <si>
    <t xml:space="preserve">black-start energy cells</t>
  </si>
  <si>
    <t xml:space="preserve">C003</t>
  </si>
  <si>
    <t xml:space="preserve">geometry</t>
  </si>
  <si>
    <t xml:space="preserve">wet-to-dry transition paths</t>
  </si>
  <si>
    <t xml:space="preserve">C004</t>
  </si>
  <si>
    <t xml:space="preserve">safe state</t>
  </si>
  <si>
    <t xml:space="preserve">separately safeable exchange paths</t>
  </si>
  <si>
    <t xml:space="preserve">C005</t>
  </si>
  <si>
    <t xml:space="preserve">residual</t>
  </si>
  <si>
    <t xml:space="preserve">residual custody paths</t>
  </si>
  <si>
    <t xml:space="preserve">C006</t>
  </si>
  <si>
    <t xml:space="preserve">reconstruction</t>
  </si>
  <si>
    <t xml:space="preserve">cold-build path objects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</si>
  <si>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</si>
  <si>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</si>
  <si>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</si>
  <si>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</si>
  <si>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</si>
  <si>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</si>
  <si>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</si>
  <si>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</si>
  <si>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</si>
  <si>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</si>
  <si>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</si>
  <si>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</si>
  <si>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</si>
  <si>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complete utility trunks</t>
  </si>
  <si>
    <t xml:space="preserve">C020</t>
  </si>
  <si>
    <t xml:space="preserve">7.20 MW generation cells</t>
  </si>
  <si>
    <t xml:space="preserve">C021</t>
  </si>
  <si>
    <t xml:space="preserve">reversible attachment groups</t>
  </si>
  <si>
    <t xml:space="preserve">C022</t>
  </si>
  <si>
    <t xml:space="preserve">fault-contained trunk groups</t>
  </si>
  <si>
    <t xml:space="preserve">C023</t>
  </si>
  <si>
    <t xml:space="preserve">smoke and dirty-return paths</t>
  </si>
  <si>
    <t xml:space="preserve">C024</t>
  </si>
  <si>
    <t xml:space="preserve">isolated rebuild sections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</si>
  <si>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</si>
  <si>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</si>
  <si>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</si>
  <si>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</si>
  <si>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</si>
  <si>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</si>
  <si>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</si>
  <si>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</si>
  <si>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</si>
  <si>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</si>
  <si>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</si>
  <si>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</si>
  <si>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</si>
  <si>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attributable held-line sectors</t>
  </si>
  <si>
    <t xml:space="preserve">C038</t>
  </si>
  <si>
    <t xml:space="preserve">20.6 MW energy cells</t>
  </si>
  <si>
    <t xml:space="preserve">C039</t>
  </si>
  <si>
    <t xml:space="preserve">26.5 km/day sector cells</t>
  </si>
  <si>
    <t xml:space="preserve">C040</t>
  </si>
  <si>
    <t xml:space="preserve">independent control and recovery sets</t>
  </si>
  <si>
    <t xml:space="preserve">C041</t>
  </si>
  <si>
    <t xml:space="preserve">runoff custody cells</t>
  </si>
  <si>
    <t xml:space="preserve">C042</t>
  </si>
  <si>
    <t xml:space="preserve">cold-build sector objects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</si>
  <si>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</si>
  <si>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</si>
  <si>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</si>
  <si>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</si>
  <si>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</si>
  <si>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</si>
  <si>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</si>
  <si>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</si>
  <si>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</si>
  <si>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</si>
  <si>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</si>
  <si>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</si>
  <si>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</si>
  <si>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3.99 kt access slots</t>
  </si>
  <si>
    <t xml:space="preserve">C056</t>
  </si>
  <si>
    <t xml:space="preserve">13.0 MW conversion cells</t>
  </si>
  <si>
    <t xml:space="preserve">C057</t>
  </si>
  <si>
    <t xml:space="preserve">15.5 km water paths</t>
  </si>
  <si>
    <t xml:space="preserve">C058</t>
  </si>
  <si>
    <t xml:space="preserve">separately safeable source trains</t>
  </si>
  <si>
    <t xml:space="preserve">C059</t>
  </si>
  <si>
    <t xml:space="preserve">10,300 m3/day injection paths</t>
  </si>
  <si>
    <t xml:space="preserve">C060</t>
  </si>
  <si>
    <t xml:space="preserve">cold-access slot objects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</si>
  <si>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</si>
  <si>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</si>
  <si>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</si>
  <si>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</si>
  <si>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</si>
  <si>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</si>
  <si>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</si>
  <si>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</si>
  <si>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</si>
  <si>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</si>
  <si>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</si>
  <si>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</si>
  <si>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</si>
  <si>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7.35 kt access cells</t>
  </si>
  <si>
    <t xml:space="preserve">C074</t>
  </si>
  <si>
    <t xml:space="preserve">islanded utility cells</t>
  </si>
  <si>
    <t xml:space="preserve">C075</t>
  </si>
  <si>
    <t xml:space="preserve">indivisible care-line interfaces</t>
  </si>
  <si>
    <t xml:space="preserve">C076</t>
  </si>
  <si>
    <t xml:space="preserve">complete clinical islands</t>
  </si>
  <si>
    <t xml:space="preserve">C077</t>
  </si>
  <si>
    <t xml:space="preserve">separated dirty-return zones</t>
  </si>
  <si>
    <t xml:space="preserve">C078</t>
  </si>
  <si>
    <t xml:space="preserve">complete cold-build clinical islands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</si>
  <si>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</si>
  <si>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</si>
  <si>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</si>
  <si>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</si>
  <si>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</si>
  <si>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C084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</si>
  <si>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</si>
  <si>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</si>
  <si>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</si>
  <si>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</si>
  <si>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</si>
  <si>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</si>
  <si>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</si>
  <si>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complete process meshes</t>
  </si>
  <si>
    <t xml:space="preserve">C092</t>
  </si>
  <si>
    <t xml:space="preserve">26.5 MW process-energy cells</t>
  </si>
  <si>
    <t xml:space="preserve">C093</t>
  </si>
  <si>
    <t xml:space="preserve">signed-release envelopes</t>
  </si>
  <si>
    <t xml:space="preserve">C094</t>
  </si>
  <si>
    <t xml:space="preserve">separate failure islands</t>
  </si>
  <si>
    <t xml:space="preserve">C095</t>
  </si>
  <si>
    <t xml:space="preserve">dirty-return custody paths</t>
  </si>
  <si>
    <t xml:space="preserve">C096</t>
  </si>
  <si>
    <t xml:space="preserve">cold-build process meshes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</si>
  <si>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</si>
  <si>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</si>
  <si>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</si>
  <si>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</si>
  <si>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</si>
  <si>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</si>
  <si>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</si>
  <si>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</si>
  <si>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</si>
  <si>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</si>
  <si>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</si>
  <si>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</si>
  <si>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Fifty-four form-induced invention campaigns</t>
  </si>
  <si>
    <t xml:space="preserve">Campaign</t>
  </si>
  <si>
    <t xml:space="preserve">Required advance</t>
  </si>
  <si>
    <t xml:space="preserve">Why current class is insufficient</t>
  </si>
  <si>
    <t xml:space="preserve">Fatal prototype event</t>
  </si>
  <si>
    <t xml:space="preserve">Campaigns per form</t>
  </si>
  <si>
    <t xml:space="preserve">T001</t>
  </si>
  <si>
    <t xml:space="preserve">moving-source receiver</t>
  </si>
  <si>
    <t xml:space="preserve">active six-axis transfer saddle</t>
  </si>
  <si>
    <t xml:space="preserve">ordinary offshore cranes do not preserve two custody-complete paths under relative motion</t>
  </si>
  <si>
    <t xml:space="preserve">remove one saddle during rated transfer; surviving path must retain metered custody</t>
  </si>
  <si>
    <t xml:space="preserve">EXPERIMENT SPECIFICATION</t>
  </si>
  <si>
    <t xml:space="preserve">T002</t>
  </si>
  <si>
    <t xml:space="preserve">self-forming amphibious shore bridge</t>
  </si>
  <si>
    <t xml:space="preserve">fixed ramps cannot create a reconstructable break across changing beach and flood profiles</t>
  </si>
  <si>
    <t xml:space="preserve">erase one shore segment and cold-build a replacement without stopping the other path</t>
  </si>
  <si>
    <t xml:space="preserve">T003</t>
  </si>
  <si>
    <t xml:space="preserve">dry custody</t>
  </si>
  <si>
    <t xml:space="preserve">distributed tamper-evident flow metrology</t>
  </si>
  <si>
    <t xml:space="preserve">single custody stations remain common failure and cannot survive salt, motion and disconnection</t>
  </si>
  <si>
    <t xml:space="preserve">deny network and one meter chain; reconcile wet receipt to dry handoff locally</t>
  </si>
  <si>
    <t xml:space="preserve">T004</t>
  </si>
  <si>
    <t xml:space="preserve">articulation chain</t>
  </si>
  <si>
    <t xml:space="preserve">load-sharing joints with physical safeing</t>
  </si>
  <si>
    <t xml:space="preserve">ship hinges are not designed as separately reconstructable cargo-custody boundaries</t>
  </si>
  <si>
    <t xml:space="preserve">lock one articulation at worst phase and retain one complete chain</t>
  </si>
  <si>
    <t xml:space="preserve">T005</t>
  </si>
  <si>
    <t xml:space="preserve">surge buffer</t>
  </si>
  <si>
    <t xml:space="preserve">cell-local kinetic and material buffering</t>
  </si>
  <si>
    <t xml:space="preserve">central surge storage recouples both chains</t>
  </si>
  <si>
    <t xml:space="preserve">remove the largest buffer and sustain the lower-bound path rate</t>
  </si>
  <si>
    <t xml:space="preserve">T006</t>
  </si>
  <si>
    <t xml:space="preserve">shore handoff</t>
  </si>
  <si>
    <t xml:space="preserve">autonomous chain reconfiguration</t>
  </si>
  <si>
    <t xml:space="preserve">preplanned moorings cannot cover unprepared shore geometry</t>
  </si>
  <si>
    <t xml:space="preserve">cold-plan and deploy a new chain geometry from sealed public records</t>
  </si>
  <si>
    <t xml:space="preserve">T007</t>
  </si>
  <si>
    <t xml:space="preserve">split frame</t>
  </si>
  <si>
    <t xml:space="preserve">reconfigurable semi-submersible exchange cells</t>
  </si>
  <si>
    <t xml:space="preserve">offshore frames share ballast and stationkeeping ancestry</t>
  </si>
  <si>
    <t xml:space="preserve">flood or disable one frame while the other retains independent trim and flow</t>
  </si>
  <si>
    <t xml:space="preserve">T008</t>
  </si>
  <si>
    <t xml:space="preserve">wet-to-dry sorting</t>
  </si>
  <si>
    <t xml:space="preserve">distributed custody-aware routing</t>
  </si>
  <si>
    <t xml:space="preserve">port sorting assumes fixed decks and common controls</t>
  </si>
  <si>
    <t xml:space="preserve">corrupt one routing controller and preserve signed flow on the second frame</t>
  </si>
  <si>
    <t xml:space="preserve">T009</t>
  </si>
  <si>
    <t xml:space="preserve">stationkeeping</t>
  </si>
  <si>
    <t xml:space="preserve">separately safeable low-energy stationkeeping</t>
  </si>
  <si>
    <t xml:space="preserve">dynamic positioning commonly shares power and estimation</t>
  </si>
  <si>
    <t xml:space="preserve">deny one power and navigation lineage without merging frame control</t>
  </si>
  <si>
    <t xml:space="preserve">T010</t>
  </si>
  <si>
    <t xml:space="preserve">robotic proof-loaded building anchors</t>
  </si>
  <si>
    <t xml:space="preserve">temporary works rarely certify occupied, damaged substrates in real time</t>
  </si>
  <si>
    <t xml:space="preserve">misclassify one anchor zone; local structure must isolate before propagation</t>
  </si>
  <si>
    <t xml:space="preserve">T011</t>
  </si>
  <si>
    <t xml:space="preserve">telescoping spine</t>
  </si>
  <si>
    <t xml:space="preserve">fault-contained multi-utility telescoping joints</t>
  </si>
  <si>
    <t xml:space="preserve">utility couplers do not combine motion, smoke and contamination isolation</t>
  </si>
  <si>
    <t xml:space="preserve">remove one joint under full mixed-utility load and preserve adjacent trunks</t>
  </si>
  <si>
    <t xml:space="preserve">T012</t>
  </si>
  <si>
    <t xml:space="preserve">cold reconstruction</t>
  </si>
  <si>
    <t xml:space="preserve">machine-readable attachment grammar</t>
  </si>
  <si>
    <t xml:space="preserve">site craft knowledge is not reconstructable from public records</t>
  </si>
  <si>
    <t xml:space="preserve">clean team rebuilds one section with original runtime and staff denied</t>
  </si>
  <si>
    <t xml:space="preserve">T013</t>
  </si>
  <si>
    <t xml:space="preserve">suspended belt</t>
  </si>
  <si>
    <t xml:space="preserve">active-tension anchor zones with passive arrest</t>
  </si>
  <si>
    <t xml:space="preserve">façade access systems lack utility mass and fault containment</t>
  </si>
  <si>
    <t xml:space="preserve">release one anchor zone and arrest the belt without progressive peel</t>
  </si>
  <si>
    <t xml:space="preserve">T014</t>
  </si>
  <si>
    <t xml:space="preserve">belt break</t>
  </si>
  <si>
    <t xml:space="preserve">automatic fluid, electrical and smoke guillotines</t>
  </si>
  <si>
    <t xml:space="preserve">existing disconnects do not coordinate all five trunks</t>
  </si>
  <si>
    <t xml:space="preserve">fault one trunk at a section break and prove no cross-trunk propagation</t>
  </si>
  <si>
    <t xml:space="preserve">T015</t>
  </si>
  <si>
    <t xml:space="preserve">occupied insertion</t>
  </si>
  <si>
    <t xml:space="preserve">low-noise contamination-aware climbing robotics</t>
  </si>
  <si>
    <t xml:space="preserve">construction robots do not work around lawful occupancy and smoke boundaries</t>
  </si>
  <si>
    <t xml:space="preserve">install through an occupied denial zone without deleting egress or consent</t>
  </si>
  <si>
    <t xml:space="preserve">T016</t>
  </si>
  <si>
    <t xml:space="preserve">mast foundation</t>
  </si>
  <si>
    <t xml:space="preserve">rapid proof-loaded microfoundations</t>
  </si>
  <si>
    <t xml:space="preserve">temporary towers assume known soils and isolated sites</t>
  </si>
  <si>
    <t xml:space="preserve">deny one mast and transfer no decisive load to another foundation</t>
  </si>
  <si>
    <t xml:space="preserve">T017</t>
  </si>
  <si>
    <t xml:space="preserve">bridge drop</t>
  </si>
  <si>
    <t xml:space="preserve">self-leveling reversible utility bridges</t>
  </si>
  <si>
    <t xml:space="preserve">commercial bridges do not carry five isolated trunks into damaged floors</t>
  </si>
  <si>
    <t xml:space="preserve">remove one bridge and maintain four unaffected service paths</t>
  </si>
  <si>
    <t xml:space="preserve">T018</t>
  </si>
  <si>
    <t xml:space="preserve">manual release</t>
  </si>
  <si>
    <t xml:space="preserve">offline household-state release ledger</t>
  </si>
  <si>
    <t xml:space="preserve">networked work-order systems cannot protect disposition under disconnection</t>
  </si>
  <si>
    <t xml:space="preserve">deny network and prove every household state remains locally releasable</t>
  </si>
  <si>
    <t xml:space="preserve">T019</t>
  </si>
  <si>
    <t xml:space="preserve">wing sector</t>
  </si>
  <si>
    <t xml:space="preserve">high-duty aero-thermal endurance cell</t>
  </si>
  <si>
    <t xml:space="preserve">fire aircraft optimize sorties, not 72-hour attributable sector persistence</t>
  </si>
  <si>
    <t xml:space="preserve">deny one airframe and prove no other sector depends on its energy or controller</t>
  </si>
  <si>
    <t xml:space="preserve">T020</t>
  </si>
  <si>
    <t xml:space="preserve">delivery interface</t>
  </si>
  <si>
    <t xml:space="preserve">closed-loop deposition shaping in turbulent plumes</t>
  </si>
  <si>
    <t xml:space="preserve">bulk drops cannot attribute held-line effect to delivered mass</t>
  </si>
  <si>
    <t xml:space="preserve">command a deposition null and detect causal loss inside one kilometre</t>
  </si>
  <si>
    <t xml:space="preserve">T021</t>
  </si>
  <si>
    <t xml:space="preserve">recovery</t>
  </si>
  <si>
    <t xml:space="preserve">field-rebuildable flight-critical structure</t>
  </si>
  <si>
    <t xml:space="preserve">certified airframes rely on depot tooling and proprietary records</t>
  </si>
  <si>
    <t xml:space="preserve">cold-build a flight-critical sector article from sealed public method</t>
  </si>
  <si>
    <t xml:space="preserve">T022</t>
  </si>
  <si>
    <t xml:space="preserve">aerostat envelope</t>
  </si>
  <si>
    <t xml:space="preserve">high-temperature self-compartmenting lift envelope</t>
  </si>
  <si>
    <t xml:space="preserve">observation aerostats lack plume heat and fluid-delivery survival</t>
  </si>
  <si>
    <t xml:space="preserve">puncture one compartment under thermal load and retain controlled recovery</t>
  </si>
  <si>
    <t xml:space="preserve">T023</t>
  </si>
  <si>
    <t xml:space="preserve">tether station</t>
  </si>
  <si>
    <t xml:space="preserve">combined power-fluid-data tether with physical isolation</t>
  </si>
  <si>
    <t xml:space="preserve">present tethers are not high-duty delivery trunks or safeing boundaries</t>
  </si>
  <si>
    <t xml:space="preserve">sever one tether channel and prove local safeing without shared ground power</t>
  </si>
  <si>
    <t xml:space="preserve">T024</t>
  </si>
  <si>
    <t xml:space="preserve">plume stationkeeping</t>
  </si>
  <si>
    <t xml:space="preserve">predictive tether and buoyancy control</t>
  </si>
  <si>
    <t xml:space="preserve">weather stationkeeping does not close a causal deposition corridor</t>
  </si>
  <si>
    <t xml:space="preserve">deny remote forecast service and hold the local attributable corridor</t>
  </si>
  <si>
    <t xml:space="preserve">T025</t>
  </si>
  <si>
    <t xml:space="preserve">rotor cell</t>
  </si>
  <si>
    <t xml:space="preserve">cooperative heavy-lift rotors without decisive mesh</t>
  </si>
  <si>
    <t xml:space="preserve">swarms commonly require a central scheduler and positioning service</t>
  </si>
  <si>
    <t xml:space="preserve">deny the coordination network and retain local sector control</t>
  </si>
  <si>
    <t xml:space="preserve">T026</t>
  </si>
  <si>
    <t xml:space="preserve">refill</t>
  </si>
  <si>
    <t xml:space="preserve">hot-zone robotic refill and battery-fluid exchange</t>
  </si>
  <si>
    <t xml:space="preserve">airport refill cycles break persistence and expose crews</t>
  </si>
  <si>
    <t xml:space="preserve">fault one refill lane and sustain the sector from its second local lane</t>
  </si>
  <si>
    <t xml:space="preserve">T027</t>
  </si>
  <si>
    <t xml:space="preserve">edge sensing</t>
  </si>
  <si>
    <t xml:space="preserve">self-calibrating particulate and heat tomography</t>
  </si>
  <si>
    <t xml:space="preserve">cheap sensors drift in dense smoke and cannot support attribution</t>
  </si>
  <si>
    <t xml:space="preserve">inject correlated drift and force a visible hold rather than a false effect</t>
  </si>
  <si>
    <t xml:space="preserve">T028</t>
  </si>
  <si>
    <t xml:space="preserve">reservoir contact</t>
  </si>
  <si>
    <t xml:space="preserve">rapid multi-bore subsurface inference</t>
  </si>
  <si>
    <t xml:space="preserve">exploration sequences are too slow and treat uncertainty as a central model</t>
  </si>
  <si>
    <t xml:space="preserve">blind one bore family and bound drawdown from independent local measurements</t>
  </si>
  <si>
    <t xml:space="preserve">T029</t>
  </si>
  <si>
    <t xml:space="preserve">radial headers</t>
  </si>
  <si>
    <t xml:space="preserve">loss-defined high-temperature fluid switching</t>
  </si>
  <si>
    <t xml:space="preserve">geothermal headers centralize separation and brine custody</t>
  </si>
  <si>
    <t xml:space="preserve">rupture one header cell and retain two independent product and return paths</t>
  </si>
  <si>
    <t xml:space="preserve">T030</t>
  </si>
  <si>
    <t xml:space="preserve">mineral custody</t>
  </si>
  <si>
    <t xml:space="preserve">continuous brine-to-mineral closed metabolism</t>
  </si>
  <si>
    <t xml:space="preserve">commercial plants externalize variable brine chemistry</t>
  </si>
  <si>
    <t xml:space="preserve">change chemistry abruptly and reconcile retained, treated and released mass</t>
  </si>
  <si>
    <t xml:space="preserve">T031</t>
  </si>
  <si>
    <t xml:space="preserve">roadless drilling</t>
  </si>
  <si>
    <t xml:space="preserve">self-transporting low-ground-pressure bore train</t>
  </si>
  <si>
    <t xml:space="preserve">drilling logistics depend on roads, pads and specialist convoys</t>
  </si>
  <si>
    <t xml:space="preserve">deny road access and rebuild one drilling function from local inventory</t>
  </si>
  <si>
    <t xml:space="preserve">T032</t>
  </si>
  <si>
    <t xml:space="preserve">basin separation</t>
  </si>
  <si>
    <t xml:space="preserve">dual-model reservoir control without shared solver</t>
  </si>
  <si>
    <t xml:space="preserve">common reservoir models recouple the two route basins</t>
  </si>
  <si>
    <t xml:space="preserve">corrupt one model lineage and keep the other basin within hazard bounds</t>
  </si>
  <si>
    <t xml:space="preserve">T033</t>
  </si>
  <si>
    <t xml:space="preserve">buried corridor</t>
  </si>
  <si>
    <t xml:space="preserve">autonomous trenchless water and power corridor</t>
  </si>
  <si>
    <t xml:space="preserve">pipeline deployment remains survey- and crew-intensive</t>
  </si>
  <si>
    <t xml:space="preserve">deny positioning network and complete a sealed 15.5 km path qualification</t>
  </si>
  <si>
    <t xml:space="preserve">T034</t>
  </si>
  <si>
    <t xml:space="preserve">caisson foundation</t>
  </si>
  <si>
    <t xml:space="preserve">deployable deep-water caisson with bore isolation</t>
  </si>
  <si>
    <t xml:space="preserve">offshore foundations are permanent projects with shared services</t>
  </si>
  <si>
    <t xml:space="preserve">flood one caisson and prove no lift, power or brine dependency crosses to another</t>
  </si>
  <si>
    <t xml:space="preserve">T035</t>
  </si>
  <si>
    <t xml:space="preserve">subsea bore</t>
  </si>
  <si>
    <t xml:space="preserve">robotic directional drilling from relocatable caissons</t>
  </si>
  <si>
    <t xml:space="preserve">offshore wells depend on specialized rigs and long supply chains</t>
  </si>
  <si>
    <t xml:space="preserve">replace one downhole tool chain from sealed inventory under disconnection</t>
  </si>
  <si>
    <t xml:space="preserve">T036</t>
  </si>
  <si>
    <t xml:space="preserve">energy-water export</t>
  </si>
  <si>
    <t xml:space="preserve">separable subsea power, thermal and water umbilicals</t>
  </si>
  <si>
    <t xml:space="preserve">multi-service export cables share landing and protection failures</t>
  </si>
  <si>
    <t xml:space="preserve">cut one export route and retain a complete second custody path</t>
  </si>
  <si>
    <t xml:space="preserve">T037</t>
  </si>
  <si>
    <t xml:space="preserve">clinical court</t>
  </si>
  <si>
    <t xml:space="preserve">rapid sterile shell with independent pressure metabolism</t>
  </si>
  <si>
    <t xml:space="preserve">field hospitals centralize air, sterile supply and waste</t>
  </si>
  <si>
    <t xml:space="preserve">fault one court utility set and preserve accepted episodes elsewhere</t>
  </si>
  <si>
    <t xml:space="preserve">T038</t>
  </si>
  <si>
    <t xml:space="preserve">utility separation</t>
  </si>
  <si>
    <t xml:space="preserve">six-family plug-safe clinical utility manifold</t>
  </si>
  <si>
    <t xml:space="preserve">hospital utility couplers do not prove cross-contamination isolation</t>
  </si>
  <si>
    <t xml:space="preserve">cross-connect one family and force immediate local quarantine</t>
  </si>
  <si>
    <t xml:space="preserve">T039</t>
  </si>
  <si>
    <t xml:space="preserve">relationship state</t>
  </si>
  <si>
    <t xml:space="preserve">offline patient-destination continuity fabric</t>
  </si>
  <si>
    <t xml:space="preserve">medical records do not preserve transport and discharge relationships offline</t>
  </si>
  <si>
    <t xml:space="preserve">deny network and retain lawful disposition for every active episode</t>
  </si>
  <si>
    <t xml:space="preserve">T040</t>
  </si>
  <si>
    <t xml:space="preserve">care spine</t>
  </si>
  <si>
    <t xml:space="preserve">reconfigurable clean-dirty counterflow spine</t>
  </si>
  <si>
    <t xml:space="preserve">linear hospitals propagate circulation and utility faults</t>
  </si>
  <si>
    <t xml:space="preserve">block one section and maintain two independent bypasses</t>
  </si>
  <si>
    <t xml:space="preserve">T041</t>
  </si>
  <si>
    <t xml:space="preserve">acuity plug</t>
  </si>
  <si>
    <t xml:space="preserve">robotically reconfigurable definitive-care bay</t>
  </si>
  <si>
    <t xml:space="preserve">modular wards do not change acuity without deleting care lines</t>
  </si>
  <si>
    <t xml:space="preserve">convert one bay under load while all ten interfaces remain available</t>
  </si>
  <si>
    <t xml:space="preserve">T042</t>
  </si>
  <si>
    <t xml:space="preserve">sterile custody</t>
  </si>
  <si>
    <t xml:space="preserve">continuous mobile sterile-material ancestry</t>
  </si>
  <si>
    <t xml:space="preserve">temporary hospitals rely on central sterile departments</t>
  </si>
  <si>
    <t xml:space="preserve">deny the primary sterile core and qualify an independent replacement chain</t>
  </si>
  <si>
    <t xml:space="preserve">T043</t>
  </si>
  <si>
    <t xml:space="preserve">tower foundation</t>
  </si>
  <si>
    <t xml:space="preserve">rapid independent high-rise foundation and leveling</t>
  </si>
  <si>
    <t xml:space="preserve">deployable medicine rarely uses vertically complete structures</t>
  </si>
  <si>
    <t xml:space="preserve">remove one foundation sensor lineage and force local hold before coupling</t>
  </si>
  <si>
    <t xml:space="preserve">T044</t>
  </si>
  <si>
    <t xml:space="preserve">vertical circulation</t>
  </si>
  <si>
    <t xml:space="preserve">dual-mode clean, dirty and patient lift metabolism</t>
  </si>
  <si>
    <t xml:space="preserve">ordinary lift banks share shafts, controls and smoke zones</t>
  </si>
  <si>
    <t xml:space="preserve">deny one complete lift family and preserve the other tower's care lines</t>
  </si>
  <si>
    <t xml:space="preserve">T045</t>
  </si>
  <si>
    <t xml:space="preserve">tower utilities</t>
  </si>
  <si>
    <t xml:space="preserve">self-contained clinical microgrid and thermal rejection</t>
  </si>
  <si>
    <t xml:space="preserve">hospital towers assume municipal water, grid and cooling</t>
  </si>
  <si>
    <t xml:space="preserve">deny every municipal service for 168 hours with local residual custody</t>
  </si>
  <si>
    <t xml:space="preserve">T046</t>
  </si>
  <si>
    <t xml:space="preserve">process node</t>
  </si>
  <si>
    <t xml:space="preserve">container-scale complete process ancestry</t>
  </si>
  <si>
    <t xml:space="preserve">container factories divide processes across dependent specialist nodes</t>
  </si>
  <si>
    <t xml:space="preserve">remove one node and reproduce its complete chain in another island</t>
  </si>
  <si>
    <t xml:space="preserve">T047</t>
  </si>
  <si>
    <t xml:space="preserve">portable metrology</t>
  </si>
  <si>
    <t xml:space="preserve">field primary-standard ladder</t>
  </si>
  <si>
    <t xml:space="preserve">mobile inspection equipment relies on depot calibration</t>
  </si>
  <si>
    <t xml:space="preserve">deny the calibration network and produce an independently signed release</t>
  </si>
  <si>
    <t xml:space="preserve">T048</t>
  </si>
  <si>
    <t xml:space="preserve">material diagnosis</t>
  </si>
  <si>
    <t xml:space="preserve">unknown-feedstock digital-physical assay</t>
  </si>
  <si>
    <t xml:space="preserve">recycling lines assume narrow, known input specifications</t>
  </si>
  <si>
    <t xml:space="preserve">introduce mixed damaged feedstock and reject unsafe material visibly</t>
  </si>
  <si>
    <t xml:space="preserve">T049</t>
  </si>
  <si>
    <t xml:space="preserve">clean-core petal</t>
  </si>
  <si>
    <t xml:space="preserve">petal-local contamination boundary and utilities</t>
  </si>
  <si>
    <t xml:space="preserve">clean hubs centralize the very state every petal requires</t>
  </si>
  <si>
    <t xml:space="preserve">contaminate the reference center and retain five independent clean chains</t>
  </si>
  <si>
    <t xml:space="preserve">T050</t>
  </si>
  <si>
    <t xml:space="preserve">process synthesis</t>
  </si>
  <si>
    <t xml:space="preserve">offline generative route planning with physical verification</t>
  </si>
  <si>
    <t xml:space="preserve">process planners rely on cloud libraries and assumed stock</t>
  </si>
  <si>
    <t xml:space="preserve">deny network and synthesize a route that passes local destructive coupons</t>
  </si>
  <si>
    <t xml:space="preserve">T051</t>
  </si>
  <si>
    <t xml:space="preserve">release ancestry</t>
  </si>
  <si>
    <t xml:space="preserve">tamper-evident part-method-material graph</t>
  </si>
  <si>
    <t xml:space="preserve">manufacturing execution systems cannot reconstruct offline custody</t>
  </si>
  <si>
    <t xml:space="preserve">corrupt one ancestry edge and block release without masking other petals</t>
  </si>
  <si>
    <t xml:space="preserve">T052</t>
  </si>
  <si>
    <t xml:space="preserve">mobile trainlet</t>
  </si>
  <si>
    <t xml:space="preserve">road-mobile complete multi-process chain</t>
  </si>
  <si>
    <t xml:space="preserve">mobile workshops carry tools, not complete qualification ancestry</t>
  </si>
  <si>
    <t xml:space="preserve">separate one trainlet and reproduce a critical class alone</t>
  </si>
  <si>
    <t xml:space="preserve">T053</t>
  </si>
  <si>
    <t xml:space="preserve">energy cell</t>
  </si>
  <si>
    <t xml:space="preserve">high-density safeable process microgrid</t>
  </si>
  <si>
    <t xml:space="preserve">mobile power cannot support pulsed thermal and subtractive loads independently</t>
  </si>
  <si>
    <t xml:space="preserve">remove the largest energy cell and finish a qualified process route</t>
  </si>
  <si>
    <t xml:space="preserve">T054</t>
  </si>
  <si>
    <t xml:space="preserve">cold rebuild</t>
  </si>
  <si>
    <t xml:space="preserve">self-describing machines and fixtures</t>
  </si>
  <si>
    <t xml:space="preserve">machine tools depend on vendor software, keys and tacit setup</t>
  </si>
  <si>
    <t xml:space="preserve">clean team rebuilds one trainlet with vendors and private keys denied</t>
  </si>
  <si>
    <t xml:space="preserve">Dimensioning adds no financial authority</t>
  </si>
  <si>
    <t xml:space="preserve">System</t>
  </si>
  <si>
    <t xml:space="preserve">Article</t>
  </si>
  <si>
    <t xml:space="preserve">Option ceiling USD B</t>
  </si>
  <si>
    <t xml:space="preserve">Maximum FRAME USD B</t>
  </si>
  <si>
    <t xml:space="preserve">Incremental dimensioning USD B</t>
  </si>
  <si>
    <t xml:space="preserve">Accepted USD B</t>
  </si>
  <si>
    <t xml:space="preserve">Paid USD B</t>
  </si>
  <si>
    <t xml:space="preserve">MS-ET</t>
  </si>
  <si>
    <t xml:space="preserve">Pelagic exchange cell</t>
  </si>
  <si>
    <t xml:space="preserve">MS-CT</t>
  </si>
  <si>
    <t xml:space="preserve">Occupied-building utility-spine sector</t>
  </si>
  <si>
    <t xml:space="preserve">MS-HC</t>
  </si>
  <si>
    <t xml:space="preserve">Atmospheric intervention cell</t>
  </si>
  <si>
    <t xml:space="preserve">MS-LF</t>
  </si>
  <si>
    <t xml:space="preserve">Geothermal source position</t>
  </si>
  <si>
    <t xml:space="preserve">MS-HU</t>
  </si>
  <si>
    <t xml:space="preserve">Complete clinical island</t>
  </si>
  <si>
    <t xml:space="preserve">MS-RT</t>
  </si>
  <si>
    <t xml:space="preserve">Disconnected microfactory mesh</t>
  </si>
  <si>
    <t xml:space="preserve">TOTAL</t>
  </si>
  <si>
    <t xml:space="preserve">six roots</t>
  </si>
  <si>
    <t xml:space="preserve">dimension-envelope issuance</t>
  </si>
  <si>
    <t xml:space="preserve">Mutation test register</t>
  </si>
  <si>
    <t xml:space="preserve">Mutation</t>
  </si>
  <si>
    <t xml:space="preserve">Controlled change</t>
  </si>
  <si>
    <t xml:space="preserve">Expected detection</t>
  </si>
  <si>
    <t xml:space="preserve">Detected</t>
  </si>
  <si>
    <t xml:space="preserve">Restored</t>
  </si>
  <si>
    <t xml:space="preserve">M01</t>
  </si>
  <si>
    <t xml:space="preserve">set one primary minimum to zero</t>
  </si>
  <si>
    <t xml:space="preserve">envelope range fails</t>
  </si>
  <si>
    <t xml:space="preserve">M02</t>
  </si>
  <si>
    <t xml:space="preserve">set one primary maximum below minimum</t>
  </si>
  <si>
    <t xml:space="preserve">M03</t>
  </si>
  <si>
    <t xml:space="preserve">duplicate one topology token</t>
  </si>
  <si>
    <t xml:space="preserve">topology uniqueness fails</t>
  </si>
  <si>
    <t xml:space="preserve">M04</t>
  </si>
  <si>
    <t xml:space="preserve">enter a common chassis ID</t>
  </si>
  <si>
    <t xml:space="preserve">authority state fails</t>
  </si>
  <si>
    <t xml:space="preserve">M05</t>
  </si>
  <si>
    <t xml:space="preserve">select one form</t>
  </si>
  <si>
    <t xml:space="preserve">zero-selection audit fails</t>
  </si>
  <si>
    <t xml:space="preserve">M06</t>
  </si>
  <si>
    <t xml:space="preserve">enter accepted evidence</t>
  </si>
  <si>
    <t xml:space="preserve">zero-evidence audit fails</t>
  </si>
  <si>
    <t xml:space="preserve">M07</t>
  </si>
  <si>
    <t xml:space="preserve">move one x zone outside minimum envelope</t>
  </si>
  <si>
    <t xml:space="preserve">zone bound fails</t>
  </si>
  <si>
    <t xml:space="preserve">M08</t>
  </si>
  <si>
    <t xml:space="preserve">duplicate one interface role</t>
  </si>
  <si>
    <t xml:space="preserve">role uniqueness fails</t>
  </si>
  <si>
    <t xml:space="preserve">M09</t>
  </si>
  <si>
    <t xml:space="preserve">blank one coordinate origin</t>
  </si>
  <si>
    <t xml:space="preserve">frame completeness fails</t>
  </si>
  <si>
    <t xml:space="preserve">M10</t>
  </si>
  <si>
    <t xml:space="preserve">reduce one carried section below minimum</t>
  </si>
  <si>
    <t xml:space="preserve">section carryover fails</t>
  </si>
  <si>
    <t xml:space="preserve">M11</t>
  </si>
  <si>
    <t xml:space="preserve">blank one required technology advance</t>
  </si>
  <si>
    <t xml:space="preserve">campaign state fails</t>
  </si>
  <si>
    <t xml:space="preserve">M12</t>
  </si>
  <si>
    <t xml:space="preserve">raise FRAME share</t>
  </si>
  <si>
    <t xml:space="preserve">finance conservation fails</t>
  </si>
  <si>
    <t xml:space="preserve">M13</t>
  </si>
  <si>
    <t xml:space="preserve">enter incremental dimensioning money</t>
  </si>
  <si>
    <t xml:space="preserve">finance hold fails</t>
  </si>
  <si>
    <t xml:space="preserve">M14</t>
  </si>
  <si>
    <t xml:space="preserve">enter a branch kill</t>
  </si>
  <si>
    <t xml:space="preserve">branch-kill audit fails</t>
  </si>
  <si>
    <t xml:space="preserve">Independent workbook checks</t>
  </si>
  <si>
    <t xml:space="preserve">Audit</t>
  </si>
  <si>
    <t xml:space="preserve">Check</t>
  </si>
  <si>
    <t xml:space="preserve">Actual</t>
  </si>
  <si>
    <t xml:space="preserve">Expected</t>
  </si>
  <si>
    <t xml:space="preserve">Result</t>
  </si>
  <si>
    <t xml:space="preserve">A01</t>
  </si>
  <si>
    <t xml:space="preserve">root count</t>
  </si>
  <si>
    <t xml:space="preserve">A02</t>
  </si>
  <si>
    <t xml:space="preserve">complete coordinate frames</t>
  </si>
  <si>
    <t xml:space="preserve">A03</t>
  </si>
  <si>
    <t xml:space="preserve">hypothesis count</t>
  </si>
  <si>
    <t xml:space="preserve">A04</t>
  </si>
  <si>
    <t xml:space="preserve">unique hypothesis IDs</t>
  </si>
  <si>
    <t xml:space="preserve">A05</t>
  </si>
  <si>
    <t xml:space="preserve">unique topology tokens</t>
  </si>
  <si>
    <t xml:space="preserve">A06</t>
  </si>
  <si>
    <t xml:space="preserve">valid dimension states</t>
  </si>
  <si>
    <t xml:space="preserve">A07</t>
  </si>
  <si>
    <t xml:space="preserve">authorized dimension states</t>
  </si>
  <si>
    <t xml:space="preserve">A08</t>
  </si>
  <si>
    <t xml:space="preserve">A09</t>
  </si>
  <si>
    <t xml:space="preserve">A10</t>
  </si>
  <si>
    <t xml:space="preserve">accepted evidence</t>
  </si>
  <si>
    <t xml:space="preserve">A11</t>
  </si>
  <si>
    <t xml:space="preserve">interface zones</t>
  </si>
  <si>
    <t xml:space="preserve">A12</t>
  </si>
  <si>
    <t xml:space="preserve">unique zone IDs</t>
  </si>
  <si>
    <t xml:space="preserve">A13</t>
  </si>
  <si>
    <t xml:space="preserve">bounded interface zones</t>
  </si>
  <si>
    <t xml:space="preserve">A14</t>
  </si>
  <si>
    <t xml:space="preserve">six roles per form</t>
  </si>
  <si>
    <t xml:space="preserve">A15</t>
  </si>
  <si>
    <t xml:space="preserve">A16</t>
  </si>
  <si>
    <t xml:space="preserve">section count passes</t>
  </si>
  <si>
    <t xml:space="preserve">A17</t>
  </si>
  <si>
    <t xml:space="preserve">unobserved section records</t>
  </si>
  <si>
    <t xml:space="preserve">A18</t>
  </si>
  <si>
    <t xml:space="preserve">A19</t>
  </si>
  <si>
    <t xml:space="preserve">A20</t>
  </si>
  <si>
    <t xml:space="preserve">three campaigns per form</t>
  </si>
  <si>
    <t xml:space="preserve">A21</t>
  </si>
  <si>
    <t xml:space="preserve">technology remains unproven</t>
  </si>
  <si>
    <t xml:space="preserve">A22</t>
  </si>
  <si>
    <t xml:space="preserve">option ceiling conservation</t>
  </si>
  <si>
    <t xml:space="preserve">A23</t>
  </si>
  <si>
    <t xml:space="preserve">FRAME ceiling conservation</t>
  </si>
  <si>
    <t xml:space="preserve">A24</t>
  </si>
  <si>
    <t xml:space="preserve">incremental ceiling</t>
  </si>
  <si>
    <t xml:space="preserve">A25</t>
  </si>
  <si>
    <t xml:space="preserve">accepted amount</t>
  </si>
  <si>
    <t xml:space="preserve">A26</t>
  </si>
  <si>
    <t xml:space="preserve">paid amount</t>
  </si>
  <si>
    <t xml:space="preserve">A27</t>
  </si>
  <si>
    <t xml:space="preserve">finance states held</t>
  </si>
  <si>
    <t xml:space="preserve">A28</t>
  </si>
  <si>
    <t xml:space="preserve">mutations detected</t>
  </si>
  <si>
    <t xml:space="preserve">A29</t>
  </si>
  <si>
    <t xml:space="preserve">mutations restored</t>
  </si>
  <si>
    <t xml:space="preserve">A30</t>
  </si>
  <si>
    <t xml:space="preserve">Internal sources and claim limits</t>
  </si>
  <si>
    <t xml:space="preserve">Role</t>
  </si>
  <si>
    <t xml:space="preserve">Controlled use</t>
  </si>
  <si>
    <t xml:space="preserve">Limit</t>
  </si>
  <si>
    <t xml:space="preserve">Pass 215 construction compact</t>
  </si>
  <si>
    <t xml:space="preserve">finance source</t>
  </si>
  <si>
    <t xml:space="preserve">root option ceilings and 15 percent FRAME share</t>
  </si>
  <si>
    <t xml:space="preserve">ceilings are not awards or payments</t>
  </si>
  <si>
    <t xml:space="preserve">Pass 216 candidate article requirements</t>
  </si>
  <si>
    <t xml:space="preserve">mission boundary</t>
  </si>
  <si>
    <t xml:space="preserve">six root-native causal articles and full-scale burdens</t>
  </si>
  <si>
    <t xml:space="preserve">requirements are not observed performance</t>
  </si>
  <si>
    <t xml:space="preserve">Pass 219 internal-section constitution</t>
  </si>
  <si>
    <t xml:space="preserve">section source</t>
  </si>
  <si>
    <t xml:space="preserve">thirty-six account minima and cell counts</t>
  </si>
  <si>
    <t xml:space="preserve">design-close cells remain unobserved</t>
  </si>
  <si>
    <t xml:space="preserve">Pass 222 contradiction disposition</t>
  </si>
  <si>
    <t xml:space="preserve">correction source</t>
  </si>
  <si>
    <t xml:space="preserve">ten revisions and five topology replacements</t>
  </si>
  <si>
    <t xml:space="preserve">visual diagnosis is not engineering evidence</t>
  </si>
  <si>
    <t xml:space="preserve">Pass 223 corrected v2 issuance</t>
  </si>
  <si>
    <t xml:space="preserve">form source</t>
  </si>
  <si>
    <t xml:space="preserve">eighteen corrected unselected whole forms</t>
  </si>
  <si>
    <t xml:space="preserve">generated proportions are not metrology</t>
  </si>
  <si>
    <t xml:space="preserve">Pass 224 dimension atlas</t>
  </si>
  <si>
    <t xml:space="preserve">planning source</t>
  </si>
  <si>
    <t xml:space="preserve">interval envelopes, local frames and coordinate boxes</t>
  </si>
  <si>
    <t xml:space="preserve">not CAD, survey, stability, structural or performance evidence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</si>
</sst>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\x"/>
    <numFmt numFmtId="167" formatCode="0.000"/>
    <numFmt numFmtId="168" formatCode="0.0%"/>
    <numFmt numFmtId="169" formatCode="0.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63746"/>
      <name val="Arial"/>
      <family val="0"/>
      <charset val="1"/>
    </font>
    <font>
      <sz val="11"/>
      <color rgb="FF263746"/>
      <name val="Arial"/>
      <family val="0"/>
      <charset val="1"/>
    </font>
    <font>
      <b val="true"/>
      <sz val="9"/>
      <color rgb="FF000000"/>
      <name val="Arial"/>
      <family val="2"/>
    </font>
    <font>
      <sz val="6"/>
      <color rgb="FF000000"/>
      <name val="Arial"/>
      <family val="2"/>
    </font>
    <font>
      <sz val="6.75"/>
      <color rgb="FF000000"/>
      <name val="Arial"/>
      <family val="2"/>
    </font>
    <font>
      <sz val="10"/>
      <color rgb="FF0066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263746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156082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8E1EB"/>
      </bottom>
      <diagonal/>
    </border>
    <border diagonalUp="false" diagonalDown="false">
      <left/>
      <right/>
      <top style="thin">
        <color rgb="FFD8E1EB"/>
      </top>
      <bottom style="thin">
        <color rgb="FFD8E1EB"/>
      </bottom>
      <diagonal/>
    </border>
    <border diagonalUp="false" diagonalDown="false">
      <left/>
      <right/>
      <top style="thin">
        <color rgb="FFD8E1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3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3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D8E1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6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Envelope range ratios by 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"Primary range ratio"</c:f>
              <c:strCache>
                <c:ptCount val="1"/>
                <c:pt idx="0">
                  <c:v>Primary range ratio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Summary!$M$5:$M$22</c:f>
              <c:strCache>
                <c:ptCount val="18"/>
                <c:pt idx="0">
                  <c:v>ET-A-A</c:v>
                </c:pt>
                <c:pt idx="1">
                  <c:v>ET-A-B</c:v>
                </c:pt>
                <c:pt idx="2">
                  <c:v>ET-A-C</c:v>
                </c:pt>
                <c:pt idx="3">
                  <c:v>CT-C-A</c:v>
                </c:pt>
                <c:pt idx="4">
                  <c:v>CT-C-B</c:v>
                </c:pt>
                <c:pt idx="5">
                  <c:v>CT-C-C</c:v>
                </c:pt>
                <c:pt idx="6">
                  <c:v>HC-A-A</c:v>
                </c:pt>
                <c:pt idx="7">
                  <c:v>HC-A-B</c:v>
                </c:pt>
                <c:pt idx="8">
                  <c:v>HC-A-C</c:v>
                </c:pt>
                <c:pt idx="9">
                  <c:v>LF-B-A</c:v>
                </c:pt>
                <c:pt idx="10">
                  <c:v>LF-B-B</c:v>
                </c:pt>
                <c:pt idx="11">
                  <c:v>LF-B-C</c:v>
                </c:pt>
                <c:pt idx="12">
                  <c:v>HU-A-A</c:v>
                </c:pt>
                <c:pt idx="13">
                  <c:v>HU-A-B</c:v>
                </c:pt>
                <c:pt idx="14">
                  <c:v>HU-A-C</c:v>
                </c:pt>
                <c:pt idx="15">
                  <c:v>RT-B-A</c:v>
                </c:pt>
                <c:pt idx="16">
                  <c:v>RT-B-B</c:v>
                </c:pt>
                <c:pt idx="17">
                  <c:v>RT-B-C</c:v>
                </c:pt>
              </c:strCache>
            </c:strRef>
          </c:cat>
          <c:val>
            <c:numRef>
              <c:f>Summary!$N$5:$N$22</c:f>
              <c:numCache>
                <c:formatCode>0.0\x</c:formatCode>
                <c:ptCount val="18"/>
                <c:pt idx="0">
                  <c:v>1.3125</c:v>
                </c:pt>
                <c:pt idx="1">
                  <c:v>1.38461538461538</c:v>
                </c:pt>
                <c:pt idx="2">
                  <c:v>1.36842105263158</c:v>
                </c:pt>
                <c:pt idx="3">
                  <c:v>2</c:v>
                </c:pt>
                <c:pt idx="4">
                  <c:v>2.5</c:v>
                </c:pt>
                <c:pt idx="5">
                  <c:v>2.5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2.28571428571429</c:v>
                </c:pt>
                <c:pt idx="14">
                  <c:v>1.66666666666667</c:v>
                </c:pt>
                <c:pt idx="15">
                  <c:v>3.33333333333333</c:v>
                </c:pt>
                <c:pt idx="16">
                  <c:v>2.4</c:v>
                </c:pt>
                <c:pt idx="17">
                  <c:v>4</c:v>
                </c:pt>
              </c:numCache>
            </c:numRef>
          </c:val>
        </c:ser>
        <c:ser>
          <c:idx val="1"/>
          <c:order val="1"/>
          <c:tx>
            <c:strRef>
              <c:f>"Cell-volume range ratio"</c:f>
              <c:strCache>
                <c:ptCount val="1"/>
                <c:pt idx="0">
                  <c:v>Cell-volume range ratio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Summary!$M$5:$M$22</c:f>
              <c:strCache>
                <c:ptCount val="18"/>
                <c:pt idx="0">
                  <c:v>ET-A-A</c:v>
                </c:pt>
                <c:pt idx="1">
                  <c:v>ET-A-B</c:v>
                </c:pt>
                <c:pt idx="2">
                  <c:v>ET-A-C</c:v>
                </c:pt>
                <c:pt idx="3">
                  <c:v>CT-C-A</c:v>
                </c:pt>
                <c:pt idx="4">
                  <c:v>CT-C-B</c:v>
                </c:pt>
                <c:pt idx="5">
                  <c:v>CT-C-C</c:v>
                </c:pt>
                <c:pt idx="6">
                  <c:v>HC-A-A</c:v>
                </c:pt>
                <c:pt idx="7">
                  <c:v>HC-A-B</c:v>
                </c:pt>
                <c:pt idx="8">
                  <c:v>HC-A-C</c:v>
                </c:pt>
                <c:pt idx="9">
                  <c:v>LF-B-A</c:v>
                </c:pt>
                <c:pt idx="10">
                  <c:v>LF-B-B</c:v>
                </c:pt>
                <c:pt idx="11">
                  <c:v>LF-B-C</c:v>
                </c:pt>
                <c:pt idx="12">
                  <c:v>HU-A-A</c:v>
                </c:pt>
                <c:pt idx="13">
                  <c:v>HU-A-B</c:v>
                </c:pt>
                <c:pt idx="14">
                  <c:v>HU-A-C</c:v>
                </c:pt>
                <c:pt idx="15">
                  <c:v>RT-B-A</c:v>
                </c:pt>
                <c:pt idx="16">
                  <c:v>RT-B-B</c:v>
                </c:pt>
                <c:pt idx="17">
                  <c:v>RT-B-C</c:v>
                </c:pt>
              </c:strCache>
            </c:strRef>
          </c:cat>
          <c:val>
            <c:numRef>
              <c:f>Summary!$O$5:$O$22</c:f>
              <c:numCache>
                <c:formatCode>0.0\x</c:formatCode>
                <c:ptCount val="18"/>
                <c:pt idx="0">
                  <c:v>3.10153846153846</c:v>
                </c:pt>
                <c:pt idx="1">
                  <c:v>4.26666666666667</c:v>
                </c:pt>
                <c:pt idx="2">
                  <c:v>4.34567901234568</c:v>
                </c:pt>
                <c:pt idx="3">
                  <c:v>5.55555555555556</c:v>
                </c:pt>
                <c:pt idx="4">
                  <c:v>8.33333333333333</c:v>
                </c:pt>
                <c:pt idx="5">
                  <c:v>8.33142857142857</c:v>
                </c:pt>
                <c:pt idx="6">
                  <c:v>4.02285714285714</c:v>
                </c:pt>
                <c:pt idx="7">
                  <c:v>7.2</c:v>
                </c:pt>
                <c:pt idx="8">
                  <c:v>10.5</c:v>
                </c:pt>
                <c:pt idx="9">
                  <c:v>9.765625</c:v>
                </c:pt>
                <c:pt idx="10">
                  <c:v>14</c:v>
                </c:pt>
                <c:pt idx="11">
                  <c:v>6.02678571428571</c:v>
                </c:pt>
                <c:pt idx="12">
                  <c:v>10</c:v>
                </c:pt>
                <c:pt idx="13">
                  <c:v>8</c:v>
                </c:pt>
                <c:pt idx="14">
                  <c:v>5.55555555555556</c:v>
                </c:pt>
                <c:pt idx="15">
                  <c:v>8</c:v>
                </c:pt>
                <c:pt idx="16">
                  <c:v>10</c:v>
                </c:pt>
                <c:pt idx="17">
                  <c:v>12</c:v>
                </c:pt>
              </c:numCache>
            </c:numRef>
          </c:val>
        </c:ser>
        <c:gapWidth val="150"/>
        <c:overlap val="0"/>
        <c:axId val="2938444"/>
        <c:axId val="20352278"/>
      </c:barChart>
      <c:catAx>
        <c:axId val="293844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0352278"/>
        <c:crosses val="autoZero"/>
        <c:auto val="1"/>
        <c:lblAlgn val="ctr"/>
        <c:lblOffset val="100"/>
        <c:noMultiLvlLbl val="0"/>
      </c:catAx>
      <c:valAx>
        <c:axId val="2035227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93844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67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23</xdr:row>
      <xdr:rowOff>0</xdr:rowOff>
    </xdr:from>
    <xdr:to>
      <xdr:col>17</xdr:col>
      <xdr:colOff>281520</xdr:colOff>
      <xdr:row>47</xdr:row>
      <xdr:rowOff>190080</xdr:rowOff>
    </xdr:to>
    <xdr:graphicFrame>
      <xdr:nvGraphicFramePr>
        <xdr:cNvPr id="1" name="Chart"/>
        <xdr:cNvGraphicFramePr/>
      </xdr:nvGraphicFramePr>
      <xdr:xfrm>
        <a:off x="12546360" y="4617000"/>
        <a:ext cx="5567760" cy="47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10" min="5" style="0" width="16"/>
    <col collapsed="false" customWidth="true" hidden="false" outlineLevel="0" max="12" min="11" style="0" width="4"/>
    <col collapsed="false" customWidth="true" hidden="false" outlineLevel="0" max="13" min="13" style="0" width="17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8" min="16" style="0" width="4"/>
  </cols>
  <sheetData>
    <row r="2" customFormat="false" ht="18.5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3" t="s">
        <v>1</v>
      </c>
      <c r="B4" s="4" t="s">
        <v>2</v>
      </c>
      <c r="C4" s="5" t="s">
        <v>3</v>
      </c>
      <c r="D4" s="6"/>
      <c r="E4" s="6"/>
      <c r="F4" s="6"/>
      <c r="G4" s="6"/>
      <c r="H4" s="6"/>
      <c r="I4" s="6"/>
      <c r="J4" s="6"/>
      <c r="K4" s="6"/>
      <c r="L4" s="6"/>
      <c r="M4" s="3" t="s">
        <v>4</v>
      </c>
      <c r="N4" s="4" t="s">
        <v>5</v>
      </c>
      <c r="O4" s="5" t="s">
        <v>6</v>
      </c>
      <c r="P4" s="6"/>
      <c r="Q4" s="6"/>
      <c r="R4" s="6"/>
    </row>
    <row r="5" customFormat="false" ht="15" hidden="false" customHeight="true" outlineLevel="0" collapsed="false">
      <c r="A5" s="7" t="s">
        <v>7</v>
      </c>
      <c r="B5" s="8" t="n">
        <f aca="false">COUNTA('Coordinate Frames'!A5:A10)</f>
        <v>6</v>
      </c>
      <c r="C5" s="7" t="s">
        <v>8</v>
      </c>
      <c r="D5" s="6"/>
      <c r="E5" s="9" t="s">
        <v>9</v>
      </c>
      <c r="F5" s="9"/>
      <c r="G5" s="9"/>
      <c r="H5" s="9"/>
      <c r="I5" s="9"/>
      <c r="J5" s="9"/>
      <c r="K5" s="6"/>
      <c r="L5" s="6"/>
      <c r="M5" s="6" t="s">
        <v>10</v>
      </c>
      <c r="N5" s="10" t="n">
        <f aca="false">'Envelope Register'!K5/'Envelope Register'!J5</f>
        <v>1.3125</v>
      </c>
      <c r="O5" s="10" t="n">
        <f aca="false">('Envelope Register'!S5*'Envelope Register'!U5*'Envelope Register'!W5)/('Envelope Register'!R5*'Envelope Register'!T5*'Envelope Register'!V5)</f>
        <v>3.10153846153846</v>
      </c>
      <c r="P5" s="6"/>
      <c r="Q5" s="6"/>
      <c r="R5" s="6"/>
    </row>
    <row r="6" customFormat="false" ht="15" hidden="false" customHeight="false" outlineLevel="0" collapsed="false">
      <c r="A6" s="11" t="s">
        <v>11</v>
      </c>
      <c r="B6" s="12" t="n">
        <f aca="false">COUNTA('Envelope Register'!A5:A22)</f>
        <v>18</v>
      </c>
      <c r="C6" s="11" t="s">
        <v>8</v>
      </c>
      <c r="D6" s="6"/>
      <c r="E6" s="9"/>
      <c r="F6" s="9"/>
      <c r="G6" s="9"/>
      <c r="H6" s="9"/>
      <c r="I6" s="9"/>
      <c r="J6" s="9"/>
      <c r="K6" s="6"/>
      <c r="L6" s="6"/>
      <c r="M6" s="6" t="s">
        <v>12</v>
      </c>
      <c r="N6" s="10" t="n">
        <f aca="false">'Envelope Register'!K6/'Envelope Register'!J6</f>
        <v>1.38461538461538</v>
      </c>
      <c r="O6" s="10" t="n">
        <f aca="false">('Envelope Register'!S6*'Envelope Register'!U6*'Envelope Register'!W6)/('Envelope Register'!R6*'Envelope Register'!T6*'Envelope Register'!V6)</f>
        <v>4.26666666666667</v>
      </c>
      <c r="P6" s="6"/>
      <c r="Q6" s="6"/>
      <c r="R6" s="6"/>
    </row>
    <row r="7" customFormat="false" ht="15" hidden="false" customHeight="false" outlineLevel="0" collapsed="false">
      <c r="A7" s="11" t="s">
        <v>13</v>
      </c>
      <c r="B7" s="12" t="n">
        <f aca="false">COUNTIF('Envelope Register'!AE5:AE22,"DIMENSIONED / UNSELECTED")</f>
        <v>18</v>
      </c>
      <c r="C7" s="11" t="s">
        <v>14</v>
      </c>
      <c r="D7" s="6"/>
      <c r="E7" s="9"/>
      <c r="F7" s="9"/>
      <c r="G7" s="9"/>
      <c r="H7" s="9"/>
      <c r="I7" s="9"/>
      <c r="J7" s="9"/>
      <c r="K7" s="6"/>
      <c r="L7" s="6"/>
      <c r="M7" s="6" t="s">
        <v>15</v>
      </c>
      <c r="N7" s="10" t="n">
        <f aca="false">'Envelope Register'!K7/'Envelope Register'!J7</f>
        <v>1.36842105263158</v>
      </c>
      <c r="O7" s="10" t="n">
        <f aca="false">('Envelope Register'!S7*'Envelope Register'!U7*'Envelope Register'!W7)/('Envelope Register'!R7*'Envelope Register'!T7*'Envelope Register'!V7)</f>
        <v>4.34567901234568</v>
      </c>
      <c r="P7" s="6"/>
      <c r="Q7" s="6"/>
      <c r="R7" s="6"/>
    </row>
    <row r="8" customFormat="false" ht="15" hidden="false" customHeight="false" outlineLevel="0" collapsed="false">
      <c r="A8" s="11" t="s">
        <v>16</v>
      </c>
      <c r="B8" s="12" t="n">
        <f aca="false">COUNTA('Interface Zones'!A5:A112)</f>
        <v>108</v>
      </c>
      <c r="C8" s="11" t="s">
        <v>8</v>
      </c>
      <c r="D8" s="6"/>
      <c r="E8" s="9"/>
      <c r="F8" s="9"/>
      <c r="G8" s="9"/>
      <c r="H8" s="9"/>
      <c r="I8" s="9"/>
      <c r="J8" s="9"/>
      <c r="K8" s="6"/>
      <c r="L8" s="6"/>
      <c r="M8" s="6" t="s">
        <v>17</v>
      </c>
      <c r="N8" s="10" t="n">
        <f aca="false">'Envelope Register'!K8/'Envelope Register'!J8</f>
        <v>2</v>
      </c>
      <c r="O8" s="10" t="n">
        <f aca="false">('Envelope Register'!S8*'Envelope Register'!U8*'Envelope Register'!W8)/('Envelope Register'!R8*'Envelope Register'!T8*'Envelope Register'!V8)</f>
        <v>5.55555555555556</v>
      </c>
      <c r="P8" s="6"/>
      <c r="Q8" s="6"/>
      <c r="R8" s="6"/>
    </row>
    <row r="9" customFormat="false" ht="15" hidden="false" customHeight="false" outlineLevel="0" collapsed="false">
      <c r="A9" s="11" t="s">
        <v>18</v>
      </c>
      <c r="B9" s="12" t="n">
        <f aca="false">COUNTIF('Interface Zones'!S5:S112,"PASS")</f>
        <v>108</v>
      </c>
      <c r="C9" s="11" t="s">
        <v>14</v>
      </c>
      <c r="D9" s="6"/>
      <c r="E9" s="9"/>
      <c r="F9" s="9"/>
      <c r="G9" s="9"/>
      <c r="H9" s="9"/>
      <c r="I9" s="9"/>
      <c r="J9" s="9"/>
      <c r="K9" s="6"/>
      <c r="L9" s="6"/>
      <c r="M9" s="6" t="s">
        <v>19</v>
      </c>
      <c r="N9" s="10" t="n">
        <f aca="false">'Envelope Register'!K9/'Envelope Register'!J9</f>
        <v>2.5</v>
      </c>
      <c r="O9" s="10" t="n">
        <f aca="false">('Envelope Register'!S9*'Envelope Register'!U9*'Envelope Register'!W9)/('Envelope Register'!R9*'Envelope Register'!T9*'Envelope Register'!V9)</f>
        <v>8.33333333333333</v>
      </c>
      <c r="P9" s="6"/>
      <c r="Q9" s="6"/>
      <c r="R9" s="6"/>
    </row>
    <row r="10" customFormat="false" ht="15" hidden="false" customHeight="false" outlineLevel="0" collapsed="false">
      <c r="A10" s="11" t="s">
        <v>20</v>
      </c>
      <c r="B10" s="12" t="n">
        <f aca="false">COUNTA('Section Carryover'!A5:A112)</f>
        <v>108</v>
      </c>
      <c r="C10" s="11" t="s">
        <v>8</v>
      </c>
      <c r="D10" s="6"/>
      <c r="E10" s="9"/>
      <c r="F10" s="9"/>
      <c r="G10" s="9"/>
      <c r="H10" s="9"/>
      <c r="I10" s="9"/>
      <c r="J10" s="9"/>
      <c r="K10" s="6"/>
      <c r="L10" s="6"/>
      <c r="M10" s="6" t="s">
        <v>21</v>
      </c>
      <c r="N10" s="10" t="n">
        <f aca="false">'Envelope Register'!K10/'Envelope Register'!J10</f>
        <v>2.5</v>
      </c>
      <c r="O10" s="10" t="n">
        <f aca="false">('Envelope Register'!S10*'Envelope Register'!U10*'Envelope Register'!W10)/('Envelope Register'!R10*'Envelope Register'!T10*'Envelope Register'!V10)</f>
        <v>8.33142857142857</v>
      </c>
      <c r="P10" s="6"/>
      <c r="Q10" s="6"/>
      <c r="R10" s="6"/>
    </row>
    <row r="11" customFormat="false" ht="15" hidden="false" customHeight="false" outlineLevel="0" collapsed="false">
      <c r="A11" s="11" t="s">
        <v>22</v>
      </c>
      <c r="B11" s="12" t="n">
        <f aca="false">COUNTIF('Section Carryover'!K5:K112,"DESIGN-CLOSE / TEST OPEN")</f>
        <v>108</v>
      </c>
      <c r="C11" s="11" t="s">
        <v>23</v>
      </c>
      <c r="D11" s="6"/>
      <c r="E11" s="9"/>
      <c r="F11" s="9"/>
      <c r="G11" s="9"/>
      <c r="H11" s="9"/>
      <c r="I11" s="9"/>
      <c r="J11" s="9"/>
      <c r="K11" s="6"/>
      <c r="L11" s="6"/>
      <c r="M11" s="6" t="s">
        <v>24</v>
      </c>
      <c r="N11" s="10" t="n">
        <f aca="false">'Envelope Register'!K11/'Envelope Register'!J11</f>
        <v>5</v>
      </c>
      <c r="O11" s="10" t="n">
        <f aca="false">('Envelope Register'!S11*'Envelope Register'!U11*'Envelope Register'!W11)/('Envelope Register'!R11*'Envelope Register'!T11*'Envelope Register'!V11)</f>
        <v>4.02285714285714</v>
      </c>
      <c r="P11" s="6"/>
      <c r="Q11" s="6"/>
      <c r="R11" s="6"/>
    </row>
    <row r="12" customFormat="false" ht="15" hidden="false" customHeight="false" outlineLevel="0" collapsed="false">
      <c r="A12" s="11" t="s">
        <v>25</v>
      </c>
      <c r="B12" s="12" t="n">
        <f aca="false">COUNTA('Technology Demands'!A5:A58)</f>
        <v>54</v>
      </c>
      <c r="C12" s="11" t="s">
        <v>26</v>
      </c>
      <c r="D12" s="6"/>
      <c r="E12" s="9"/>
      <c r="F12" s="9"/>
      <c r="G12" s="9"/>
      <c r="H12" s="9"/>
      <c r="I12" s="9"/>
      <c r="J12" s="9"/>
      <c r="K12" s="6"/>
      <c r="L12" s="6"/>
      <c r="M12" s="6" t="s">
        <v>27</v>
      </c>
      <c r="N12" s="10" t="n">
        <f aca="false">'Envelope Register'!K12/'Envelope Register'!J12</f>
        <v>5</v>
      </c>
      <c r="O12" s="10" t="n">
        <f aca="false">('Envelope Register'!S12*'Envelope Register'!U12*'Envelope Register'!W12)/('Envelope Register'!R12*'Envelope Register'!T12*'Envelope Register'!V12)</f>
        <v>7.2</v>
      </c>
      <c r="P12" s="6"/>
      <c r="Q12" s="6"/>
      <c r="R12" s="6"/>
    </row>
    <row r="13" customFormat="false" ht="15" hidden="false" customHeight="false" outlineLevel="0" collapsed="false">
      <c r="A13" s="11" t="s">
        <v>28</v>
      </c>
      <c r="B13" s="12" t="n">
        <f aca="false">COUNTA('Envelope Register'!Z5:Z22)</f>
        <v>0</v>
      </c>
      <c r="C13" s="11" t="s">
        <v>29</v>
      </c>
      <c r="D13" s="6"/>
      <c r="E13" s="9"/>
      <c r="F13" s="9"/>
      <c r="G13" s="9"/>
      <c r="H13" s="9"/>
      <c r="I13" s="9"/>
      <c r="J13" s="9"/>
      <c r="K13" s="6"/>
      <c r="L13" s="6"/>
      <c r="M13" s="6" t="s">
        <v>30</v>
      </c>
      <c r="N13" s="10" t="n">
        <f aca="false">'Envelope Register'!K13/'Envelope Register'!J13</f>
        <v>3</v>
      </c>
      <c r="O13" s="10" t="n">
        <f aca="false">('Envelope Register'!S13*'Envelope Register'!U13*'Envelope Register'!W13)/('Envelope Register'!R13*'Envelope Register'!T13*'Envelope Register'!V13)</f>
        <v>10.5</v>
      </c>
      <c r="P13" s="6"/>
      <c r="Q13" s="6"/>
      <c r="R13" s="6"/>
    </row>
    <row r="14" customFormat="false" ht="15" hidden="false" customHeight="false" outlineLevel="0" collapsed="false">
      <c r="A14" s="11" t="s">
        <v>31</v>
      </c>
      <c r="B14" s="12" t="n">
        <f aca="false">SUM('Envelope Register'!AA5:AA22)</f>
        <v>0</v>
      </c>
      <c r="C14" s="11" t="s">
        <v>29</v>
      </c>
      <c r="D14" s="6"/>
      <c r="E14" s="6"/>
      <c r="F14" s="6"/>
      <c r="G14" s="6"/>
      <c r="H14" s="6"/>
      <c r="I14" s="6"/>
      <c r="J14" s="6"/>
      <c r="K14" s="6"/>
      <c r="L14" s="6"/>
      <c r="M14" s="6" t="s">
        <v>32</v>
      </c>
      <c r="N14" s="10" t="n">
        <f aca="false">'Envelope Register'!K14/'Envelope Register'!J14</f>
        <v>3</v>
      </c>
      <c r="O14" s="10" t="n">
        <f aca="false">('Envelope Register'!S14*'Envelope Register'!U14*'Envelope Register'!W14)/('Envelope Register'!R14*'Envelope Register'!T14*'Envelope Register'!V14)</f>
        <v>9.765625</v>
      </c>
      <c r="P14" s="6"/>
      <c r="Q14" s="6"/>
      <c r="R14" s="6"/>
    </row>
    <row r="15" customFormat="false" ht="15" hidden="false" customHeight="false" outlineLevel="0" collapsed="false">
      <c r="A15" s="11" t="s">
        <v>33</v>
      </c>
      <c r="B15" s="12" t="n">
        <f aca="false">SUM('Envelope Register'!AB5:AB22)</f>
        <v>0</v>
      </c>
      <c r="C15" s="11" t="s">
        <v>29</v>
      </c>
      <c r="D15" s="6"/>
      <c r="E15" s="6"/>
      <c r="F15" s="6"/>
      <c r="G15" s="6"/>
      <c r="H15" s="6"/>
      <c r="I15" s="6"/>
      <c r="J15" s="6"/>
      <c r="K15" s="6"/>
      <c r="L15" s="6"/>
      <c r="M15" s="6" t="s">
        <v>34</v>
      </c>
      <c r="N15" s="10" t="n">
        <f aca="false">'Envelope Register'!K15/'Envelope Register'!J15</f>
        <v>4</v>
      </c>
      <c r="O15" s="10" t="n">
        <f aca="false">('Envelope Register'!S15*'Envelope Register'!U15*'Envelope Register'!W15)/('Envelope Register'!R15*'Envelope Register'!T15*'Envelope Register'!V15)</f>
        <v>14</v>
      </c>
      <c r="P15" s="6"/>
      <c r="Q15" s="6"/>
      <c r="R15" s="6"/>
    </row>
    <row r="16" customFormat="false" ht="15" hidden="false" customHeight="false" outlineLevel="0" collapsed="false">
      <c r="A16" s="13" t="s">
        <v>35</v>
      </c>
      <c r="B16" s="14" t="n">
        <f aca="false">Finance!G11</f>
        <v>0</v>
      </c>
      <c r="C16" s="13" t="s">
        <v>29</v>
      </c>
      <c r="D16" s="6"/>
      <c r="E16" s="6"/>
      <c r="F16" s="6"/>
      <c r="G16" s="6"/>
      <c r="H16" s="6"/>
      <c r="I16" s="6"/>
      <c r="J16" s="6"/>
      <c r="K16" s="6"/>
      <c r="L16" s="6"/>
      <c r="M16" s="6" t="s">
        <v>36</v>
      </c>
      <c r="N16" s="10" t="n">
        <f aca="false">'Envelope Register'!K16/'Envelope Register'!J16</f>
        <v>3</v>
      </c>
      <c r="O16" s="10" t="n">
        <f aca="false">('Envelope Register'!S16*'Envelope Register'!U16*'Envelope Register'!W16)/('Envelope Register'!R16*'Envelope Register'!T16*'Envelope Register'!V16)</f>
        <v>6.02678571428571</v>
      </c>
      <c r="P16" s="6"/>
      <c r="Q16" s="6"/>
      <c r="R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 t="s">
        <v>37</v>
      </c>
      <c r="N17" s="10" t="n">
        <f aca="false">'Envelope Register'!K17/'Envelope Register'!J17</f>
        <v>2</v>
      </c>
      <c r="O17" s="10" t="n">
        <f aca="false">('Envelope Register'!S17*'Envelope Register'!U17*'Envelope Register'!W17)/('Envelope Register'!R17*'Envelope Register'!T17*'Envelope Register'!V17)</f>
        <v>10</v>
      </c>
      <c r="P17" s="6"/>
      <c r="Q17" s="6"/>
      <c r="R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 t="s">
        <v>38</v>
      </c>
      <c r="N18" s="10" t="n">
        <f aca="false">'Envelope Register'!K18/'Envelope Register'!J18</f>
        <v>2.28571428571429</v>
      </c>
      <c r="O18" s="10" t="n">
        <f aca="false">('Envelope Register'!S18*'Envelope Register'!U18*'Envelope Register'!W18)/('Envelope Register'!R18*'Envelope Register'!T18*'Envelope Register'!V18)</f>
        <v>8</v>
      </c>
      <c r="P18" s="6"/>
      <c r="Q18" s="6"/>
      <c r="R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 t="s">
        <v>39</v>
      </c>
      <c r="N19" s="10" t="n">
        <f aca="false">'Envelope Register'!K19/'Envelope Register'!J19</f>
        <v>1.66666666666667</v>
      </c>
      <c r="O19" s="10" t="n">
        <f aca="false">('Envelope Register'!S19*'Envelope Register'!U19*'Envelope Register'!W19)/('Envelope Register'!R19*'Envelope Register'!T19*'Envelope Register'!V19)</f>
        <v>5.55555555555556</v>
      </c>
      <c r="P19" s="6"/>
      <c r="Q19" s="6"/>
      <c r="R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 t="s">
        <v>40</v>
      </c>
      <c r="N20" s="10" t="n">
        <f aca="false">'Envelope Register'!K20/'Envelope Register'!J20</f>
        <v>3.33333333333333</v>
      </c>
      <c r="O20" s="10" t="n">
        <f aca="false">('Envelope Register'!S20*'Envelope Register'!U20*'Envelope Register'!W20)/('Envelope Register'!R20*'Envelope Register'!T20*'Envelope Register'!V20)</f>
        <v>8</v>
      </c>
      <c r="P20" s="6"/>
      <c r="Q20" s="6"/>
      <c r="R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 t="s">
        <v>41</v>
      </c>
      <c r="N21" s="10" t="n">
        <f aca="false">'Envelope Register'!K21/'Envelope Register'!J21</f>
        <v>2.4</v>
      </c>
      <c r="O21" s="10" t="n">
        <f aca="false">('Envelope Register'!S21*'Envelope Register'!U21*'Envelope Register'!W21)/('Envelope Register'!R21*'Envelope Register'!T21*'Envelope Register'!V21)</f>
        <v>10</v>
      </c>
      <c r="P21" s="6"/>
      <c r="Q21" s="6"/>
      <c r="R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 t="s">
        <v>42</v>
      </c>
      <c r="N22" s="10" t="n">
        <f aca="false">'Envelope Register'!K22/'Envelope Register'!J22</f>
        <v>4</v>
      </c>
      <c r="O22" s="10" t="n">
        <f aca="false">('Envelope Register'!S22*'Envelope Register'!U22*'Envelope Register'!W22)/('Envelope Register'!R22*'Envelope Register'!T22*'Envelope Register'!V22)</f>
        <v>12</v>
      </c>
      <c r="P22" s="6"/>
      <c r="Q22" s="6"/>
      <c r="R22" s="6"/>
    </row>
  </sheetData>
  <mergeCells count="2">
    <mergeCell ref="A2:R2"/>
    <mergeCell ref="E5:J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4" min="3" style="0" width="38"/>
  </cols>
  <sheetData>
    <row r="2" customFormat="false" ht="18.55" hidden="false" customHeight="false" outlineLevel="0" collapsed="false">
      <c r="A2" s="1" t="s">
        <v>43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/>
      <c r="B4" s="6"/>
      <c r="C4" s="6"/>
      <c r="D4" s="6"/>
    </row>
    <row r="5" customFormat="false" ht="30" hidden="false" customHeight="true" outlineLevel="0" collapsed="false">
      <c r="A5" s="3" t="s">
        <v>44</v>
      </c>
      <c r="B5" s="4" t="s">
        <v>2</v>
      </c>
      <c r="C5" s="4" t="s">
        <v>45</v>
      </c>
      <c r="D5" s="5" t="s">
        <v>46</v>
      </c>
    </row>
    <row r="6" customFormat="false" ht="15" hidden="false" customHeight="false" outlineLevel="0" collapsed="false">
      <c r="A6" s="7" t="s">
        <v>47</v>
      </c>
      <c r="B6" s="15" t="n">
        <v>6</v>
      </c>
      <c r="C6" s="7" t="s">
        <v>48</v>
      </c>
      <c r="D6" s="7" t="s">
        <v>49</v>
      </c>
    </row>
    <row r="7" customFormat="false" ht="15" hidden="false" customHeight="false" outlineLevel="0" collapsed="false">
      <c r="A7" s="11" t="s">
        <v>50</v>
      </c>
      <c r="B7" s="16" t="n">
        <v>18</v>
      </c>
      <c r="C7" s="11" t="s">
        <v>48</v>
      </c>
      <c r="D7" s="11" t="s">
        <v>51</v>
      </c>
    </row>
    <row r="8" customFormat="false" ht="15" hidden="false" customHeight="false" outlineLevel="0" collapsed="false">
      <c r="A8" s="11" t="s">
        <v>52</v>
      </c>
      <c r="B8" s="16" t="n">
        <v>6</v>
      </c>
      <c r="C8" s="11" t="s">
        <v>48</v>
      </c>
      <c r="D8" s="11" t="s">
        <v>53</v>
      </c>
    </row>
    <row r="9" customFormat="false" ht="15" hidden="false" customHeight="false" outlineLevel="0" collapsed="false">
      <c r="A9" s="11" t="s">
        <v>54</v>
      </c>
      <c r="B9" s="17" t="n">
        <v>0.035</v>
      </c>
      <c r="C9" s="11" t="s">
        <v>55</v>
      </c>
      <c r="D9" s="11" t="s">
        <v>56</v>
      </c>
    </row>
    <row r="10" customFormat="false" ht="15" hidden="false" customHeight="false" outlineLevel="0" collapsed="false">
      <c r="A10" s="11" t="s">
        <v>57</v>
      </c>
      <c r="B10" s="17" t="n">
        <v>0.055</v>
      </c>
      <c r="C10" s="11" t="s">
        <v>58</v>
      </c>
      <c r="D10" s="11" t="s">
        <v>56</v>
      </c>
    </row>
    <row r="11" customFormat="false" ht="15" hidden="false" customHeight="false" outlineLevel="0" collapsed="false">
      <c r="A11" s="11" t="s">
        <v>59</v>
      </c>
      <c r="B11" s="17" t="n">
        <v>0.045</v>
      </c>
      <c r="C11" s="11" t="s">
        <v>60</v>
      </c>
      <c r="D11" s="11" t="s">
        <v>61</v>
      </c>
    </row>
    <row r="12" customFormat="false" ht="15" hidden="false" customHeight="false" outlineLevel="0" collapsed="false">
      <c r="A12" s="11" t="s">
        <v>62</v>
      </c>
      <c r="B12" s="17" t="n">
        <v>0.1</v>
      </c>
      <c r="C12" s="11" t="s">
        <v>63</v>
      </c>
      <c r="D12" s="11" t="s">
        <v>56</v>
      </c>
    </row>
    <row r="13" customFormat="false" ht="15" hidden="false" customHeight="false" outlineLevel="0" collapsed="false">
      <c r="A13" s="11" t="s">
        <v>64</v>
      </c>
      <c r="B13" s="17" t="n">
        <v>0.15</v>
      </c>
      <c r="C13" s="11" t="s">
        <v>65</v>
      </c>
      <c r="D13" s="11" t="s">
        <v>66</v>
      </c>
    </row>
    <row r="14" customFormat="false" ht="15" hidden="false" customHeight="false" outlineLevel="0" collapsed="false">
      <c r="A14" s="11" t="s">
        <v>31</v>
      </c>
      <c r="B14" s="18" t="n">
        <v>0</v>
      </c>
      <c r="C14" s="11" t="s">
        <v>48</v>
      </c>
      <c r="D14" s="11" t="s">
        <v>67</v>
      </c>
    </row>
    <row r="15" customFormat="false" ht="15" hidden="false" customHeight="false" outlineLevel="0" collapsed="false">
      <c r="A15" s="11" t="s">
        <v>33</v>
      </c>
      <c r="B15" s="18" t="n">
        <v>0</v>
      </c>
      <c r="C15" s="11" t="s">
        <v>48</v>
      </c>
      <c r="D15" s="11" t="s">
        <v>68</v>
      </c>
    </row>
    <row r="16" customFormat="false" ht="15" hidden="false" customHeight="false" outlineLevel="0" collapsed="false">
      <c r="A16" s="11" t="s">
        <v>69</v>
      </c>
      <c r="B16" s="18" t="n">
        <v>0</v>
      </c>
      <c r="C16" s="11" t="s">
        <v>48</v>
      </c>
      <c r="D16" s="11" t="s">
        <v>70</v>
      </c>
    </row>
    <row r="17" customFormat="false" ht="15" hidden="false" customHeight="false" outlineLevel="0" collapsed="false">
      <c r="A17" s="13" t="s">
        <v>71</v>
      </c>
      <c r="B17" s="19" t="n">
        <v>0</v>
      </c>
      <c r="C17" s="13" t="s">
        <v>72</v>
      </c>
      <c r="D17" s="13" t="s">
        <v>73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48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1" min="10" style="0" width="16"/>
    <col collapsed="false" customWidth="true" hidden="false" outlineLevel="0" max="13" min="12" style="0" width="15"/>
    <col collapsed="false" customWidth="true" hidden="false" outlineLevel="0" max="15" min="14" style="0" width="16"/>
    <col collapsed="false" customWidth="true" hidden="false" outlineLevel="0" max="17" min="16" style="0" width="15"/>
    <col collapsed="false" customWidth="true" hidden="false" outlineLevel="0" max="19" min="18" style="0" width="20"/>
    <col collapsed="false" customWidth="true" hidden="false" outlineLevel="0" max="21" min="20" style="0" width="19"/>
    <col collapsed="false" customWidth="true" hidden="false" outlineLevel="0" max="23" min="22" style="0" width="20"/>
    <col collapsed="false" customWidth="true" hidden="false" outlineLevel="0" max="25" min="24" style="0" width="15"/>
    <col collapsed="false" customWidth="true" hidden="false" outlineLevel="0" max="26" min="26" style="0" width="22"/>
    <col collapsed="false" customWidth="true" hidden="false" outlineLevel="0" max="27" min="27" style="0" width="12"/>
    <col collapsed="false" customWidth="true" hidden="false" outlineLevel="0" max="28" min="28" style="0" width="19"/>
    <col collapsed="false" customWidth="true" hidden="false" outlineLevel="0" max="29" min="29" style="0" width="20"/>
    <col collapsed="false" customWidth="true" hidden="false" outlineLevel="0" max="30" min="30" style="0" width="15"/>
    <col collapsed="false" customWidth="true" hidden="false" outlineLevel="0" max="31" min="31" style="0" width="28"/>
    <col collapsed="false" customWidth="true" hidden="false" outlineLevel="0" max="32" min="32" style="0" width="22"/>
  </cols>
  <sheetData>
    <row r="2" customFormat="false" ht="18.55" hidden="false" customHeight="false" outlineLevel="0" collapsed="false">
      <c r="A2" s="1" t="s">
        <v>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30" hidden="false" customHeight="true" outlineLevel="0" collapsed="false">
      <c r="A4" s="3" t="s">
        <v>75</v>
      </c>
      <c r="B4" s="4" t="s">
        <v>76</v>
      </c>
      <c r="C4" s="4" t="s">
        <v>77</v>
      </c>
      <c r="D4" s="4" t="s">
        <v>78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  <c r="M4" s="4" t="s">
        <v>87</v>
      </c>
      <c r="N4" s="4" t="s">
        <v>88</v>
      </c>
      <c r="O4" s="4" t="s">
        <v>89</v>
      </c>
      <c r="P4" s="4" t="s">
        <v>90</v>
      </c>
      <c r="Q4" s="4" t="s">
        <v>91</v>
      </c>
      <c r="R4" s="4" t="s">
        <v>92</v>
      </c>
      <c r="S4" s="4" t="s">
        <v>93</v>
      </c>
      <c r="T4" s="4" t="s">
        <v>94</v>
      </c>
      <c r="U4" s="4" t="s">
        <v>95</v>
      </c>
      <c r="V4" s="4" t="s">
        <v>96</v>
      </c>
      <c r="W4" s="4" t="s">
        <v>97</v>
      </c>
      <c r="X4" s="4" t="s">
        <v>98</v>
      </c>
      <c r="Y4" s="4" t="s">
        <v>99</v>
      </c>
      <c r="Z4" s="4" t="s">
        <v>100</v>
      </c>
      <c r="AA4" s="4" t="s">
        <v>101</v>
      </c>
      <c r="AB4" s="4" t="s">
        <v>102</v>
      </c>
      <c r="AC4" s="4" t="s">
        <v>103</v>
      </c>
      <c r="AD4" s="4" t="s">
        <v>104</v>
      </c>
      <c r="AE4" s="4" t="s">
        <v>105</v>
      </c>
      <c r="AF4" s="5" t="s">
        <v>106</v>
      </c>
    </row>
    <row r="5" customFormat="false" ht="15" hidden="false" customHeight="false" outlineLevel="0" collapsed="false">
      <c r="A5" s="7" t="s">
        <v>10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8" t="n">
        <v>2</v>
      </c>
      <c r="I5" s="8" t="n">
        <v>2</v>
      </c>
      <c r="J5" s="8" t="n">
        <v>160</v>
      </c>
      <c r="K5" s="8" t="n">
        <v>210</v>
      </c>
      <c r="L5" s="8" t="n">
        <v>90</v>
      </c>
      <c r="M5" s="8" t="n">
        <v>130</v>
      </c>
      <c r="N5" s="8" t="n">
        <v>26</v>
      </c>
      <c r="O5" s="8" t="n">
        <v>36</v>
      </c>
      <c r="P5" s="8" t="n">
        <v>8</v>
      </c>
      <c r="Q5" s="8" t="n">
        <v>12</v>
      </c>
      <c r="R5" s="8" t="n">
        <v>130</v>
      </c>
      <c r="S5" s="8" t="n">
        <v>180</v>
      </c>
      <c r="T5" s="8" t="n">
        <v>25</v>
      </c>
      <c r="U5" s="8" t="n">
        <v>40</v>
      </c>
      <c r="V5" s="8" t="n">
        <v>25</v>
      </c>
      <c r="W5" s="8" t="n">
        <v>35</v>
      </c>
      <c r="X5" s="8" t="n">
        <v>1000</v>
      </c>
      <c r="Y5" s="8" t="n">
        <v>3000</v>
      </c>
      <c r="Z5" s="7"/>
      <c r="AA5" s="8" t="n">
        <v>0</v>
      </c>
      <c r="AB5" s="8" t="n">
        <v>0</v>
      </c>
      <c r="AC5" s="8" t="n">
        <f aca="false">COUNTIF($E$5:$E$22,E5)</f>
        <v>1</v>
      </c>
      <c r="AD5" s="7" t="str">
        <f aca="false">IF(AND(H5&gt;=I5,J5&gt;0,K5&gt;=J5,L5&gt;0,M5&gt;=L5,N5&gt;0,O5&gt;=N5,P5&gt;=0,Q5&gt;=P5,R5&gt;0,S5&gt;=R5,T5&gt;0,U5&gt;=T5,V5&gt;0,W5&gt;=V5,X5&gt;0,Y5&gt;=X5),"PASS","FAIL")</f>
        <v>PASS</v>
      </c>
      <c r="AE5" s="7" t="str">
        <f aca="false">IF(AND(AC5=1,AF5=1,AD5="PASS",Z5="",AA5=0,AB5=0),"DIMENSIONED / UNSELECTED","FAIL")</f>
        <v>DIMENSIONED / UNSELECTED</v>
      </c>
      <c r="AF5" s="8" t="n">
        <f aca="false">COUNTIF($A$5:$A$22,A5)</f>
        <v>1</v>
      </c>
    </row>
    <row r="6" customFormat="false" ht="15" hidden="false" customHeight="false" outlineLevel="0" collapsed="false">
      <c r="A6" s="11" t="s">
        <v>12</v>
      </c>
      <c r="B6" s="11" t="s">
        <v>107</v>
      </c>
      <c r="C6" s="11" t="s">
        <v>113</v>
      </c>
      <c r="D6" s="11" t="s">
        <v>114</v>
      </c>
      <c r="E6" s="11" t="s">
        <v>115</v>
      </c>
      <c r="F6" s="11" t="s">
        <v>116</v>
      </c>
      <c r="G6" s="11" t="s">
        <v>117</v>
      </c>
      <c r="H6" s="12" t="n">
        <v>2</v>
      </c>
      <c r="I6" s="12" t="n">
        <v>2</v>
      </c>
      <c r="J6" s="12" t="n">
        <v>260</v>
      </c>
      <c r="K6" s="12" t="n">
        <v>360</v>
      </c>
      <c r="L6" s="12" t="n">
        <v>45</v>
      </c>
      <c r="M6" s="12" t="n">
        <v>70</v>
      </c>
      <c r="N6" s="12" t="n">
        <v>22</v>
      </c>
      <c r="O6" s="12" t="n">
        <v>32</v>
      </c>
      <c r="P6" s="12" t="n">
        <v>6</v>
      </c>
      <c r="Q6" s="12" t="n">
        <v>10</v>
      </c>
      <c r="R6" s="12" t="n">
        <v>35</v>
      </c>
      <c r="S6" s="12" t="n">
        <v>60</v>
      </c>
      <c r="T6" s="12" t="n">
        <v>25</v>
      </c>
      <c r="U6" s="12" t="n">
        <v>40</v>
      </c>
      <c r="V6" s="12" t="n">
        <v>18</v>
      </c>
      <c r="W6" s="12" t="n">
        <v>28</v>
      </c>
      <c r="X6" s="12" t="n">
        <v>1500</v>
      </c>
      <c r="Y6" s="12" t="n">
        <v>5000</v>
      </c>
      <c r="Z6" s="11"/>
      <c r="AA6" s="12" t="n">
        <v>0</v>
      </c>
      <c r="AB6" s="12" t="n">
        <v>0</v>
      </c>
      <c r="AC6" s="12" t="n">
        <f aca="false">COUNTIF($E$5:$E$22,E6)</f>
        <v>1</v>
      </c>
      <c r="AD6" s="11" t="str">
        <f aca="false">IF(AND(H6&gt;=I6,J6&gt;0,K6&gt;=J6,L6&gt;0,M6&gt;=L6,N6&gt;0,O6&gt;=N6,P6&gt;=0,Q6&gt;=P6,R6&gt;0,S6&gt;=R6,T6&gt;0,U6&gt;=T6,V6&gt;0,W6&gt;=V6,X6&gt;0,Y6&gt;=X6),"PASS","FAIL")</f>
        <v>PASS</v>
      </c>
      <c r="AE6" s="11" t="str">
        <f aca="false">IF(AND(AC6=1,AF6=1,AD6="PASS",Z6="",AA6=0,AB6=0),"DIMENSIONED / UNSELECTED","FAIL")</f>
        <v>DIMENSIONED / UNSELECTED</v>
      </c>
      <c r="AF6" s="12" t="n">
        <f aca="false">COUNTIF($A$5:$A$22,A6)</f>
        <v>1</v>
      </c>
    </row>
    <row r="7" customFormat="false" ht="15" hidden="false" customHeight="false" outlineLevel="0" collapsed="false">
      <c r="A7" s="11" t="s">
        <v>15</v>
      </c>
      <c r="B7" s="11" t="s">
        <v>107</v>
      </c>
      <c r="C7" s="11" t="s">
        <v>118</v>
      </c>
      <c r="D7" s="11" t="s">
        <v>119</v>
      </c>
      <c r="E7" s="11" t="s">
        <v>120</v>
      </c>
      <c r="F7" s="11" t="s">
        <v>121</v>
      </c>
      <c r="G7" s="11" t="s">
        <v>122</v>
      </c>
      <c r="H7" s="12" t="n">
        <v>2</v>
      </c>
      <c r="I7" s="12" t="n">
        <v>2</v>
      </c>
      <c r="J7" s="12" t="n">
        <v>190</v>
      </c>
      <c r="K7" s="12" t="n">
        <v>260</v>
      </c>
      <c r="L7" s="12" t="n">
        <v>100</v>
      </c>
      <c r="M7" s="12" t="n">
        <v>150</v>
      </c>
      <c r="N7" s="12" t="n">
        <v>20</v>
      </c>
      <c r="O7" s="12" t="n">
        <v>30</v>
      </c>
      <c r="P7" s="12" t="n">
        <v>12</v>
      </c>
      <c r="Q7" s="12" t="n">
        <v>18</v>
      </c>
      <c r="R7" s="12" t="n">
        <v>45</v>
      </c>
      <c r="S7" s="12" t="n">
        <v>80</v>
      </c>
      <c r="T7" s="12" t="n">
        <v>35</v>
      </c>
      <c r="U7" s="12" t="n">
        <v>55</v>
      </c>
      <c r="V7" s="12" t="n">
        <v>18</v>
      </c>
      <c r="W7" s="12" t="n">
        <v>28</v>
      </c>
      <c r="X7" s="12" t="n">
        <v>1000</v>
      </c>
      <c r="Y7" s="12" t="n">
        <v>3000</v>
      </c>
      <c r="Z7" s="11"/>
      <c r="AA7" s="12" t="n">
        <v>0</v>
      </c>
      <c r="AB7" s="12" t="n">
        <v>0</v>
      </c>
      <c r="AC7" s="12" t="n">
        <f aca="false">COUNTIF($E$5:$E$22,E7)</f>
        <v>1</v>
      </c>
      <c r="AD7" s="11" t="str">
        <f aca="false">IF(AND(H7&gt;=I7,J7&gt;0,K7&gt;=J7,L7&gt;0,M7&gt;=L7,N7&gt;0,O7&gt;=N7,P7&gt;=0,Q7&gt;=P7,R7&gt;0,S7&gt;=R7,T7&gt;0,U7&gt;=T7,V7&gt;0,W7&gt;=V7,X7&gt;0,Y7&gt;=X7),"PASS","FAIL")</f>
        <v>PASS</v>
      </c>
      <c r="AE7" s="11" t="str">
        <f aca="false">IF(AND(AC7=1,AF7=1,AD7="PASS",Z7="",AA7=0,AB7=0),"DIMENSIONED / UNSELECTED","FAIL")</f>
        <v>DIMENSIONED / UNSELECTED</v>
      </c>
      <c r="AF7" s="12" t="n">
        <f aca="false">COUNTIF($A$5:$A$22,A7)</f>
        <v>1</v>
      </c>
    </row>
    <row r="8" customFormat="false" ht="15" hidden="false" customHeight="false" outlineLevel="0" collapsed="false">
      <c r="A8" s="11" t="s">
        <v>17</v>
      </c>
      <c r="B8" s="11" t="s">
        <v>123</v>
      </c>
      <c r="C8" s="11" t="s">
        <v>108</v>
      </c>
      <c r="D8" s="11" t="s">
        <v>124</v>
      </c>
      <c r="E8" s="11" t="s">
        <v>125</v>
      </c>
      <c r="F8" s="11" t="s">
        <v>126</v>
      </c>
      <c r="G8" s="11" t="s">
        <v>127</v>
      </c>
      <c r="H8" s="12" t="n">
        <v>5</v>
      </c>
      <c r="I8" s="12" t="n">
        <v>5</v>
      </c>
      <c r="J8" s="12" t="n">
        <v>450</v>
      </c>
      <c r="K8" s="12" t="n">
        <v>900</v>
      </c>
      <c r="L8" s="12" t="n">
        <v>18</v>
      </c>
      <c r="M8" s="12" t="n">
        <v>30</v>
      </c>
      <c r="N8" s="12" t="n">
        <v>30</v>
      </c>
      <c r="O8" s="12" t="n">
        <v>55</v>
      </c>
      <c r="P8" s="12" t="n">
        <v>0</v>
      </c>
      <c r="Q8" s="12" t="n">
        <v>0</v>
      </c>
      <c r="R8" s="12" t="n">
        <v>60</v>
      </c>
      <c r="S8" s="12" t="n">
        <v>120</v>
      </c>
      <c r="T8" s="12" t="n">
        <v>12</v>
      </c>
      <c r="U8" s="12" t="n">
        <v>20</v>
      </c>
      <c r="V8" s="12" t="n">
        <v>12</v>
      </c>
      <c r="W8" s="12" t="n">
        <v>20</v>
      </c>
      <c r="X8" s="12" t="n">
        <v>1000</v>
      </c>
      <c r="Y8" s="12" t="n">
        <v>3000</v>
      </c>
      <c r="Z8" s="11"/>
      <c r="AA8" s="12" t="n">
        <v>0</v>
      </c>
      <c r="AB8" s="12" t="n">
        <v>0</v>
      </c>
      <c r="AC8" s="12" t="n">
        <f aca="false">COUNTIF($E$5:$E$22,E8)</f>
        <v>1</v>
      </c>
      <c r="AD8" s="11" t="str">
        <f aca="false">IF(AND(H8&gt;=I8,J8&gt;0,K8&gt;=J8,L8&gt;0,M8&gt;=L8,N8&gt;0,O8&gt;=N8,P8&gt;=0,Q8&gt;=P8,R8&gt;0,S8&gt;=R8,T8&gt;0,U8&gt;=T8,V8&gt;0,W8&gt;=V8,X8&gt;0,Y8&gt;=X8),"PASS","FAIL")</f>
        <v>PASS</v>
      </c>
      <c r="AE8" s="11" t="str">
        <f aca="false">IF(AND(AC8=1,AF8=1,AD8="PASS",Z8="",AA8=0,AB8=0),"DIMENSIONED / UNSELECTED","FAIL")</f>
        <v>DIMENSIONED / UNSELECTED</v>
      </c>
      <c r="AF8" s="12" t="n">
        <f aca="false">COUNTIF($A$5:$A$22,A8)</f>
        <v>1</v>
      </c>
    </row>
    <row r="9" customFormat="false" ht="15" hidden="false" customHeight="false" outlineLevel="0" collapsed="false">
      <c r="A9" s="11" t="s">
        <v>19</v>
      </c>
      <c r="B9" s="11" t="s">
        <v>123</v>
      </c>
      <c r="C9" s="11" t="s">
        <v>113</v>
      </c>
      <c r="D9" s="11" t="s">
        <v>128</v>
      </c>
      <c r="E9" s="11" t="s">
        <v>129</v>
      </c>
      <c r="F9" s="11" t="s">
        <v>130</v>
      </c>
      <c r="G9" s="11" t="s">
        <v>131</v>
      </c>
      <c r="H9" s="12" t="n">
        <v>5</v>
      </c>
      <c r="I9" s="12" t="n">
        <v>5</v>
      </c>
      <c r="J9" s="12" t="n">
        <v>800</v>
      </c>
      <c r="K9" s="12" t="n">
        <v>2000</v>
      </c>
      <c r="L9" s="12" t="n">
        <v>12</v>
      </c>
      <c r="M9" s="12" t="n">
        <v>22</v>
      </c>
      <c r="N9" s="12" t="n">
        <v>45</v>
      </c>
      <c r="O9" s="12" t="n">
        <v>120</v>
      </c>
      <c r="P9" s="12" t="n">
        <v>0</v>
      </c>
      <c r="Q9" s="12" t="n">
        <v>0</v>
      </c>
      <c r="R9" s="12" t="n">
        <v>100</v>
      </c>
      <c r="S9" s="12" t="n">
        <v>250</v>
      </c>
      <c r="T9" s="12" t="n">
        <v>6</v>
      </c>
      <c r="U9" s="12" t="n">
        <v>10</v>
      </c>
      <c r="V9" s="12" t="n">
        <v>6</v>
      </c>
      <c r="W9" s="12" t="n">
        <v>12</v>
      </c>
      <c r="X9" s="12" t="n">
        <v>2000</v>
      </c>
      <c r="Y9" s="12" t="n">
        <v>6000</v>
      </c>
      <c r="Z9" s="11"/>
      <c r="AA9" s="12" t="n">
        <v>0</v>
      </c>
      <c r="AB9" s="12" t="n">
        <v>0</v>
      </c>
      <c r="AC9" s="12" t="n">
        <f aca="false">COUNTIF($E$5:$E$22,E9)</f>
        <v>1</v>
      </c>
      <c r="AD9" s="11" t="str">
        <f aca="false">IF(AND(H9&gt;=I9,J9&gt;0,K9&gt;=J9,L9&gt;0,M9&gt;=L9,N9&gt;0,O9&gt;=N9,P9&gt;=0,Q9&gt;=P9,R9&gt;0,S9&gt;=R9,T9&gt;0,U9&gt;=T9,V9&gt;0,W9&gt;=V9,X9&gt;0,Y9&gt;=X9),"PASS","FAIL")</f>
        <v>PASS</v>
      </c>
      <c r="AE9" s="11" t="str">
        <f aca="false">IF(AND(AC9=1,AF9=1,AD9="PASS",Z9="",AA9=0,AB9=0),"DIMENSIONED / UNSELECTED","FAIL")</f>
        <v>DIMENSIONED / UNSELECTED</v>
      </c>
      <c r="AF9" s="12" t="n">
        <f aca="false">COUNTIF($A$5:$A$22,A9)</f>
        <v>1</v>
      </c>
    </row>
    <row r="10" customFormat="false" ht="15" hidden="false" customHeight="false" outlineLevel="0" collapsed="false">
      <c r="A10" s="11" t="s">
        <v>21</v>
      </c>
      <c r="B10" s="11" t="s">
        <v>123</v>
      </c>
      <c r="C10" s="11" t="s">
        <v>118</v>
      </c>
      <c r="D10" s="11" t="s">
        <v>132</v>
      </c>
      <c r="E10" s="11" t="s">
        <v>133</v>
      </c>
      <c r="F10" s="11" t="s">
        <v>134</v>
      </c>
      <c r="G10" s="11" t="s">
        <v>135</v>
      </c>
      <c r="H10" s="12" t="n">
        <v>5</v>
      </c>
      <c r="I10" s="12" t="n">
        <v>5</v>
      </c>
      <c r="J10" s="12" t="n">
        <v>600</v>
      </c>
      <c r="K10" s="12" t="n">
        <v>1500</v>
      </c>
      <c r="L10" s="12" t="n">
        <v>600</v>
      </c>
      <c r="M10" s="12" t="n">
        <v>1500</v>
      </c>
      <c r="N10" s="12" t="n">
        <v>35</v>
      </c>
      <c r="O10" s="12" t="n">
        <v>90</v>
      </c>
      <c r="P10" s="12" t="n">
        <v>0</v>
      </c>
      <c r="Q10" s="12" t="n">
        <v>0</v>
      </c>
      <c r="R10" s="12" t="n">
        <v>10</v>
      </c>
      <c r="S10" s="12" t="n">
        <v>18</v>
      </c>
      <c r="T10" s="12" t="n">
        <v>10</v>
      </c>
      <c r="U10" s="12" t="n">
        <v>18</v>
      </c>
      <c r="V10" s="12" t="n">
        <v>35</v>
      </c>
      <c r="W10" s="12" t="n">
        <v>90</v>
      </c>
      <c r="X10" s="12" t="n">
        <v>3000</v>
      </c>
      <c r="Y10" s="12" t="n">
        <v>10000</v>
      </c>
      <c r="Z10" s="11"/>
      <c r="AA10" s="12" t="n">
        <v>0</v>
      </c>
      <c r="AB10" s="12" t="n">
        <v>0</v>
      </c>
      <c r="AC10" s="12" t="n">
        <f aca="false">COUNTIF($E$5:$E$22,E10)</f>
        <v>1</v>
      </c>
      <c r="AD10" s="11" t="str">
        <f aca="false">IF(AND(H10&gt;=I10,J10&gt;0,K10&gt;=J10,L10&gt;0,M10&gt;=L10,N10&gt;0,O10&gt;=N10,P10&gt;=0,Q10&gt;=P10,R10&gt;0,S10&gt;=R10,T10&gt;0,U10&gt;=T10,V10&gt;0,W10&gt;=V10,X10&gt;0,Y10&gt;=X10),"PASS","FAIL")</f>
        <v>PASS</v>
      </c>
      <c r="AE10" s="11" t="str">
        <f aca="false">IF(AND(AC10=1,AF10=1,AD10="PASS",Z10="",AA10=0,AB10=0),"DIMENSIONED / UNSELECTED","FAIL")</f>
        <v>DIMENSIONED / UNSELECTED</v>
      </c>
      <c r="AF10" s="12" t="n">
        <f aca="false">COUNTIF($A$5:$A$22,A10)</f>
        <v>1</v>
      </c>
    </row>
    <row r="11" customFormat="false" ht="15" hidden="false" customHeight="false" outlineLevel="0" collapsed="false">
      <c r="A11" s="11" t="s">
        <v>24</v>
      </c>
      <c r="B11" s="11" t="s">
        <v>136</v>
      </c>
      <c r="C11" s="11" t="s">
        <v>108</v>
      </c>
      <c r="D11" s="11" t="s">
        <v>137</v>
      </c>
      <c r="E11" s="11" t="s">
        <v>138</v>
      </c>
      <c r="F11" s="11" t="s">
        <v>139</v>
      </c>
      <c r="G11" s="11" t="s">
        <v>140</v>
      </c>
      <c r="H11" s="12" t="n">
        <v>5</v>
      </c>
      <c r="I11" s="12" t="n">
        <v>5</v>
      </c>
      <c r="J11" s="12" t="n">
        <v>1000</v>
      </c>
      <c r="K11" s="12" t="n">
        <v>5000</v>
      </c>
      <c r="L11" s="12" t="n">
        <v>5000</v>
      </c>
      <c r="M11" s="12" t="n">
        <v>15000</v>
      </c>
      <c r="N11" s="12" t="n">
        <v>1000</v>
      </c>
      <c r="O11" s="12" t="n">
        <v>5000</v>
      </c>
      <c r="P11" s="12" t="n">
        <v>0</v>
      </c>
      <c r="Q11" s="12" t="n">
        <v>0</v>
      </c>
      <c r="R11" s="12" t="n">
        <v>35</v>
      </c>
      <c r="S11" s="12" t="n">
        <v>55</v>
      </c>
      <c r="T11" s="12" t="n">
        <v>50</v>
      </c>
      <c r="U11" s="12" t="n">
        <v>80</v>
      </c>
      <c r="V11" s="12" t="n">
        <v>10</v>
      </c>
      <c r="W11" s="12" t="n">
        <v>16</v>
      </c>
      <c r="X11" s="12" t="n">
        <v>5000</v>
      </c>
      <c r="Y11" s="12" t="n">
        <v>30000</v>
      </c>
      <c r="Z11" s="11"/>
      <c r="AA11" s="12" t="n">
        <v>0</v>
      </c>
      <c r="AB11" s="12" t="n">
        <v>0</v>
      </c>
      <c r="AC11" s="12" t="n">
        <f aca="false">COUNTIF($E$5:$E$22,E11)</f>
        <v>1</v>
      </c>
      <c r="AD11" s="11" t="str">
        <f aca="false">IF(AND(H11&gt;=I11,J11&gt;0,K11&gt;=J11,L11&gt;0,M11&gt;=L11,N11&gt;0,O11&gt;=N11,P11&gt;=0,Q11&gt;=P11,R11&gt;0,S11&gt;=R11,T11&gt;0,U11&gt;=T11,V11&gt;0,W11&gt;=V11,X11&gt;0,Y11&gt;=X11),"PASS","FAIL")</f>
        <v>PASS</v>
      </c>
      <c r="AE11" s="11" t="str">
        <f aca="false">IF(AND(AC11=1,AF11=1,AD11="PASS",Z11="",AA11=0,AB11=0),"DIMENSIONED / UNSELECTED","FAIL")</f>
        <v>DIMENSIONED / UNSELECTED</v>
      </c>
      <c r="AF11" s="12" t="n">
        <f aca="false">COUNTIF($A$5:$A$22,A11)</f>
        <v>1</v>
      </c>
    </row>
    <row r="12" customFormat="false" ht="15" hidden="false" customHeight="false" outlineLevel="0" collapsed="false">
      <c r="A12" s="11" t="s">
        <v>27</v>
      </c>
      <c r="B12" s="11" t="s">
        <v>136</v>
      </c>
      <c r="C12" s="11" t="s">
        <v>113</v>
      </c>
      <c r="D12" s="11" t="s">
        <v>141</v>
      </c>
      <c r="E12" s="11" t="s">
        <v>142</v>
      </c>
      <c r="F12" s="11" t="s">
        <v>139</v>
      </c>
      <c r="G12" s="11" t="s">
        <v>143</v>
      </c>
      <c r="H12" s="12" t="n">
        <v>5</v>
      </c>
      <c r="I12" s="12" t="n">
        <v>5</v>
      </c>
      <c r="J12" s="12" t="n">
        <v>1000</v>
      </c>
      <c r="K12" s="12" t="n">
        <v>5000</v>
      </c>
      <c r="L12" s="12" t="n">
        <v>5000</v>
      </c>
      <c r="M12" s="12" t="n">
        <v>15000</v>
      </c>
      <c r="N12" s="12" t="n">
        <v>300</v>
      </c>
      <c r="O12" s="12" t="n">
        <v>1500</v>
      </c>
      <c r="P12" s="12" t="n">
        <v>0</v>
      </c>
      <c r="Q12" s="12" t="n">
        <v>0</v>
      </c>
      <c r="R12" s="12" t="n">
        <v>50</v>
      </c>
      <c r="S12" s="12" t="n">
        <v>90</v>
      </c>
      <c r="T12" s="12" t="n">
        <v>25</v>
      </c>
      <c r="U12" s="12" t="n">
        <v>50</v>
      </c>
      <c r="V12" s="12" t="n">
        <v>30</v>
      </c>
      <c r="W12" s="12" t="n">
        <v>60</v>
      </c>
      <c r="X12" s="12" t="n">
        <v>5000</v>
      </c>
      <c r="Y12" s="12" t="n">
        <v>30000</v>
      </c>
      <c r="Z12" s="11"/>
      <c r="AA12" s="12" t="n">
        <v>0</v>
      </c>
      <c r="AB12" s="12" t="n">
        <v>0</v>
      </c>
      <c r="AC12" s="12" t="n">
        <f aca="false">COUNTIF($E$5:$E$22,E12)</f>
        <v>1</v>
      </c>
      <c r="AD12" s="11" t="str">
        <f aca="false">IF(AND(H12&gt;=I12,J12&gt;0,K12&gt;=J12,L12&gt;0,M12&gt;=L12,N12&gt;0,O12&gt;=N12,P12&gt;=0,Q12&gt;=P12,R12&gt;0,S12&gt;=R12,T12&gt;0,U12&gt;=T12,V12&gt;0,W12&gt;=V12,X12&gt;0,Y12&gt;=X12),"PASS","FAIL")</f>
        <v>PASS</v>
      </c>
      <c r="AE12" s="11" t="str">
        <f aca="false">IF(AND(AC12=1,AF12=1,AD12="PASS",Z12="",AA12=0,AB12=0),"DIMENSIONED / UNSELECTED","FAIL")</f>
        <v>DIMENSIONED / UNSELECTED</v>
      </c>
      <c r="AF12" s="12" t="n">
        <f aca="false">COUNTIF($A$5:$A$22,A12)</f>
        <v>1</v>
      </c>
    </row>
    <row r="13" customFormat="false" ht="15" hidden="false" customHeight="false" outlineLevel="0" collapsed="false">
      <c r="A13" s="11" t="s">
        <v>30</v>
      </c>
      <c r="B13" s="11" t="s">
        <v>136</v>
      </c>
      <c r="C13" s="11" t="s">
        <v>118</v>
      </c>
      <c r="D13" s="11" t="s">
        <v>144</v>
      </c>
      <c r="E13" s="11" t="s">
        <v>145</v>
      </c>
      <c r="F13" s="11" t="s">
        <v>139</v>
      </c>
      <c r="G13" s="11" t="s">
        <v>146</v>
      </c>
      <c r="H13" s="12" t="n">
        <v>5</v>
      </c>
      <c r="I13" s="12" t="n">
        <v>5</v>
      </c>
      <c r="J13" s="12" t="n">
        <v>1000</v>
      </c>
      <c r="K13" s="12" t="n">
        <v>3000</v>
      </c>
      <c r="L13" s="12" t="n">
        <v>5000</v>
      </c>
      <c r="M13" s="12" t="n">
        <v>12000</v>
      </c>
      <c r="N13" s="12" t="n">
        <v>50</v>
      </c>
      <c r="O13" s="12" t="n">
        <v>500</v>
      </c>
      <c r="P13" s="12" t="n">
        <v>0</v>
      </c>
      <c r="Q13" s="12" t="n">
        <v>0</v>
      </c>
      <c r="R13" s="12" t="n">
        <v>12</v>
      </c>
      <c r="S13" s="12" t="n">
        <v>24</v>
      </c>
      <c r="T13" s="12" t="n">
        <v>12</v>
      </c>
      <c r="U13" s="12" t="n">
        <v>28</v>
      </c>
      <c r="V13" s="12" t="n">
        <v>4</v>
      </c>
      <c r="W13" s="12" t="n">
        <v>9</v>
      </c>
      <c r="X13" s="12" t="n">
        <v>3000</v>
      </c>
      <c r="Y13" s="12" t="n">
        <v>20000</v>
      </c>
      <c r="Z13" s="11"/>
      <c r="AA13" s="12" t="n">
        <v>0</v>
      </c>
      <c r="AB13" s="12" t="n">
        <v>0</v>
      </c>
      <c r="AC13" s="12" t="n">
        <f aca="false">COUNTIF($E$5:$E$22,E13)</f>
        <v>1</v>
      </c>
      <c r="AD13" s="11" t="str">
        <f aca="false">IF(AND(H13&gt;=I13,J13&gt;0,K13&gt;=J13,L13&gt;0,M13&gt;=L13,N13&gt;0,O13&gt;=N13,P13&gt;=0,Q13&gt;=P13,R13&gt;0,S13&gt;=R13,T13&gt;0,U13&gt;=T13,V13&gt;0,W13&gt;=V13,X13&gt;0,Y13&gt;=X13),"PASS","FAIL")</f>
        <v>PASS</v>
      </c>
      <c r="AE13" s="11" t="str">
        <f aca="false">IF(AND(AC13=1,AF13=1,AD13="PASS",Z13="",AA13=0,AB13=0),"DIMENSIONED / UNSELECTED","FAIL")</f>
        <v>DIMENSIONED / UNSELECTED</v>
      </c>
      <c r="AF13" s="12" t="n">
        <f aca="false">COUNTIF($A$5:$A$22,A13)</f>
        <v>1</v>
      </c>
    </row>
    <row r="14" customFormat="false" ht="15" hidden="false" customHeight="false" outlineLevel="0" collapsed="false">
      <c r="A14" s="11" t="s">
        <v>32</v>
      </c>
      <c r="B14" s="11" t="s">
        <v>147</v>
      </c>
      <c r="C14" s="11" t="s">
        <v>108</v>
      </c>
      <c r="D14" s="11" t="s">
        <v>148</v>
      </c>
      <c r="E14" s="11" t="s">
        <v>149</v>
      </c>
      <c r="F14" s="11" t="s">
        <v>150</v>
      </c>
      <c r="G14" s="11" t="s">
        <v>151</v>
      </c>
      <c r="H14" s="12" t="n">
        <v>9</v>
      </c>
      <c r="I14" s="12" t="n">
        <v>9</v>
      </c>
      <c r="J14" s="12" t="n">
        <v>500</v>
      </c>
      <c r="K14" s="12" t="n">
        <v>1500</v>
      </c>
      <c r="L14" s="12" t="n">
        <v>500</v>
      </c>
      <c r="M14" s="12" t="n">
        <v>1500</v>
      </c>
      <c r="N14" s="12" t="n">
        <v>20</v>
      </c>
      <c r="O14" s="12" t="n">
        <v>45</v>
      </c>
      <c r="P14" s="12" t="n">
        <v>2500</v>
      </c>
      <c r="Q14" s="12" t="n">
        <v>6000</v>
      </c>
      <c r="R14" s="12" t="n">
        <v>120</v>
      </c>
      <c r="S14" s="12" t="n">
        <v>250</v>
      </c>
      <c r="T14" s="12" t="n">
        <v>120</v>
      </c>
      <c r="U14" s="12" t="n">
        <v>250</v>
      </c>
      <c r="V14" s="12" t="n">
        <v>20</v>
      </c>
      <c r="W14" s="12" t="n">
        <v>45</v>
      </c>
      <c r="X14" s="12" t="n">
        <v>15500</v>
      </c>
      <c r="Y14" s="12" t="n">
        <v>30000</v>
      </c>
      <c r="Z14" s="11"/>
      <c r="AA14" s="12" t="n">
        <v>0</v>
      </c>
      <c r="AB14" s="12" t="n">
        <v>0</v>
      </c>
      <c r="AC14" s="12" t="n">
        <f aca="false">COUNTIF($E$5:$E$22,E14)</f>
        <v>1</v>
      </c>
      <c r="AD14" s="11" t="str">
        <f aca="false">IF(AND(H14&gt;=I14,J14&gt;0,K14&gt;=J14,L14&gt;0,M14&gt;=L14,N14&gt;0,O14&gt;=N14,P14&gt;=0,Q14&gt;=P14,R14&gt;0,S14&gt;=R14,T14&gt;0,U14&gt;=T14,V14&gt;0,W14&gt;=V14,X14&gt;0,Y14&gt;=X14),"PASS","FAIL")</f>
        <v>PASS</v>
      </c>
      <c r="AE14" s="11" t="str">
        <f aca="false">IF(AND(AC14=1,AF14=1,AD14="PASS",Z14="",AA14=0,AB14=0),"DIMENSIONED / UNSELECTED","FAIL")</f>
        <v>DIMENSIONED / UNSELECTED</v>
      </c>
      <c r="AF14" s="12" t="n">
        <f aca="false">COUNTIF($A$5:$A$22,A14)</f>
        <v>1</v>
      </c>
    </row>
    <row r="15" customFormat="false" ht="15" hidden="false" customHeight="false" outlineLevel="0" collapsed="false">
      <c r="A15" s="11" t="s">
        <v>34</v>
      </c>
      <c r="B15" s="11" t="s">
        <v>147</v>
      </c>
      <c r="C15" s="11" t="s">
        <v>113</v>
      </c>
      <c r="D15" s="11" t="s">
        <v>152</v>
      </c>
      <c r="E15" s="11" t="s">
        <v>153</v>
      </c>
      <c r="F15" s="11" t="s">
        <v>154</v>
      </c>
      <c r="G15" s="11" t="s">
        <v>155</v>
      </c>
      <c r="H15" s="12" t="n">
        <v>2</v>
      </c>
      <c r="I15" s="12" t="n">
        <v>2</v>
      </c>
      <c r="J15" s="12" t="n">
        <v>2000</v>
      </c>
      <c r="K15" s="12" t="n">
        <v>8000</v>
      </c>
      <c r="L15" s="12" t="n">
        <v>500</v>
      </c>
      <c r="M15" s="12" t="n">
        <v>2000</v>
      </c>
      <c r="N15" s="12" t="n">
        <v>20</v>
      </c>
      <c r="O15" s="12" t="n">
        <v>45</v>
      </c>
      <c r="P15" s="12" t="n">
        <v>2500</v>
      </c>
      <c r="Q15" s="12" t="n">
        <v>6000</v>
      </c>
      <c r="R15" s="12" t="n">
        <v>300</v>
      </c>
      <c r="S15" s="12" t="n">
        <v>800</v>
      </c>
      <c r="T15" s="12" t="n">
        <v>60</v>
      </c>
      <c r="U15" s="12" t="n">
        <v>140</v>
      </c>
      <c r="V15" s="12" t="n">
        <v>20</v>
      </c>
      <c r="W15" s="12" t="n">
        <v>45</v>
      </c>
      <c r="X15" s="12" t="n">
        <v>15500</v>
      </c>
      <c r="Y15" s="12" t="n">
        <v>40000</v>
      </c>
      <c r="Z15" s="11"/>
      <c r="AA15" s="12" t="n">
        <v>0</v>
      </c>
      <c r="AB15" s="12" t="n">
        <v>0</v>
      </c>
      <c r="AC15" s="12" t="n">
        <f aca="false">COUNTIF($E$5:$E$22,E15)</f>
        <v>1</v>
      </c>
      <c r="AD15" s="11" t="str">
        <f aca="false">IF(AND(H15&gt;=I15,J15&gt;0,K15&gt;=J15,L15&gt;0,M15&gt;=L15,N15&gt;0,O15&gt;=N15,P15&gt;=0,Q15&gt;=P15,R15&gt;0,S15&gt;=R15,T15&gt;0,U15&gt;=T15,V15&gt;0,W15&gt;=V15,X15&gt;0,Y15&gt;=X15),"PASS","FAIL")</f>
        <v>PASS</v>
      </c>
      <c r="AE15" s="11" t="str">
        <f aca="false">IF(AND(AC15=1,AF15=1,AD15="PASS",Z15="",AA15=0,AB15=0),"DIMENSIONED / UNSELECTED","FAIL")</f>
        <v>DIMENSIONED / UNSELECTED</v>
      </c>
      <c r="AF15" s="12" t="n">
        <f aca="false">COUNTIF($A$5:$A$22,A15)</f>
        <v>1</v>
      </c>
    </row>
    <row r="16" customFormat="false" ht="15" hidden="false" customHeight="false" outlineLevel="0" collapsed="false">
      <c r="A16" s="11" t="s">
        <v>36</v>
      </c>
      <c r="B16" s="11" t="s">
        <v>147</v>
      </c>
      <c r="C16" s="11" t="s">
        <v>118</v>
      </c>
      <c r="D16" s="11" t="s">
        <v>156</v>
      </c>
      <c r="E16" s="11" t="s">
        <v>157</v>
      </c>
      <c r="F16" s="11" t="s">
        <v>158</v>
      </c>
      <c r="G16" s="11" t="s">
        <v>159</v>
      </c>
      <c r="H16" s="12" t="n">
        <v>3</v>
      </c>
      <c r="I16" s="12" t="n">
        <v>3</v>
      </c>
      <c r="J16" s="12" t="n">
        <v>600</v>
      </c>
      <c r="K16" s="12" t="n">
        <v>1800</v>
      </c>
      <c r="L16" s="12" t="n">
        <v>600</v>
      </c>
      <c r="M16" s="12" t="n">
        <v>1800</v>
      </c>
      <c r="N16" s="12" t="n">
        <v>35</v>
      </c>
      <c r="O16" s="12" t="n">
        <v>70</v>
      </c>
      <c r="P16" s="12" t="n">
        <v>2500</v>
      </c>
      <c r="Q16" s="12" t="n">
        <v>6000</v>
      </c>
      <c r="R16" s="12" t="n">
        <v>80</v>
      </c>
      <c r="S16" s="12" t="n">
        <v>150</v>
      </c>
      <c r="T16" s="12" t="n">
        <v>80</v>
      </c>
      <c r="U16" s="12" t="n">
        <v>150</v>
      </c>
      <c r="V16" s="12" t="n">
        <v>35</v>
      </c>
      <c r="W16" s="12" t="n">
        <v>60</v>
      </c>
      <c r="X16" s="12" t="n">
        <v>15500</v>
      </c>
      <c r="Y16" s="12" t="n">
        <v>30000</v>
      </c>
      <c r="Z16" s="11"/>
      <c r="AA16" s="12" t="n">
        <v>0</v>
      </c>
      <c r="AB16" s="12" t="n">
        <v>0</v>
      </c>
      <c r="AC16" s="12" t="n">
        <f aca="false">COUNTIF($E$5:$E$22,E16)</f>
        <v>1</v>
      </c>
      <c r="AD16" s="11" t="str">
        <f aca="false">IF(AND(H16&gt;=I16,J16&gt;0,K16&gt;=J16,L16&gt;0,M16&gt;=L16,N16&gt;0,O16&gt;=N16,P16&gt;=0,Q16&gt;=P16,R16&gt;0,S16&gt;=R16,T16&gt;0,U16&gt;=T16,V16&gt;0,W16&gt;=V16,X16&gt;0,Y16&gt;=X16),"PASS","FAIL")</f>
        <v>PASS</v>
      </c>
      <c r="AE16" s="11" t="str">
        <f aca="false">IF(AND(AC16=1,AF16=1,AD16="PASS",Z16="",AA16=0,AB16=0),"DIMENSIONED / UNSELECTED","FAIL")</f>
        <v>DIMENSIONED / UNSELECTED</v>
      </c>
      <c r="AF16" s="12" t="n">
        <f aca="false">COUNTIF($A$5:$A$22,A16)</f>
        <v>1</v>
      </c>
    </row>
    <row r="17" customFormat="false" ht="15" hidden="false" customHeight="false" outlineLevel="0" collapsed="false">
      <c r="A17" s="11" t="s">
        <v>37</v>
      </c>
      <c r="B17" s="11" t="s">
        <v>160</v>
      </c>
      <c r="C17" s="11" t="s">
        <v>108</v>
      </c>
      <c r="D17" s="11" t="s">
        <v>161</v>
      </c>
      <c r="E17" s="11" t="s">
        <v>162</v>
      </c>
      <c r="F17" s="11" t="s">
        <v>163</v>
      </c>
      <c r="G17" s="11" t="s">
        <v>164</v>
      </c>
      <c r="H17" s="12" t="n">
        <v>8</v>
      </c>
      <c r="I17" s="12" t="n">
        <v>8</v>
      </c>
      <c r="J17" s="12" t="n">
        <v>200</v>
      </c>
      <c r="K17" s="12" t="n">
        <v>400</v>
      </c>
      <c r="L17" s="12" t="n">
        <v>200</v>
      </c>
      <c r="M17" s="12" t="n">
        <v>400</v>
      </c>
      <c r="N17" s="12" t="n">
        <v>12</v>
      </c>
      <c r="O17" s="12" t="n">
        <v>30</v>
      </c>
      <c r="P17" s="12" t="n">
        <v>0</v>
      </c>
      <c r="Q17" s="12" t="n">
        <v>0</v>
      </c>
      <c r="R17" s="12" t="n">
        <v>60</v>
      </c>
      <c r="S17" s="12" t="n">
        <v>120</v>
      </c>
      <c r="T17" s="12" t="n">
        <v>60</v>
      </c>
      <c r="U17" s="12" t="n">
        <v>120</v>
      </c>
      <c r="V17" s="12" t="n">
        <v>12</v>
      </c>
      <c r="W17" s="12" t="n">
        <v>30</v>
      </c>
      <c r="X17" s="12" t="n">
        <v>1000</v>
      </c>
      <c r="Y17" s="12" t="n">
        <v>5000</v>
      </c>
      <c r="Z17" s="11"/>
      <c r="AA17" s="12" t="n">
        <v>0</v>
      </c>
      <c r="AB17" s="12" t="n">
        <v>0</v>
      </c>
      <c r="AC17" s="12" t="n">
        <f aca="false">COUNTIF($E$5:$E$22,E17)</f>
        <v>1</v>
      </c>
      <c r="AD17" s="11" t="str">
        <f aca="false">IF(AND(H17&gt;=I17,J17&gt;0,K17&gt;=J17,L17&gt;0,M17&gt;=L17,N17&gt;0,O17&gt;=N17,P17&gt;=0,Q17&gt;=P17,R17&gt;0,S17&gt;=R17,T17&gt;0,U17&gt;=T17,V17&gt;0,W17&gt;=V17,X17&gt;0,Y17&gt;=X17),"PASS","FAIL")</f>
        <v>PASS</v>
      </c>
      <c r="AE17" s="11" t="str">
        <f aca="false">IF(AND(AC17=1,AF17=1,AD17="PASS",Z17="",AA17=0,AB17=0),"DIMENSIONED / UNSELECTED","FAIL")</f>
        <v>DIMENSIONED / UNSELECTED</v>
      </c>
      <c r="AF17" s="12" t="n">
        <f aca="false">COUNTIF($A$5:$A$22,A17)</f>
        <v>1</v>
      </c>
    </row>
    <row r="18" customFormat="false" ht="15" hidden="false" customHeight="false" outlineLevel="0" collapsed="false">
      <c r="A18" s="11" t="s">
        <v>38</v>
      </c>
      <c r="B18" s="11" t="s">
        <v>160</v>
      </c>
      <c r="C18" s="11" t="s">
        <v>113</v>
      </c>
      <c r="D18" s="11" t="s">
        <v>165</v>
      </c>
      <c r="E18" s="11" t="s">
        <v>166</v>
      </c>
      <c r="F18" s="11" t="s">
        <v>163</v>
      </c>
      <c r="G18" s="11" t="s">
        <v>167</v>
      </c>
      <c r="H18" s="12" t="n">
        <v>8</v>
      </c>
      <c r="I18" s="12" t="n">
        <v>8</v>
      </c>
      <c r="J18" s="12" t="n">
        <v>350</v>
      </c>
      <c r="K18" s="12" t="n">
        <v>800</v>
      </c>
      <c r="L18" s="12" t="n">
        <v>80</v>
      </c>
      <c r="M18" s="12" t="n">
        <v>180</v>
      </c>
      <c r="N18" s="12" t="n">
        <v>12</v>
      </c>
      <c r="O18" s="12" t="n">
        <v>30</v>
      </c>
      <c r="P18" s="12" t="n">
        <v>0</v>
      </c>
      <c r="Q18" s="12" t="n">
        <v>0</v>
      </c>
      <c r="R18" s="12" t="n">
        <v>50</v>
      </c>
      <c r="S18" s="12" t="n">
        <v>100</v>
      </c>
      <c r="T18" s="12" t="n">
        <v>50</v>
      </c>
      <c r="U18" s="12" t="n">
        <v>80</v>
      </c>
      <c r="V18" s="12" t="n">
        <v>12</v>
      </c>
      <c r="W18" s="12" t="n">
        <v>30</v>
      </c>
      <c r="X18" s="12" t="n">
        <v>1000</v>
      </c>
      <c r="Y18" s="12" t="n">
        <v>5000</v>
      </c>
      <c r="Z18" s="11"/>
      <c r="AA18" s="12" t="n">
        <v>0</v>
      </c>
      <c r="AB18" s="12" t="n">
        <v>0</v>
      </c>
      <c r="AC18" s="12" t="n">
        <f aca="false">COUNTIF($E$5:$E$22,E18)</f>
        <v>1</v>
      </c>
      <c r="AD18" s="11" t="str">
        <f aca="false">IF(AND(H18&gt;=I18,J18&gt;0,K18&gt;=J18,L18&gt;0,M18&gt;=L18,N18&gt;0,O18&gt;=N18,P18&gt;=0,Q18&gt;=P18,R18&gt;0,S18&gt;=R18,T18&gt;0,U18&gt;=T18,V18&gt;0,W18&gt;=V18,X18&gt;0,Y18&gt;=X18),"PASS","FAIL")</f>
        <v>PASS</v>
      </c>
      <c r="AE18" s="11" t="str">
        <f aca="false">IF(AND(AC18=1,AF18=1,AD18="PASS",Z18="",AA18=0,AB18=0),"DIMENSIONED / UNSELECTED","FAIL")</f>
        <v>DIMENSIONED / UNSELECTED</v>
      </c>
      <c r="AF18" s="12" t="n">
        <f aca="false">COUNTIF($A$5:$A$22,A18)</f>
        <v>1</v>
      </c>
    </row>
    <row r="19" customFormat="false" ht="15" hidden="false" customHeight="false" outlineLevel="0" collapsed="false">
      <c r="A19" s="11" t="s">
        <v>39</v>
      </c>
      <c r="B19" s="11" t="s">
        <v>160</v>
      </c>
      <c r="C19" s="11" t="s">
        <v>118</v>
      </c>
      <c r="D19" s="11" t="s">
        <v>168</v>
      </c>
      <c r="E19" s="11" t="s">
        <v>169</v>
      </c>
      <c r="F19" s="11" t="s">
        <v>163</v>
      </c>
      <c r="G19" s="11" t="s">
        <v>170</v>
      </c>
      <c r="H19" s="12" t="n">
        <v>2</v>
      </c>
      <c r="I19" s="12" t="n">
        <v>2</v>
      </c>
      <c r="J19" s="12" t="n">
        <v>180</v>
      </c>
      <c r="K19" s="12" t="n">
        <v>300</v>
      </c>
      <c r="L19" s="12" t="n">
        <v>80</v>
      </c>
      <c r="M19" s="12" t="n">
        <v>140</v>
      </c>
      <c r="N19" s="12" t="n">
        <v>60</v>
      </c>
      <c r="O19" s="12" t="n">
        <v>120</v>
      </c>
      <c r="P19" s="12" t="n">
        <v>0</v>
      </c>
      <c r="Q19" s="12" t="n">
        <v>0</v>
      </c>
      <c r="R19" s="12" t="n">
        <v>60</v>
      </c>
      <c r="S19" s="12" t="n">
        <v>100</v>
      </c>
      <c r="T19" s="12" t="n">
        <v>60</v>
      </c>
      <c r="U19" s="12" t="n">
        <v>100</v>
      </c>
      <c r="V19" s="12" t="n">
        <v>60</v>
      </c>
      <c r="W19" s="12" t="n">
        <v>120</v>
      </c>
      <c r="X19" s="12" t="n">
        <v>1000</v>
      </c>
      <c r="Y19" s="12" t="n">
        <v>5000</v>
      </c>
      <c r="Z19" s="11"/>
      <c r="AA19" s="12" t="n">
        <v>0</v>
      </c>
      <c r="AB19" s="12" t="n">
        <v>0</v>
      </c>
      <c r="AC19" s="12" t="n">
        <f aca="false">COUNTIF($E$5:$E$22,E19)</f>
        <v>1</v>
      </c>
      <c r="AD19" s="11" t="str">
        <f aca="false">IF(AND(H19&gt;=I19,J19&gt;0,K19&gt;=J19,L19&gt;0,M19&gt;=L19,N19&gt;0,O19&gt;=N19,P19&gt;=0,Q19&gt;=P19,R19&gt;0,S19&gt;=R19,T19&gt;0,U19&gt;=T19,V19&gt;0,W19&gt;=V19,X19&gt;0,Y19&gt;=X19),"PASS","FAIL")</f>
        <v>PASS</v>
      </c>
      <c r="AE19" s="11" t="str">
        <f aca="false">IF(AND(AC19=1,AF19=1,AD19="PASS",Z19="",AA19=0,AB19=0),"DIMENSIONED / UNSELECTED","FAIL")</f>
        <v>DIMENSIONED / UNSELECTED</v>
      </c>
      <c r="AF19" s="12" t="n">
        <f aca="false">COUNTIF($A$5:$A$22,A19)</f>
        <v>1</v>
      </c>
    </row>
    <row r="20" customFormat="false" ht="15" hidden="false" customHeight="false" outlineLevel="0" collapsed="false">
      <c r="A20" s="11" t="s">
        <v>40</v>
      </c>
      <c r="B20" s="11" t="s">
        <v>171</v>
      </c>
      <c r="C20" s="11" t="s">
        <v>108</v>
      </c>
      <c r="D20" s="11" t="s">
        <v>172</v>
      </c>
      <c r="E20" s="11" t="s">
        <v>173</v>
      </c>
      <c r="F20" s="11" t="s">
        <v>174</v>
      </c>
      <c r="G20" s="11" t="s">
        <v>175</v>
      </c>
      <c r="H20" s="12" t="n">
        <v>5</v>
      </c>
      <c r="I20" s="12" t="n">
        <v>5</v>
      </c>
      <c r="J20" s="12" t="n">
        <v>300</v>
      </c>
      <c r="K20" s="12" t="n">
        <v>1000</v>
      </c>
      <c r="L20" s="12" t="n">
        <v>300</v>
      </c>
      <c r="M20" s="12" t="n">
        <v>1000</v>
      </c>
      <c r="N20" s="12" t="n">
        <v>12</v>
      </c>
      <c r="O20" s="12" t="n">
        <v>24</v>
      </c>
      <c r="P20" s="12" t="n">
        <v>0</v>
      </c>
      <c r="Q20" s="12" t="n">
        <v>0</v>
      </c>
      <c r="R20" s="12" t="n">
        <v>60</v>
      </c>
      <c r="S20" s="12" t="n">
        <v>120</v>
      </c>
      <c r="T20" s="12" t="n">
        <v>60</v>
      </c>
      <c r="U20" s="12" t="n">
        <v>120</v>
      </c>
      <c r="V20" s="12" t="n">
        <v>12</v>
      </c>
      <c r="W20" s="12" t="n">
        <v>24</v>
      </c>
      <c r="X20" s="12" t="n">
        <v>2000</v>
      </c>
      <c r="Y20" s="12" t="n">
        <v>10000</v>
      </c>
      <c r="Z20" s="11"/>
      <c r="AA20" s="12" t="n">
        <v>0</v>
      </c>
      <c r="AB20" s="12" t="n">
        <v>0</v>
      </c>
      <c r="AC20" s="12" t="n">
        <f aca="false">COUNTIF($E$5:$E$22,E20)</f>
        <v>1</v>
      </c>
      <c r="AD20" s="11" t="str">
        <f aca="false">IF(AND(H20&gt;=I20,J20&gt;0,K20&gt;=J20,L20&gt;0,M20&gt;=L20,N20&gt;0,O20&gt;=N20,P20&gt;=0,Q20&gt;=P20,R20&gt;0,S20&gt;=R20,T20&gt;0,U20&gt;=T20,V20&gt;0,W20&gt;=V20,X20&gt;0,Y20&gt;=X20),"PASS","FAIL")</f>
        <v>PASS</v>
      </c>
      <c r="AE20" s="11" t="str">
        <f aca="false">IF(AND(AC20=1,AF20=1,AD20="PASS",Z20="",AA20=0,AB20=0),"DIMENSIONED / UNSELECTED","FAIL")</f>
        <v>DIMENSIONED / UNSELECTED</v>
      </c>
      <c r="AF20" s="12" t="n">
        <f aca="false">COUNTIF($A$5:$A$22,A20)</f>
        <v>1</v>
      </c>
    </row>
    <row r="21" customFormat="false" ht="15" hidden="false" customHeight="false" outlineLevel="0" collapsed="false">
      <c r="A21" s="11" t="s">
        <v>41</v>
      </c>
      <c r="B21" s="11" t="s">
        <v>171</v>
      </c>
      <c r="C21" s="11" t="s">
        <v>113</v>
      </c>
      <c r="D21" s="11" t="s">
        <v>176</v>
      </c>
      <c r="E21" s="11" t="s">
        <v>177</v>
      </c>
      <c r="F21" s="11" t="s">
        <v>174</v>
      </c>
      <c r="G21" s="11" t="s">
        <v>178</v>
      </c>
      <c r="H21" s="12" t="n">
        <v>5</v>
      </c>
      <c r="I21" s="12" t="n">
        <v>5</v>
      </c>
      <c r="J21" s="12" t="n">
        <v>250</v>
      </c>
      <c r="K21" s="12" t="n">
        <v>600</v>
      </c>
      <c r="L21" s="12" t="n">
        <v>250</v>
      </c>
      <c r="M21" s="12" t="n">
        <v>600</v>
      </c>
      <c r="N21" s="12" t="n">
        <v>12</v>
      </c>
      <c r="O21" s="12" t="n">
        <v>30</v>
      </c>
      <c r="P21" s="12" t="n">
        <v>0</v>
      </c>
      <c r="Q21" s="12" t="n">
        <v>0</v>
      </c>
      <c r="R21" s="12" t="n">
        <v>80</v>
      </c>
      <c r="S21" s="12" t="n">
        <v>160</v>
      </c>
      <c r="T21" s="12" t="n">
        <v>50</v>
      </c>
      <c r="U21" s="12" t="n">
        <v>100</v>
      </c>
      <c r="V21" s="12" t="n">
        <v>12</v>
      </c>
      <c r="W21" s="12" t="n">
        <v>30</v>
      </c>
      <c r="X21" s="12" t="n">
        <v>2000</v>
      </c>
      <c r="Y21" s="12" t="n">
        <v>10000</v>
      </c>
      <c r="Z21" s="11"/>
      <c r="AA21" s="12" t="n">
        <v>0</v>
      </c>
      <c r="AB21" s="12" t="n">
        <v>0</v>
      </c>
      <c r="AC21" s="12" t="n">
        <f aca="false">COUNTIF($E$5:$E$22,E21)</f>
        <v>1</v>
      </c>
      <c r="AD21" s="11" t="str">
        <f aca="false">IF(AND(H21&gt;=I21,J21&gt;0,K21&gt;=J21,L21&gt;0,M21&gt;=L21,N21&gt;0,O21&gt;=N21,P21&gt;=0,Q21&gt;=P21,R21&gt;0,S21&gt;=R21,T21&gt;0,U21&gt;=T21,V21&gt;0,W21&gt;=V21,X21&gt;0,Y21&gt;=X21),"PASS","FAIL")</f>
        <v>PASS</v>
      </c>
      <c r="AE21" s="11" t="str">
        <f aca="false">IF(AND(AC21=1,AF21=1,AD21="PASS",Z21="",AA21=0,AB21=0),"DIMENSIONED / UNSELECTED","FAIL")</f>
        <v>DIMENSIONED / UNSELECTED</v>
      </c>
      <c r="AF21" s="12" t="n">
        <f aca="false">COUNTIF($A$5:$A$22,A21)</f>
        <v>1</v>
      </c>
    </row>
    <row r="22" customFormat="false" ht="15" hidden="false" customHeight="false" outlineLevel="0" collapsed="false">
      <c r="A22" s="13" t="s">
        <v>42</v>
      </c>
      <c r="B22" s="13" t="s">
        <v>171</v>
      </c>
      <c r="C22" s="13" t="s">
        <v>118</v>
      </c>
      <c r="D22" s="13" t="s">
        <v>179</v>
      </c>
      <c r="E22" s="13" t="s">
        <v>180</v>
      </c>
      <c r="F22" s="13" t="s">
        <v>174</v>
      </c>
      <c r="G22" s="13" t="s">
        <v>181</v>
      </c>
      <c r="H22" s="20" t="n">
        <v>5</v>
      </c>
      <c r="I22" s="20" t="n">
        <v>5</v>
      </c>
      <c r="J22" s="20" t="n">
        <v>500</v>
      </c>
      <c r="K22" s="20" t="n">
        <v>2000</v>
      </c>
      <c r="L22" s="20" t="n">
        <v>100</v>
      </c>
      <c r="M22" s="20" t="n">
        <v>400</v>
      </c>
      <c r="N22" s="20" t="n">
        <v>8</v>
      </c>
      <c r="O22" s="20" t="n">
        <v>16</v>
      </c>
      <c r="P22" s="20" t="n">
        <v>0</v>
      </c>
      <c r="Q22" s="20" t="n">
        <v>0</v>
      </c>
      <c r="R22" s="20" t="n">
        <v>100</v>
      </c>
      <c r="S22" s="20" t="n">
        <v>250</v>
      </c>
      <c r="T22" s="20" t="n">
        <v>25</v>
      </c>
      <c r="U22" s="20" t="n">
        <v>60</v>
      </c>
      <c r="V22" s="20" t="n">
        <v>8</v>
      </c>
      <c r="W22" s="20" t="n">
        <v>16</v>
      </c>
      <c r="X22" s="20" t="n">
        <v>5000</v>
      </c>
      <c r="Y22" s="20" t="n">
        <v>20000</v>
      </c>
      <c r="Z22" s="13"/>
      <c r="AA22" s="20" t="n">
        <v>0</v>
      </c>
      <c r="AB22" s="20" t="n">
        <v>0</v>
      </c>
      <c r="AC22" s="20" t="n">
        <f aca="false">COUNTIF($E$5:$E$22,E22)</f>
        <v>1</v>
      </c>
      <c r="AD22" s="13" t="str">
        <f aca="false">IF(AND(H22&gt;=I22,J22&gt;0,K22&gt;=J22,L22&gt;0,M22&gt;=L22,N22&gt;0,O22&gt;=N22,P22&gt;=0,Q22&gt;=P22,R22&gt;0,S22&gt;=R22,T22&gt;0,U22&gt;=T22,V22&gt;0,W22&gt;=V22,X22&gt;0,Y22&gt;=X22),"PASS","FAIL")</f>
        <v>PASS</v>
      </c>
      <c r="AE22" s="13" t="str">
        <f aca="false">IF(AND(AC22=1,AF22=1,AD22="PASS",Z22="",AA22=0,AB22=0),"DIMENSIONED / UNSELECTED","FAIL")</f>
        <v>DIMENSIONED / UNSELECTED</v>
      </c>
      <c r="AF22" s="20" t="n">
        <f aca="false">COUNTIF($A$5:$A$22,A22)</f>
        <v>1</v>
      </c>
    </row>
  </sheetData>
  <mergeCells count="1">
    <mergeCell ref="A2:AF2"/>
  </mergeCells>
  <conditionalFormatting sqref="AD5:AE22">
    <cfRule type="containsText" priority="2" operator="containsText" aboveAverage="0" equalAverage="0" bottom="0" percent="0" rank="0" text="FAIL" dxfId="0">
      <formula>NOT(ISERROR(SEARCH("FAIL",AD5)))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45"/>
    <col collapsed="false" customWidth="true" hidden="false" outlineLevel="0" max="6" min="5" style="0" width="28"/>
    <col collapsed="false" customWidth="true" hidden="false" outlineLevel="0" max="7" min="7" style="0" width="48"/>
    <col collapsed="false" customWidth="true" hidden="false" outlineLevel="0" max="8" min="8" style="0" width="50"/>
    <col collapsed="false" customWidth="true" hidden="false" outlineLevel="0" max="9" min="9" style="0" width="18"/>
    <col collapsed="false" customWidth="true" hidden="false" outlineLevel="0" max="10" min="10" style="0" width="22"/>
  </cols>
  <sheetData>
    <row r="2" customFormat="false" ht="18.55" hidden="false" customHeight="false" outlineLevel="0" collapsed="false">
      <c r="A2" s="1" t="s">
        <v>182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3" t="s">
        <v>76</v>
      </c>
      <c r="B4" s="4" t="s">
        <v>183</v>
      </c>
      <c r="C4" s="4" t="s">
        <v>184</v>
      </c>
      <c r="D4" s="4" t="s">
        <v>185</v>
      </c>
      <c r="E4" s="4" t="s">
        <v>186</v>
      </c>
      <c r="F4" s="4" t="s">
        <v>187</v>
      </c>
      <c r="G4" s="4" t="s">
        <v>188</v>
      </c>
      <c r="H4" s="4" t="s">
        <v>189</v>
      </c>
      <c r="I4" s="4" t="s">
        <v>190</v>
      </c>
      <c r="J4" s="5" t="s">
        <v>46</v>
      </c>
    </row>
    <row r="5" customFormat="false" ht="15" hidden="false" customHeight="false" outlineLevel="0" collapsed="false">
      <c r="A5" s="7" t="s">
        <v>107</v>
      </c>
      <c r="B5" s="7" t="s">
        <v>191</v>
      </c>
      <c r="C5" s="7" t="s">
        <v>192</v>
      </c>
      <c r="D5" s="7" t="s">
        <v>193</v>
      </c>
      <c r="E5" s="7" t="s">
        <v>194</v>
      </c>
      <c r="F5" s="7" t="s">
        <v>195</v>
      </c>
      <c r="G5" s="7" t="s">
        <v>196</v>
      </c>
      <c r="H5" s="7" t="s">
        <v>197</v>
      </c>
      <c r="I5" s="7" t="str">
        <f aca="false">IF(COUNTA(A5:H5)=8,"PASS","FAIL")</f>
        <v>PASS</v>
      </c>
      <c r="J5" s="7" t="s">
        <v>198</v>
      </c>
    </row>
    <row r="6" customFormat="false" ht="15" hidden="false" customHeight="false" outlineLevel="0" collapsed="false">
      <c r="A6" s="11" t="s">
        <v>123</v>
      </c>
      <c r="B6" s="11" t="s">
        <v>199</v>
      </c>
      <c r="C6" s="11" t="s">
        <v>200</v>
      </c>
      <c r="D6" s="11" t="s">
        <v>201</v>
      </c>
      <c r="E6" s="11" t="s">
        <v>202</v>
      </c>
      <c r="F6" s="11" t="s">
        <v>203</v>
      </c>
      <c r="G6" s="11" t="s">
        <v>204</v>
      </c>
      <c r="H6" s="11" t="s">
        <v>205</v>
      </c>
      <c r="I6" s="11" t="str">
        <f aca="false">IF(COUNTA(A6:H6)=8,"PASS","FAIL")</f>
        <v>PASS</v>
      </c>
      <c r="J6" s="11" t="s">
        <v>198</v>
      </c>
    </row>
    <row r="7" customFormat="false" ht="15" hidden="false" customHeight="false" outlineLevel="0" collapsed="false">
      <c r="A7" s="11" t="s">
        <v>136</v>
      </c>
      <c r="B7" s="11" t="s">
        <v>206</v>
      </c>
      <c r="C7" s="11" t="s">
        <v>207</v>
      </c>
      <c r="D7" s="11" t="s">
        <v>208</v>
      </c>
      <c r="E7" s="11" t="s">
        <v>209</v>
      </c>
      <c r="F7" s="11" t="s">
        <v>203</v>
      </c>
      <c r="G7" s="11" t="s">
        <v>210</v>
      </c>
      <c r="H7" s="11" t="s">
        <v>211</v>
      </c>
      <c r="I7" s="11" t="str">
        <f aca="false">IF(COUNTA(A7:H7)=8,"PASS","FAIL")</f>
        <v>PASS</v>
      </c>
      <c r="J7" s="11" t="s">
        <v>198</v>
      </c>
    </row>
    <row r="8" customFormat="false" ht="15" hidden="false" customHeight="false" outlineLevel="0" collapsed="false">
      <c r="A8" s="11" t="s">
        <v>147</v>
      </c>
      <c r="B8" s="11" t="s">
        <v>212</v>
      </c>
      <c r="C8" s="11" t="s">
        <v>213</v>
      </c>
      <c r="D8" s="11" t="s">
        <v>214</v>
      </c>
      <c r="E8" s="11" t="s">
        <v>215</v>
      </c>
      <c r="F8" s="11" t="s">
        <v>216</v>
      </c>
      <c r="G8" s="11" t="s">
        <v>217</v>
      </c>
      <c r="H8" s="11" t="s">
        <v>218</v>
      </c>
      <c r="I8" s="11" t="str">
        <f aca="false">IF(COUNTA(A8:H8)=8,"PASS","FAIL")</f>
        <v>PASS</v>
      </c>
      <c r="J8" s="11" t="s">
        <v>198</v>
      </c>
    </row>
    <row r="9" customFormat="false" ht="15" hidden="false" customHeight="false" outlineLevel="0" collapsed="false">
      <c r="A9" s="11" t="s">
        <v>160</v>
      </c>
      <c r="B9" s="11" t="s">
        <v>219</v>
      </c>
      <c r="C9" s="11" t="s">
        <v>220</v>
      </c>
      <c r="D9" s="11" t="s">
        <v>221</v>
      </c>
      <c r="E9" s="11" t="s">
        <v>202</v>
      </c>
      <c r="F9" s="11" t="s">
        <v>203</v>
      </c>
      <c r="G9" s="11" t="s">
        <v>222</v>
      </c>
      <c r="H9" s="11" t="s">
        <v>223</v>
      </c>
      <c r="I9" s="11" t="str">
        <f aca="false">IF(COUNTA(A9:H9)=8,"PASS","FAIL")</f>
        <v>PASS</v>
      </c>
      <c r="J9" s="11" t="s">
        <v>198</v>
      </c>
    </row>
    <row r="10" customFormat="false" ht="15" hidden="false" customHeight="false" outlineLevel="0" collapsed="false">
      <c r="A10" s="13" t="s">
        <v>171</v>
      </c>
      <c r="B10" s="13" t="s">
        <v>224</v>
      </c>
      <c r="C10" s="13" t="s">
        <v>225</v>
      </c>
      <c r="D10" s="13" t="s">
        <v>226</v>
      </c>
      <c r="E10" s="13" t="s">
        <v>202</v>
      </c>
      <c r="F10" s="13" t="s">
        <v>203</v>
      </c>
      <c r="G10" s="13" t="s">
        <v>227</v>
      </c>
      <c r="H10" s="13" t="s">
        <v>228</v>
      </c>
      <c r="I10" s="13" t="str">
        <f aca="false">IF(COUNTA(A10:H10)=8,"PASS","FAIL")</f>
        <v>PASS</v>
      </c>
      <c r="J10" s="13" t="s">
        <v>198</v>
      </c>
    </row>
  </sheetData>
  <mergeCells count="1">
    <mergeCell ref="A2:J2"/>
  </mergeCells>
  <conditionalFormatting sqref="I5:I10">
    <cfRule type="containsText" priority="2" operator="containsText" aboveAverage="0" equalAverage="0" bottom="0" percent="0" rank="0" text="FAIL" dxfId="1">
      <formula>NOT(ISERROR(SEARCH("FAIL",I5)))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3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7" min="12" style="0" width="14"/>
    <col collapsed="false" customWidth="true" hidden="false" outlineLevel="0" max="18" min="18" style="0" width="19"/>
    <col collapsed="false" customWidth="true" hidden="false" outlineLevel="0" max="19" min="19" style="0" width="15"/>
    <col collapsed="false" customWidth="true" hidden="false" outlineLevel="0" max="20" min="20" style="0" width="20"/>
    <col collapsed="false" customWidth="true" hidden="false" outlineLevel="0" max="21" min="21" style="0" width="18"/>
  </cols>
  <sheetData>
    <row r="2" customFormat="false" ht="18.55" hidden="false" customHeight="false" outlineLevel="0" collapsed="false">
      <c r="A2" s="1" t="s">
        <v>229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30" hidden="false" customHeight="true" outlineLevel="0" collapsed="false">
      <c r="A4" s="3" t="s">
        <v>230</v>
      </c>
      <c r="B4" s="4" t="s">
        <v>76</v>
      </c>
      <c r="C4" s="4" t="s">
        <v>75</v>
      </c>
      <c r="D4" s="4" t="s">
        <v>231</v>
      </c>
      <c r="E4" s="4" t="s">
        <v>232</v>
      </c>
      <c r="F4" s="4" t="s">
        <v>233</v>
      </c>
      <c r="G4" s="4" t="s">
        <v>234</v>
      </c>
      <c r="H4" s="4" t="s">
        <v>235</v>
      </c>
      <c r="I4" s="4" t="s">
        <v>236</v>
      </c>
      <c r="J4" s="4" t="s">
        <v>237</v>
      </c>
      <c r="K4" s="4" t="s">
        <v>238</v>
      </c>
      <c r="L4" s="4" t="s">
        <v>239</v>
      </c>
      <c r="M4" s="4" t="s">
        <v>240</v>
      </c>
      <c r="N4" s="4" t="s">
        <v>241</v>
      </c>
      <c r="O4" s="4" t="s">
        <v>242</v>
      </c>
      <c r="P4" s="4" t="s">
        <v>243</v>
      </c>
      <c r="Q4" s="4" t="s">
        <v>244</v>
      </c>
      <c r="R4" s="4" t="s">
        <v>245</v>
      </c>
      <c r="S4" s="4" t="s">
        <v>246</v>
      </c>
      <c r="T4" s="4" t="s">
        <v>46</v>
      </c>
      <c r="U4" s="5" t="s">
        <v>247</v>
      </c>
    </row>
    <row r="5" customFormat="false" ht="15" hidden="false" customHeight="false" outlineLevel="0" collapsed="false">
      <c r="A5" s="7" t="s">
        <v>248</v>
      </c>
      <c r="B5" s="7" t="s">
        <v>107</v>
      </c>
      <c r="C5" s="7" t="s">
        <v>10</v>
      </c>
      <c r="D5" s="7" t="s">
        <v>249</v>
      </c>
      <c r="E5" s="21" t="n">
        <v>0.08</v>
      </c>
      <c r="F5" s="21" t="n">
        <v>0.035</v>
      </c>
      <c r="G5" s="21" t="n">
        <v>0.18</v>
      </c>
      <c r="H5" s="21" t="n">
        <v>0.055</v>
      </c>
      <c r="I5" s="7" t="s">
        <v>250</v>
      </c>
      <c r="J5" s="21" t="n">
        <v>0.1</v>
      </c>
      <c r="K5" s="21" t="n">
        <v>0.045</v>
      </c>
      <c r="L5" s="8" t="n">
        <f aca="false">ROUND(INDEX('Envelope Register'!$J$5:$J$22,MATCH(C5,'Envelope Register'!$A$5:$A$22,0))*(E5-F5),0)</f>
        <v>7</v>
      </c>
      <c r="M5" s="8" t="n">
        <f aca="false">ROUND(INDEX('Envelope Register'!$J$5:$J$22,MATCH(C5,'Envelope Register'!$A$5:$A$22,0))*(E5+F5),0)</f>
        <v>18</v>
      </c>
      <c r="N5" s="8" t="n">
        <f aca="false">ROUND(INDEX('Envelope Register'!$L$5:$L$22,MATCH(C5,'Envelope Register'!$A$5:$A$22,0))*(G5-H5),0)</f>
        <v>11</v>
      </c>
      <c r="O5" s="8" t="n">
        <f aca="false">ROUND(INDEX('Envelope Register'!$L$5:$L$22,MATCH(C5,'Envelope Register'!$A$5:$A$22,0))*(G5+H5),0)</f>
        <v>21</v>
      </c>
      <c r="P5" s="8" t="n">
        <f aca="false">IF(I5="DEPTH",ROUND(-INDEX('Envelope Register'!$P$5:$P$22,MATCH(C5,'Envelope Register'!$A$5:$A$22,0))*(J5+K5),0),ROUND(INDEX('Envelope Register'!$N$5:$N$22,MATCH(C5,'Envelope Register'!$A$5:$A$22,0))*(J5-K5),0))</f>
        <v>1</v>
      </c>
      <c r="Q5" s="8" t="n">
        <f aca="false">IF(I5="DEPTH",ROUND(-INDEX('Envelope Register'!$P$5:$P$22,MATCH(C5,'Envelope Register'!$A$5:$A$22,0))*(J5-K5),0),ROUND(INDEX('Envelope Register'!$N$5:$N$22,MATCH(C5,'Envelope Register'!$A$5:$A$22,0))*(J5+K5),0))</f>
        <v>4</v>
      </c>
      <c r="R5" s="8" t="n">
        <f aca="false">COUNTIFS($C$5:$C$112,C5,$D$5:$D$112,D5)</f>
        <v>1</v>
      </c>
      <c r="S5" s="7" t="str">
        <f aca="false">IF(AND(L5&gt;=0,M5&lt;=INDEX('Envelope Register'!$J$5:$J$22,MATCH(C5,'Envelope Register'!$A$5:$A$22,0)),N5&gt;=0,O5&lt;=INDEX('Envelope Register'!$L$5:$L$22,MATCH(C5,'Envelope Register'!$A$5:$A$22,0)),P5&gt;=-INDEX('Envelope Register'!$P$5:$P$22,MATCH(C5,'Envelope Register'!$A$5:$A$22,0)),Q5&lt;=INDEX('Envelope Register'!$N$5:$N$22,MATCH(C5,'Envelope Register'!$A$5:$A$22,0)),L5&lt;M5,N5&lt;O5,P5&lt;Q5,R5=1,U5=1),"PASS","FAIL")</f>
        <v>PASS</v>
      </c>
      <c r="T5" s="7" t="s">
        <v>251</v>
      </c>
      <c r="U5" s="8" t="n">
        <f aca="false">COUNTIF($A$5:$A$112,A5)</f>
        <v>1</v>
      </c>
    </row>
    <row r="6" customFormat="false" ht="15" hidden="false" customHeight="false" outlineLevel="0" collapsed="false">
      <c r="A6" s="11" t="s">
        <v>252</v>
      </c>
      <c r="B6" s="11" t="s">
        <v>107</v>
      </c>
      <c r="C6" s="11" t="s">
        <v>10</v>
      </c>
      <c r="D6" s="11" t="s">
        <v>253</v>
      </c>
      <c r="E6" s="22" t="n">
        <v>0.25</v>
      </c>
      <c r="F6" s="22" t="n">
        <v>0.035</v>
      </c>
      <c r="G6" s="22" t="n">
        <v>0.18</v>
      </c>
      <c r="H6" s="22" t="n">
        <v>0.055</v>
      </c>
      <c r="I6" s="11" t="s">
        <v>250</v>
      </c>
      <c r="J6" s="22" t="n">
        <v>0.4</v>
      </c>
      <c r="K6" s="22" t="n">
        <v>0.045</v>
      </c>
      <c r="L6" s="12" t="n">
        <f aca="false">ROUND(INDEX('Envelope Register'!$J$5:$J$22,MATCH(C6,'Envelope Register'!$A$5:$A$22,0))*(E6-F6),0)</f>
        <v>34</v>
      </c>
      <c r="M6" s="12" t="n">
        <f aca="false">ROUND(INDEX('Envelope Register'!$J$5:$J$22,MATCH(C6,'Envelope Register'!$A$5:$A$22,0))*(E6+F6),0)</f>
        <v>46</v>
      </c>
      <c r="N6" s="12" t="n">
        <f aca="false">ROUND(INDEX('Envelope Register'!$L$5:$L$22,MATCH(C6,'Envelope Register'!$A$5:$A$22,0))*(G6-H6),0)</f>
        <v>11</v>
      </c>
      <c r="O6" s="12" t="n">
        <f aca="false">ROUND(INDEX('Envelope Register'!$L$5:$L$22,MATCH(C6,'Envelope Register'!$A$5:$A$22,0))*(G6+H6),0)</f>
        <v>21</v>
      </c>
      <c r="P6" s="12" t="n">
        <f aca="false">IF(I6="DEPTH",ROUND(-INDEX('Envelope Register'!$P$5:$P$22,MATCH(C6,'Envelope Register'!$A$5:$A$22,0))*(J6+K6),0),ROUND(INDEX('Envelope Register'!$N$5:$N$22,MATCH(C6,'Envelope Register'!$A$5:$A$22,0))*(J6-K6),0))</f>
        <v>9</v>
      </c>
      <c r="Q6" s="12" t="n">
        <f aca="false">IF(I6="DEPTH",ROUND(-INDEX('Envelope Register'!$P$5:$P$22,MATCH(C6,'Envelope Register'!$A$5:$A$22,0))*(J6-K6),0),ROUND(INDEX('Envelope Register'!$N$5:$N$22,MATCH(C6,'Envelope Register'!$A$5:$A$22,0))*(J6+K6),0))</f>
        <v>12</v>
      </c>
      <c r="R6" s="12" t="n">
        <f aca="false">COUNTIFS($C$5:$C$112,C6,$D$5:$D$112,D6)</f>
        <v>1</v>
      </c>
      <c r="S6" s="11" t="str">
        <f aca="false">IF(AND(L6&gt;=0,M6&lt;=INDEX('Envelope Register'!$J$5:$J$22,MATCH(C6,'Envelope Register'!$A$5:$A$22,0)),N6&gt;=0,O6&lt;=INDEX('Envelope Register'!$L$5:$L$22,MATCH(C6,'Envelope Register'!$A$5:$A$22,0)),P6&gt;=-INDEX('Envelope Register'!$P$5:$P$22,MATCH(C6,'Envelope Register'!$A$5:$A$22,0)),Q6&lt;=INDEX('Envelope Register'!$N$5:$N$22,MATCH(C6,'Envelope Register'!$A$5:$A$22,0)),L6&lt;M6,N6&lt;O6,P6&lt;Q6,R6=1,U6=1),"PASS","FAIL")</f>
        <v>PASS</v>
      </c>
      <c r="T6" s="11" t="s">
        <v>251</v>
      </c>
      <c r="U6" s="12" t="n">
        <f aca="false">COUNTIF($A$5:$A$112,A6)</f>
        <v>1</v>
      </c>
    </row>
    <row r="7" customFormat="false" ht="15" hidden="false" customHeight="false" outlineLevel="0" collapsed="false">
      <c r="A7" s="11" t="s">
        <v>254</v>
      </c>
      <c r="B7" s="11" t="s">
        <v>107</v>
      </c>
      <c r="C7" s="11" t="s">
        <v>10</v>
      </c>
      <c r="D7" s="11" t="s">
        <v>255</v>
      </c>
      <c r="E7" s="22" t="n">
        <v>0.42</v>
      </c>
      <c r="F7" s="22" t="n">
        <v>0.035</v>
      </c>
      <c r="G7" s="22" t="n">
        <v>0.82</v>
      </c>
      <c r="H7" s="22" t="n">
        <v>0.055</v>
      </c>
      <c r="I7" s="11" t="s">
        <v>250</v>
      </c>
      <c r="J7" s="22" t="n">
        <v>0.4</v>
      </c>
      <c r="K7" s="22" t="n">
        <v>0.045</v>
      </c>
      <c r="L7" s="12" t="n">
        <f aca="false">ROUND(INDEX('Envelope Register'!$J$5:$J$22,MATCH(C7,'Envelope Register'!$A$5:$A$22,0))*(E7-F7),0)</f>
        <v>62</v>
      </c>
      <c r="M7" s="12" t="n">
        <f aca="false">ROUND(INDEX('Envelope Register'!$J$5:$J$22,MATCH(C7,'Envelope Register'!$A$5:$A$22,0))*(E7+F7),0)</f>
        <v>73</v>
      </c>
      <c r="N7" s="12" t="n">
        <f aca="false">ROUND(INDEX('Envelope Register'!$L$5:$L$22,MATCH(C7,'Envelope Register'!$A$5:$A$22,0))*(G7-H7),0)</f>
        <v>69</v>
      </c>
      <c r="O7" s="12" t="n">
        <f aca="false">ROUND(INDEX('Envelope Register'!$L$5:$L$22,MATCH(C7,'Envelope Register'!$A$5:$A$22,0))*(G7+H7),0)</f>
        <v>79</v>
      </c>
      <c r="P7" s="12" t="n">
        <f aca="false">IF(I7="DEPTH",ROUND(-INDEX('Envelope Register'!$P$5:$P$22,MATCH(C7,'Envelope Register'!$A$5:$A$22,0))*(J7+K7),0),ROUND(INDEX('Envelope Register'!$N$5:$N$22,MATCH(C7,'Envelope Register'!$A$5:$A$22,0))*(J7-K7),0))</f>
        <v>9</v>
      </c>
      <c r="Q7" s="12" t="n">
        <f aca="false">IF(I7="DEPTH",ROUND(-INDEX('Envelope Register'!$P$5:$P$22,MATCH(C7,'Envelope Register'!$A$5:$A$22,0))*(J7-K7),0),ROUND(INDEX('Envelope Register'!$N$5:$N$22,MATCH(C7,'Envelope Register'!$A$5:$A$22,0))*(J7+K7),0))</f>
        <v>12</v>
      </c>
      <c r="R7" s="12" t="n">
        <f aca="false">COUNTIFS($C$5:$C$112,C7,$D$5:$D$112,D7)</f>
        <v>1</v>
      </c>
      <c r="S7" s="11" t="str">
        <f aca="false">IF(AND(L7&gt;=0,M7&lt;=INDEX('Envelope Register'!$J$5:$J$22,MATCH(C7,'Envelope Register'!$A$5:$A$22,0)),N7&gt;=0,O7&lt;=INDEX('Envelope Register'!$L$5:$L$22,MATCH(C7,'Envelope Register'!$A$5:$A$22,0)),P7&gt;=-INDEX('Envelope Register'!$P$5:$P$22,MATCH(C7,'Envelope Register'!$A$5:$A$22,0)),Q7&lt;=INDEX('Envelope Register'!$N$5:$N$22,MATCH(C7,'Envelope Register'!$A$5:$A$22,0)),L7&lt;M7,N7&lt;O7,P7&lt;Q7,R7=1,U7=1),"PASS","FAIL")</f>
        <v>PASS</v>
      </c>
      <c r="T7" s="11" t="s">
        <v>251</v>
      </c>
      <c r="U7" s="12" t="n">
        <f aca="false">COUNTIF($A$5:$A$112,A7)</f>
        <v>1</v>
      </c>
    </row>
    <row r="8" customFormat="false" ht="15" hidden="false" customHeight="false" outlineLevel="0" collapsed="false">
      <c r="A8" s="11" t="s">
        <v>256</v>
      </c>
      <c r="B8" s="11" t="s">
        <v>107</v>
      </c>
      <c r="C8" s="11" t="s">
        <v>10</v>
      </c>
      <c r="D8" s="11" t="s">
        <v>257</v>
      </c>
      <c r="E8" s="22" t="n">
        <v>0.58</v>
      </c>
      <c r="F8" s="22" t="n">
        <v>0.035</v>
      </c>
      <c r="G8" s="22" t="n">
        <v>0.82</v>
      </c>
      <c r="H8" s="22" t="n">
        <v>0.055</v>
      </c>
      <c r="I8" s="11" t="s">
        <v>250</v>
      </c>
      <c r="J8" s="22" t="n">
        <v>0.52</v>
      </c>
      <c r="K8" s="22" t="n">
        <v>0.045</v>
      </c>
      <c r="L8" s="12" t="n">
        <f aca="false">ROUND(INDEX('Envelope Register'!$J$5:$J$22,MATCH(C8,'Envelope Register'!$A$5:$A$22,0))*(E8-F8),0)</f>
        <v>87</v>
      </c>
      <c r="M8" s="12" t="n">
        <f aca="false">ROUND(INDEX('Envelope Register'!$J$5:$J$22,MATCH(C8,'Envelope Register'!$A$5:$A$22,0))*(E8+F8),0)</f>
        <v>98</v>
      </c>
      <c r="N8" s="12" t="n">
        <f aca="false">ROUND(INDEX('Envelope Register'!$L$5:$L$22,MATCH(C8,'Envelope Register'!$A$5:$A$22,0))*(G8-H8),0)</f>
        <v>69</v>
      </c>
      <c r="O8" s="12" t="n">
        <f aca="false">ROUND(INDEX('Envelope Register'!$L$5:$L$22,MATCH(C8,'Envelope Register'!$A$5:$A$22,0))*(G8+H8),0)</f>
        <v>79</v>
      </c>
      <c r="P8" s="12" t="n">
        <f aca="false">IF(I8="DEPTH",ROUND(-INDEX('Envelope Register'!$P$5:$P$22,MATCH(C8,'Envelope Register'!$A$5:$A$22,0))*(J8+K8),0),ROUND(INDEX('Envelope Register'!$N$5:$N$22,MATCH(C8,'Envelope Register'!$A$5:$A$22,0))*(J8-K8),0))</f>
        <v>12</v>
      </c>
      <c r="Q8" s="12" t="n">
        <f aca="false">IF(I8="DEPTH",ROUND(-INDEX('Envelope Register'!$P$5:$P$22,MATCH(C8,'Envelope Register'!$A$5:$A$22,0))*(J8-K8),0),ROUND(INDEX('Envelope Register'!$N$5:$N$22,MATCH(C8,'Envelope Register'!$A$5:$A$22,0))*(J8+K8),0))</f>
        <v>15</v>
      </c>
      <c r="R8" s="12" t="n">
        <f aca="false">COUNTIFS($C$5:$C$112,C8,$D$5:$D$112,D8)</f>
        <v>1</v>
      </c>
      <c r="S8" s="11" t="str">
        <f aca="false">IF(AND(L8&gt;=0,M8&lt;=INDEX('Envelope Register'!$J$5:$J$22,MATCH(C8,'Envelope Register'!$A$5:$A$22,0)),N8&gt;=0,O8&lt;=INDEX('Envelope Register'!$L$5:$L$22,MATCH(C8,'Envelope Register'!$A$5:$A$22,0)),P8&gt;=-INDEX('Envelope Register'!$P$5:$P$22,MATCH(C8,'Envelope Register'!$A$5:$A$22,0)),Q8&lt;=INDEX('Envelope Register'!$N$5:$N$22,MATCH(C8,'Envelope Register'!$A$5:$A$22,0)),L8&lt;M8,N8&lt;O8,P8&lt;Q8,R8=1,U8=1),"PASS","FAIL")</f>
        <v>PASS</v>
      </c>
      <c r="T8" s="11" t="s">
        <v>251</v>
      </c>
      <c r="U8" s="12" t="n">
        <f aca="false">COUNTIF($A$5:$A$112,A8)</f>
        <v>1</v>
      </c>
    </row>
    <row r="9" customFormat="false" ht="15" hidden="false" customHeight="false" outlineLevel="0" collapsed="false">
      <c r="A9" s="11" t="s">
        <v>258</v>
      </c>
      <c r="B9" s="11" t="s">
        <v>107</v>
      </c>
      <c r="C9" s="11" t="s">
        <v>10</v>
      </c>
      <c r="D9" s="11" t="s">
        <v>259</v>
      </c>
      <c r="E9" s="22" t="n">
        <v>0.76</v>
      </c>
      <c r="F9" s="22" t="n">
        <v>0.035</v>
      </c>
      <c r="G9" s="22" t="n">
        <v>0.25</v>
      </c>
      <c r="H9" s="22" t="n">
        <v>0.055</v>
      </c>
      <c r="I9" s="11" t="s">
        <v>250</v>
      </c>
      <c r="J9" s="22" t="n">
        <v>0.65</v>
      </c>
      <c r="K9" s="22" t="n">
        <v>0.045</v>
      </c>
      <c r="L9" s="12" t="n">
        <f aca="false">ROUND(INDEX('Envelope Register'!$J$5:$J$22,MATCH(C9,'Envelope Register'!$A$5:$A$22,0))*(E9-F9),0)</f>
        <v>116</v>
      </c>
      <c r="M9" s="12" t="n">
        <f aca="false">ROUND(INDEX('Envelope Register'!$J$5:$J$22,MATCH(C9,'Envelope Register'!$A$5:$A$22,0))*(E9+F9),0)</f>
        <v>127</v>
      </c>
      <c r="N9" s="12" t="n">
        <f aca="false">ROUND(INDEX('Envelope Register'!$L$5:$L$22,MATCH(C9,'Envelope Register'!$A$5:$A$22,0))*(G9-H9),0)</f>
        <v>18</v>
      </c>
      <c r="O9" s="12" t="n">
        <f aca="false">ROUND(INDEX('Envelope Register'!$L$5:$L$22,MATCH(C9,'Envelope Register'!$A$5:$A$22,0))*(G9+H9),0)</f>
        <v>27</v>
      </c>
      <c r="P9" s="12" t="n">
        <f aca="false">IF(I9="DEPTH",ROUND(-INDEX('Envelope Register'!$P$5:$P$22,MATCH(C9,'Envelope Register'!$A$5:$A$22,0))*(J9+K9),0),ROUND(INDEX('Envelope Register'!$N$5:$N$22,MATCH(C9,'Envelope Register'!$A$5:$A$22,0))*(J9-K9),0))</f>
        <v>16</v>
      </c>
      <c r="Q9" s="12" t="n">
        <f aca="false">IF(I9="DEPTH",ROUND(-INDEX('Envelope Register'!$P$5:$P$22,MATCH(C9,'Envelope Register'!$A$5:$A$22,0))*(J9-K9),0),ROUND(INDEX('Envelope Register'!$N$5:$N$22,MATCH(C9,'Envelope Register'!$A$5:$A$22,0))*(J9+K9),0))</f>
        <v>18</v>
      </c>
      <c r="R9" s="12" t="n">
        <f aca="false">COUNTIFS($C$5:$C$112,C9,$D$5:$D$112,D9)</f>
        <v>1</v>
      </c>
      <c r="S9" s="11" t="str">
        <f aca="false">IF(AND(L9&gt;=0,M9&lt;=INDEX('Envelope Register'!$J$5:$J$22,MATCH(C9,'Envelope Register'!$A$5:$A$22,0)),N9&gt;=0,O9&lt;=INDEX('Envelope Register'!$L$5:$L$22,MATCH(C9,'Envelope Register'!$A$5:$A$22,0)),P9&gt;=-INDEX('Envelope Register'!$P$5:$P$22,MATCH(C9,'Envelope Register'!$A$5:$A$22,0)),Q9&lt;=INDEX('Envelope Register'!$N$5:$N$22,MATCH(C9,'Envelope Register'!$A$5:$A$22,0)),L9&lt;M9,N9&lt;O9,P9&lt;Q9,R9=1,U9=1),"PASS","FAIL")</f>
        <v>PASS</v>
      </c>
      <c r="T9" s="11" t="s">
        <v>251</v>
      </c>
      <c r="U9" s="12" t="n">
        <f aca="false">COUNTIF($A$5:$A$112,A9)</f>
        <v>1</v>
      </c>
    </row>
    <row r="10" customFormat="false" ht="15" hidden="false" customHeight="false" outlineLevel="0" collapsed="false">
      <c r="A10" s="11" t="s">
        <v>260</v>
      </c>
      <c r="B10" s="11" t="s">
        <v>107</v>
      </c>
      <c r="C10" s="11" t="s">
        <v>10</v>
      </c>
      <c r="D10" s="11" t="s">
        <v>261</v>
      </c>
      <c r="E10" s="22" t="n">
        <v>0.92</v>
      </c>
      <c r="F10" s="22" t="n">
        <v>0.035</v>
      </c>
      <c r="G10" s="22" t="n">
        <v>0.75</v>
      </c>
      <c r="H10" s="22" t="n">
        <v>0.055</v>
      </c>
      <c r="I10" s="11" t="s">
        <v>250</v>
      </c>
      <c r="J10" s="22" t="n">
        <v>0.22</v>
      </c>
      <c r="K10" s="22" t="n">
        <v>0.045</v>
      </c>
      <c r="L10" s="12" t="n">
        <f aca="false">ROUND(INDEX('Envelope Register'!$J$5:$J$22,MATCH(C10,'Envelope Register'!$A$5:$A$22,0))*(E10-F10),0)</f>
        <v>142</v>
      </c>
      <c r="M10" s="12" t="n">
        <f aca="false">ROUND(INDEX('Envelope Register'!$J$5:$J$22,MATCH(C10,'Envelope Register'!$A$5:$A$22,0))*(E10+F10),0)</f>
        <v>153</v>
      </c>
      <c r="N10" s="12" t="n">
        <f aca="false">ROUND(INDEX('Envelope Register'!$L$5:$L$22,MATCH(C10,'Envelope Register'!$A$5:$A$22,0))*(G10-H10),0)</f>
        <v>63</v>
      </c>
      <c r="O10" s="12" t="n">
        <f aca="false">ROUND(INDEX('Envelope Register'!$L$5:$L$22,MATCH(C10,'Envelope Register'!$A$5:$A$22,0))*(G10+H10),0)</f>
        <v>72</v>
      </c>
      <c r="P10" s="12" t="n">
        <f aca="false">IF(I10="DEPTH",ROUND(-INDEX('Envelope Register'!$P$5:$P$22,MATCH(C10,'Envelope Register'!$A$5:$A$22,0))*(J10+K10),0),ROUND(INDEX('Envelope Register'!$N$5:$N$22,MATCH(C10,'Envelope Register'!$A$5:$A$22,0))*(J10-K10),0))</f>
        <v>5</v>
      </c>
      <c r="Q10" s="12" t="n">
        <f aca="false">IF(I10="DEPTH",ROUND(-INDEX('Envelope Register'!$P$5:$P$22,MATCH(C10,'Envelope Register'!$A$5:$A$22,0))*(J10-K10),0),ROUND(INDEX('Envelope Register'!$N$5:$N$22,MATCH(C10,'Envelope Register'!$A$5:$A$22,0))*(J10+K10),0))</f>
        <v>7</v>
      </c>
      <c r="R10" s="12" t="n">
        <f aca="false">COUNTIFS($C$5:$C$112,C10,$D$5:$D$112,D10)</f>
        <v>1</v>
      </c>
      <c r="S10" s="11" t="str">
        <f aca="false">IF(AND(L10&gt;=0,M10&lt;=INDEX('Envelope Register'!$J$5:$J$22,MATCH(C10,'Envelope Register'!$A$5:$A$22,0)),N10&gt;=0,O10&lt;=INDEX('Envelope Register'!$L$5:$L$22,MATCH(C10,'Envelope Register'!$A$5:$A$22,0)),P10&gt;=-INDEX('Envelope Register'!$P$5:$P$22,MATCH(C10,'Envelope Register'!$A$5:$A$22,0)),Q10&lt;=INDEX('Envelope Register'!$N$5:$N$22,MATCH(C10,'Envelope Register'!$A$5:$A$22,0)),L10&lt;M10,N10&lt;O10,P10&lt;Q10,R10=1,U10=1),"PASS","FAIL")</f>
        <v>PASS</v>
      </c>
      <c r="T10" s="11" t="s">
        <v>251</v>
      </c>
      <c r="U10" s="12" t="n">
        <f aca="false">COUNTIF($A$5:$A$112,A10)</f>
        <v>1</v>
      </c>
    </row>
    <row r="11" customFormat="false" ht="15" hidden="false" customHeight="false" outlineLevel="0" collapsed="false">
      <c r="A11" s="11" t="s">
        <v>262</v>
      </c>
      <c r="B11" s="11" t="s">
        <v>107</v>
      </c>
      <c r="C11" s="11" t="s">
        <v>12</v>
      </c>
      <c r="D11" s="11" t="s">
        <v>249</v>
      </c>
      <c r="E11" s="22" t="n">
        <v>0.06</v>
      </c>
      <c r="F11" s="22" t="n">
        <v>0.035</v>
      </c>
      <c r="G11" s="22" t="n">
        <v>0.5</v>
      </c>
      <c r="H11" s="22" t="n">
        <v>0.055</v>
      </c>
      <c r="I11" s="11" t="s">
        <v>250</v>
      </c>
      <c r="J11" s="22" t="n">
        <v>0.1</v>
      </c>
      <c r="K11" s="22" t="n">
        <v>0.045</v>
      </c>
      <c r="L11" s="12" t="n">
        <f aca="false">ROUND(INDEX('Envelope Register'!$J$5:$J$22,MATCH(C11,'Envelope Register'!$A$5:$A$22,0))*(E11-F11),0)</f>
        <v>6</v>
      </c>
      <c r="M11" s="12" t="n">
        <f aca="false">ROUND(INDEX('Envelope Register'!$J$5:$J$22,MATCH(C11,'Envelope Register'!$A$5:$A$22,0))*(E11+F11),0)</f>
        <v>25</v>
      </c>
      <c r="N11" s="12" t="n">
        <f aca="false">ROUND(INDEX('Envelope Register'!$L$5:$L$22,MATCH(C11,'Envelope Register'!$A$5:$A$22,0))*(G11-H11),0)</f>
        <v>20</v>
      </c>
      <c r="O11" s="12" t="n">
        <f aca="false">ROUND(INDEX('Envelope Register'!$L$5:$L$22,MATCH(C11,'Envelope Register'!$A$5:$A$22,0))*(G11+H11),0)</f>
        <v>25</v>
      </c>
      <c r="P11" s="12" t="n">
        <f aca="false">IF(I11="DEPTH",ROUND(-INDEX('Envelope Register'!$P$5:$P$22,MATCH(C11,'Envelope Register'!$A$5:$A$22,0))*(J11+K11),0),ROUND(INDEX('Envelope Register'!$N$5:$N$22,MATCH(C11,'Envelope Register'!$A$5:$A$22,0))*(J11-K11),0))</f>
        <v>1</v>
      </c>
      <c r="Q11" s="12" t="n">
        <f aca="false">IF(I11="DEPTH",ROUND(-INDEX('Envelope Register'!$P$5:$P$22,MATCH(C11,'Envelope Register'!$A$5:$A$22,0))*(J11-K11),0),ROUND(INDEX('Envelope Register'!$N$5:$N$22,MATCH(C11,'Envelope Register'!$A$5:$A$22,0))*(J11+K11),0))</f>
        <v>3</v>
      </c>
      <c r="R11" s="12" t="n">
        <f aca="false">COUNTIFS($C$5:$C$112,C11,$D$5:$D$112,D11)</f>
        <v>1</v>
      </c>
      <c r="S11" s="11" t="str">
        <f aca="false">IF(AND(L11&gt;=0,M11&lt;=INDEX('Envelope Register'!$J$5:$J$22,MATCH(C11,'Envelope Register'!$A$5:$A$22,0)),N11&gt;=0,O11&lt;=INDEX('Envelope Register'!$L$5:$L$22,MATCH(C11,'Envelope Register'!$A$5:$A$22,0)),P11&gt;=-INDEX('Envelope Register'!$P$5:$P$22,MATCH(C11,'Envelope Register'!$A$5:$A$22,0)),Q11&lt;=INDEX('Envelope Register'!$N$5:$N$22,MATCH(C11,'Envelope Register'!$A$5:$A$22,0)),L11&lt;M11,N11&lt;O11,P11&lt;Q11,R11=1,U11=1),"PASS","FAIL")</f>
        <v>PASS</v>
      </c>
      <c r="T11" s="11" t="s">
        <v>251</v>
      </c>
      <c r="U11" s="12" t="n">
        <f aca="false">COUNTIF($A$5:$A$112,A11)</f>
        <v>1</v>
      </c>
    </row>
    <row r="12" customFormat="false" ht="15" hidden="false" customHeight="false" outlineLevel="0" collapsed="false">
      <c r="A12" s="11" t="s">
        <v>263</v>
      </c>
      <c r="B12" s="11" t="s">
        <v>107</v>
      </c>
      <c r="C12" s="11" t="s">
        <v>12</v>
      </c>
      <c r="D12" s="11" t="s">
        <v>253</v>
      </c>
      <c r="E12" s="22" t="n">
        <v>0.22</v>
      </c>
      <c r="F12" s="22" t="n">
        <v>0.035</v>
      </c>
      <c r="G12" s="22" t="n">
        <v>0.28</v>
      </c>
      <c r="H12" s="22" t="n">
        <v>0.055</v>
      </c>
      <c r="I12" s="11" t="s">
        <v>250</v>
      </c>
      <c r="J12" s="22" t="n">
        <v>0.4</v>
      </c>
      <c r="K12" s="22" t="n">
        <v>0.045</v>
      </c>
      <c r="L12" s="12" t="n">
        <f aca="false">ROUND(INDEX('Envelope Register'!$J$5:$J$22,MATCH(C12,'Envelope Register'!$A$5:$A$22,0))*(E12-F12),0)</f>
        <v>48</v>
      </c>
      <c r="M12" s="12" t="n">
        <f aca="false">ROUND(INDEX('Envelope Register'!$J$5:$J$22,MATCH(C12,'Envelope Register'!$A$5:$A$22,0))*(E12+F12),0)</f>
        <v>66</v>
      </c>
      <c r="N12" s="12" t="n">
        <f aca="false">ROUND(INDEX('Envelope Register'!$L$5:$L$22,MATCH(C12,'Envelope Register'!$A$5:$A$22,0))*(G12-H12),0)</f>
        <v>10</v>
      </c>
      <c r="O12" s="12" t="n">
        <f aca="false">ROUND(INDEX('Envelope Register'!$L$5:$L$22,MATCH(C12,'Envelope Register'!$A$5:$A$22,0))*(G12+H12),0)</f>
        <v>15</v>
      </c>
      <c r="P12" s="12" t="n">
        <f aca="false">IF(I12="DEPTH",ROUND(-INDEX('Envelope Register'!$P$5:$P$22,MATCH(C12,'Envelope Register'!$A$5:$A$22,0))*(J12+K12),0),ROUND(INDEX('Envelope Register'!$N$5:$N$22,MATCH(C12,'Envelope Register'!$A$5:$A$22,0))*(J12-K12),0))</f>
        <v>8</v>
      </c>
      <c r="Q12" s="12" t="n">
        <f aca="false">IF(I12="DEPTH",ROUND(-INDEX('Envelope Register'!$P$5:$P$22,MATCH(C12,'Envelope Register'!$A$5:$A$22,0))*(J12-K12),0),ROUND(INDEX('Envelope Register'!$N$5:$N$22,MATCH(C12,'Envelope Register'!$A$5:$A$22,0))*(J12+K12),0))</f>
        <v>10</v>
      </c>
      <c r="R12" s="12" t="n">
        <f aca="false">COUNTIFS($C$5:$C$112,C12,$D$5:$D$112,D12)</f>
        <v>1</v>
      </c>
      <c r="S12" s="11" t="str">
        <f aca="false">IF(AND(L12&gt;=0,M12&lt;=INDEX('Envelope Register'!$J$5:$J$22,MATCH(C12,'Envelope Register'!$A$5:$A$22,0)),N12&gt;=0,O12&lt;=INDEX('Envelope Register'!$L$5:$L$22,MATCH(C12,'Envelope Register'!$A$5:$A$22,0)),P12&gt;=-INDEX('Envelope Register'!$P$5:$P$22,MATCH(C12,'Envelope Register'!$A$5:$A$22,0)),Q12&lt;=INDEX('Envelope Register'!$N$5:$N$22,MATCH(C12,'Envelope Register'!$A$5:$A$22,0)),L12&lt;M12,N12&lt;O12,P12&lt;Q12,R12=1,U12=1),"PASS","FAIL")</f>
        <v>PASS</v>
      </c>
      <c r="T12" s="11" t="s">
        <v>251</v>
      </c>
      <c r="U12" s="12" t="n">
        <f aca="false">COUNTIF($A$5:$A$112,A12)</f>
        <v>1</v>
      </c>
    </row>
    <row r="13" customFormat="false" ht="15" hidden="false" customHeight="false" outlineLevel="0" collapsed="false">
      <c r="A13" s="11" t="s">
        <v>264</v>
      </c>
      <c r="B13" s="11" t="s">
        <v>107</v>
      </c>
      <c r="C13" s="11" t="s">
        <v>12</v>
      </c>
      <c r="D13" s="11" t="s">
        <v>255</v>
      </c>
      <c r="E13" s="22" t="n">
        <v>0.4</v>
      </c>
      <c r="F13" s="22" t="n">
        <v>0.035</v>
      </c>
      <c r="G13" s="22" t="n">
        <v>0.72</v>
      </c>
      <c r="H13" s="22" t="n">
        <v>0.055</v>
      </c>
      <c r="I13" s="11" t="s">
        <v>250</v>
      </c>
      <c r="J13" s="22" t="n">
        <v>0.4</v>
      </c>
      <c r="K13" s="22" t="n">
        <v>0.045</v>
      </c>
      <c r="L13" s="12" t="n">
        <f aca="false">ROUND(INDEX('Envelope Register'!$J$5:$J$22,MATCH(C13,'Envelope Register'!$A$5:$A$22,0))*(E13-F13),0)</f>
        <v>95</v>
      </c>
      <c r="M13" s="12" t="n">
        <f aca="false">ROUND(INDEX('Envelope Register'!$J$5:$J$22,MATCH(C13,'Envelope Register'!$A$5:$A$22,0))*(E13+F13),0)</f>
        <v>113</v>
      </c>
      <c r="N13" s="12" t="n">
        <f aca="false">ROUND(INDEX('Envelope Register'!$L$5:$L$22,MATCH(C13,'Envelope Register'!$A$5:$A$22,0))*(G13-H13),0)</f>
        <v>30</v>
      </c>
      <c r="O13" s="12" t="n">
        <f aca="false">ROUND(INDEX('Envelope Register'!$L$5:$L$22,MATCH(C13,'Envelope Register'!$A$5:$A$22,0))*(G13+H13),0)</f>
        <v>35</v>
      </c>
      <c r="P13" s="12" t="n">
        <f aca="false">IF(I13="DEPTH",ROUND(-INDEX('Envelope Register'!$P$5:$P$22,MATCH(C13,'Envelope Register'!$A$5:$A$22,0))*(J13+K13),0),ROUND(INDEX('Envelope Register'!$N$5:$N$22,MATCH(C13,'Envelope Register'!$A$5:$A$22,0))*(J13-K13),0))</f>
        <v>8</v>
      </c>
      <c r="Q13" s="12" t="n">
        <f aca="false">IF(I13="DEPTH",ROUND(-INDEX('Envelope Register'!$P$5:$P$22,MATCH(C13,'Envelope Register'!$A$5:$A$22,0))*(J13-K13),0),ROUND(INDEX('Envelope Register'!$N$5:$N$22,MATCH(C13,'Envelope Register'!$A$5:$A$22,0))*(J13+K13),0))</f>
        <v>10</v>
      </c>
      <c r="R13" s="12" t="n">
        <f aca="false">COUNTIFS($C$5:$C$112,C13,$D$5:$D$112,D13)</f>
        <v>1</v>
      </c>
      <c r="S13" s="11" t="str">
        <f aca="false">IF(AND(L13&gt;=0,M13&lt;=INDEX('Envelope Register'!$J$5:$J$22,MATCH(C13,'Envelope Register'!$A$5:$A$22,0)),N13&gt;=0,O13&lt;=INDEX('Envelope Register'!$L$5:$L$22,MATCH(C13,'Envelope Register'!$A$5:$A$22,0)),P13&gt;=-INDEX('Envelope Register'!$P$5:$P$22,MATCH(C13,'Envelope Register'!$A$5:$A$22,0)),Q13&lt;=INDEX('Envelope Register'!$N$5:$N$22,MATCH(C13,'Envelope Register'!$A$5:$A$22,0)),L13&lt;M13,N13&lt;O13,P13&lt;Q13,R13=1,U13=1),"PASS","FAIL")</f>
        <v>PASS</v>
      </c>
      <c r="T13" s="11" t="s">
        <v>251</v>
      </c>
      <c r="U13" s="12" t="n">
        <f aca="false">COUNTIF($A$5:$A$112,A13)</f>
        <v>1</v>
      </c>
    </row>
    <row r="14" customFormat="false" ht="15" hidden="false" customHeight="false" outlineLevel="0" collapsed="false">
      <c r="A14" s="11" t="s">
        <v>265</v>
      </c>
      <c r="B14" s="11" t="s">
        <v>107</v>
      </c>
      <c r="C14" s="11" t="s">
        <v>12</v>
      </c>
      <c r="D14" s="11" t="s">
        <v>257</v>
      </c>
      <c r="E14" s="22" t="n">
        <v>0.6</v>
      </c>
      <c r="F14" s="22" t="n">
        <v>0.035</v>
      </c>
      <c r="G14" s="22" t="n">
        <v>0.28</v>
      </c>
      <c r="H14" s="22" t="n">
        <v>0.055</v>
      </c>
      <c r="I14" s="11" t="s">
        <v>250</v>
      </c>
      <c r="J14" s="22" t="n">
        <v>0.52</v>
      </c>
      <c r="K14" s="22" t="n">
        <v>0.045</v>
      </c>
      <c r="L14" s="12" t="n">
        <f aca="false">ROUND(INDEX('Envelope Register'!$J$5:$J$22,MATCH(C14,'Envelope Register'!$A$5:$A$22,0))*(E14-F14),0)</f>
        <v>147</v>
      </c>
      <c r="M14" s="12" t="n">
        <f aca="false">ROUND(INDEX('Envelope Register'!$J$5:$J$22,MATCH(C14,'Envelope Register'!$A$5:$A$22,0))*(E14+F14),0)</f>
        <v>165</v>
      </c>
      <c r="N14" s="12" t="n">
        <f aca="false">ROUND(INDEX('Envelope Register'!$L$5:$L$22,MATCH(C14,'Envelope Register'!$A$5:$A$22,0))*(G14-H14),0)</f>
        <v>10</v>
      </c>
      <c r="O14" s="12" t="n">
        <f aca="false">ROUND(INDEX('Envelope Register'!$L$5:$L$22,MATCH(C14,'Envelope Register'!$A$5:$A$22,0))*(G14+H14),0)</f>
        <v>15</v>
      </c>
      <c r="P14" s="12" t="n">
        <f aca="false">IF(I14="DEPTH",ROUND(-INDEX('Envelope Register'!$P$5:$P$22,MATCH(C14,'Envelope Register'!$A$5:$A$22,0))*(J14+K14),0),ROUND(INDEX('Envelope Register'!$N$5:$N$22,MATCH(C14,'Envelope Register'!$A$5:$A$22,0))*(J14-K14),0))</f>
        <v>10</v>
      </c>
      <c r="Q14" s="12" t="n">
        <f aca="false">IF(I14="DEPTH",ROUND(-INDEX('Envelope Register'!$P$5:$P$22,MATCH(C14,'Envelope Register'!$A$5:$A$22,0))*(J14-K14),0),ROUND(INDEX('Envelope Register'!$N$5:$N$22,MATCH(C14,'Envelope Register'!$A$5:$A$22,0))*(J14+K14),0))</f>
        <v>12</v>
      </c>
      <c r="R14" s="12" t="n">
        <f aca="false">COUNTIFS($C$5:$C$112,C14,$D$5:$D$112,D14)</f>
        <v>1</v>
      </c>
      <c r="S14" s="11" t="str">
        <f aca="false">IF(AND(L14&gt;=0,M14&lt;=INDEX('Envelope Register'!$J$5:$J$22,MATCH(C14,'Envelope Register'!$A$5:$A$22,0)),N14&gt;=0,O14&lt;=INDEX('Envelope Register'!$L$5:$L$22,MATCH(C14,'Envelope Register'!$A$5:$A$22,0)),P14&gt;=-INDEX('Envelope Register'!$P$5:$P$22,MATCH(C14,'Envelope Register'!$A$5:$A$22,0)),Q14&lt;=INDEX('Envelope Register'!$N$5:$N$22,MATCH(C14,'Envelope Register'!$A$5:$A$22,0)),L14&lt;M14,N14&lt;O14,P14&lt;Q14,R14=1,U14=1),"PASS","FAIL")</f>
        <v>PASS</v>
      </c>
      <c r="T14" s="11" t="s">
        <v>251</v>
      </c>
      <c r="U14" s="12" t="n">
        <f aca="false">COUNTIF($A$5:$A$112,A14)</f>
        <v>1</v>
      </c>
    </row>
    <row r="15" customFormat="false" ht="15" hidden="false" customHeight="false" outlineLevel="0" collapsed="false">
      <c r="A15" s="11" t="s">
        <v>266</v>
      </c>
      <c r="B15" s="11" t="s">
        <v>107</v>
      </c>
      <c r="C15" s="11" t="s">
        <v>12</v>
      </c>
      <c r="D15" s="11" t="s">
        <v>259</v>
      </c>
      <c r="E15" s="22" t="n">
        <v>0.78</v>
      </c>
      <c r="F15" s="22" t="n">
        <v>0.035</v>
      </c>
      <c r="G15" s="22" t="n">
        <v>0.72</v>
      </c>
      <c r="H15" s="22" t="n">
        <v>0.055</v>
      </c>
      <c r="I15" s="11" t="s">
        <v>250</v>
      </c>
      <c r="J15" s="22" t="n">
        <v>0.65</v>
      </c>
      <c r="K15" s="22" t="n">
        <v>0.045</v>
      </c>
      <c r="L15" s="12" t="n">
        <f aca="false">ROUND(INDEX('Envelope Register'!$J$5:$J$22,MATCH(C15,'Envelope Register'!$A$5:$A$22,0))*(E15-F15),0)</f>
        <v>194</v>
      </c>
      <c r="M15" s="12" t="n">
        <f aca="false">ROUND(INDEX('Envelope Register'!$J$5:$J$22,MATCH(C15,'Envelope Register'!$A$5:$A$22,0))*(E15+F15),0)</f>
        <v>212</v>
      </c>
      <c r="N15" s="12" t="n">
        <f aca="false">ROUND(INDEX('Envelope Register'!$L$5:$L$22,MATCH(C15,'Envelope Register'!$A$5:$A$22,0))*(G15-H15),0)</f>
        <v>30</v>
      </c>
      <c r="O15" s="12" t="n">
        <f aca="false">ROUND(INDEX('Envelope Register'!$L$5:$L$22,MATCH(C15,'Envelope Register'!$A$5:$A$22,0))*(G15+H15),0)</f>
        <v>35</v>
      </c>
      <c r="P15" s="12" t="n">
        <f aca="false">IF(I15="DEPTH",ROUND(-INDEX('Envelope Register'!$P$5:$P$22,MATCH(C15,'Envelope Register'!$A$5:$A$22,0))*(J15+K15),0),ROUND(INDEX('Envelope Register'!$N$5:$N$22,MATCH(C15,'Envelope Register'!$A$5:$A$22,0))*(J15-K15),0))</f>
        <v>13</v>
      </c>
      <c r="Q15" s="12" t="n">
        <f aca="false">IF(I15="DEPTH",ROUND(-INDEX('Envelope Register'!$P$5:$P$22,MATCH(C15,'Envelope Register'!$A$5:$A$22,0))*(J15-K15),0),ROUND(INDEX('Envelope Register'!$N$5:$N$22,MATCH(C15,'Envelope Register'!$A$5:$A$22,0))*(J15+K15),0))</f>
        <v>15</v>
      </c>
      <c r="R15" s="12" t="n">
        <f aca="false">COUNTIFS($C$5:$C$112,C15,$D$5:$D$112,D15)</f>
        <v>1</v>
      </c>
      <c r="S15" s="11" t="str">
        <f aca="false">IF(AND(L15&gt;=0,M15&lt;=INDEX('Envelope Register'!$J$5:$J$22,MATCH(C15,'Envelope Register'!$A$5:$A$22,0)),N15&gt;=0,O15&lt;=INDEX('Envelope Register'!$L$5:$L$22,MATCH(C15,'Envelope Register'!$A$5:$A$22,0)),P15&gt;=-INDEX('Envelope Register'!$P$5:$P$22,MATCH(C15,'Envelope Register'!$A$5:$A$22,0)),Q15&lt;=INDEX('Envelope Register'!$N$5:$N$22,MATCH(C15,'Envelope Register'!$A$5:$A$22,0)),L15&lt;M15,N15&lt;O15,P15&lt;Q15,R15=1,U15=1),"PASS","FAIL")</f>
        <v>PASS</v>
      </c>
      <c r="T15" s="11" t="s">
        <v>251</v>
      </c>
      <c r="U15" s="12" t="n">
        <f aca="false">COUNTIF($A$5:$A$112,A15)</f>
        <v>1</v>
      </c>
    </row>
    <row r="16" customFormat="false" ht="15" hidden="false" customHeight="false" outlineLevel="0" collapsed="false">
      <c r="A16" s="11" t="s">
        <v>267</v>
      </c>
      <c r="B16" s="11" t="s">
        <v>107</v>
      </c>
      <c r="C16" s="11" t="s">
        <v>12</v>
      </c>
      <c r="D16" s="11" t="s">
        <v>261</v>
      </c>
      <c r="E16" s="22" t="n">
        <v>0.94</v>
      </c>
      <c r="F16" s="22" t="n">
        <v>0.035</v>
      </c>
      <c r="G16" s="22" t="n">
        <v>0.5</v>
      </c>
      <c r="H16" s="22" t="n">
        <v>0.055</v>
      </c>
      <c r="I16" s="11" t="s">
        <v>250</v>
      </c>
      <c r="J16" s="22" t="n">
        <v>0.22</v>
      </c>
      <c r="K16" s="22" t="n">
        <v>0.045</v>
      </c>
      <c r="L16" s="12" t="n">
        <f aca="false">ROUND(INDEX('Envelope Register'!$J$5:$J$22,MATCH(C16,'Envelope Register'!$A$5:$A$22,0))*(E16-F16),0)</f>
        <v>235</v>
      </c>
      <c r="M16" s="12" t="n">
        <f aca="false">ROUND(INDEX('Envelope Register'!$J$5:$J$22,MATCH(C16,'Envelope Register'!$A$5:$A$22,0))*(E16+F16),0)</f>
        <v>254</v>
      </c>
      <c r="N16" s="12" t="n">
        <f aca="false">ROUND(INDEX('Envelope Register'!$L$5:$L$22,MATCH(C16,'Envelope Register'!$A$5:$A$22,0))*(G16-H16),0)</f>
        <v>20</v>
      </c>
      <c r="O16" s="12" t="n">
        <f aca="false">ROUND(INDEX('Envelope Register'!$L$5:$L$22,MATCH(C16,'Envelope Register'!$A$5:$A$22,0))*(G16+H16),0)</f>
        <v>25</v>
      </c>
      <c r="P16" s="12" t="n">
        <f aca="false">IF(I16="DEPTH",ROUND(-INDEX('Envelope Register'!$P$5:$P$22,MATCH(C16,'Envelope Register'!$A$5:$A$22,0))*(J16+K16),0),ROUND(INDEX('Envelope Register'!$N$5:$N$22,MATCH(C16,'Envelope Register'!$A$5:$A$22,0))*(J16-K16),0))</f>
        <v>4</v>
      </c>
      <c r="Q16" s="12" t="n">
        <f aca="false">IF(I16="DEPTH",ROUND(-INDEX('Envelope Register'!$P$5:$P$22,MATCH(C16,'Envelope Register'!$A$5:$A$22,0))*(J16-K16),0),ROUND(INDEX('Envelope Register'!$N$5:$N$22,MATCH(C16,'Envelope Register'!$A$5:$A$22,0))*(J16+K16),0))</f>
        <v>6</v>
      </c>
      <c r="R16" s="12" t="n">
        <f aca="false">COUNTIFS($C$5:$C$112,C16,$D$5:$D$112,D16)</f>
        <v>1</v>
      </c>
      <c r="S16" s="11" t="str">
        <f aca="false">IF(AND(L16&gt;=0,M16&lt;=INDEX('Envelope Register'!$J$5:$J$22,MATCH(C16,'Envelope Register'!$A$5:$A$22,0)),N16&gt;=0,O16&lt;=INDEX('Envelope Register'!$L$5:$L$22,MATCH(C16,'Envelope Register'!$A$5:$A$22,0)),P16&gt;=-INDEX('Envelope Register'!$P$5:$P$22,MATCH(C16,'Envelope Register'!$A$5:$A$22,0)),Q16&lt;=INDEX('Envelope Register'!$N$5:$N$22,MATCH(C16,'Envelope Register'!$A$5:$A$22,0)),L16&lt;M16,N16&lt;O16,P16&lt;Q16,R16=1,U16=1),"PASS","FAIL")</f>
        <v>PASS</v>
      </c>
      <c r="T16" s="11" t="s">
        <v>251</v>
      </c>
      <c r="U16" s="12" t="n">
        <f aca="false">COUNTIF($A$5:$A$112,A16)</f>
        <v>1</v>
      </c>
    </row>
    <row r="17" customFormat="false" ht="15" hidden="false" customHeight="false" outlineLevel="0" collapsed="false">
      <c r="A17" s="11" t="s">
        <v>268</v>
      </c>
      <c r="B17" s="11" t="s">
        <v>107</v>
      </c>
      <c r="C17" s="11" t="s">
        <v>15</v>
      </c>
      <c r="D17" s="11" t="s">
        <v>249</v>
      </c>
      <c r="E17" s="22" t="n">
        <v>0.15</v>
      </c>
      <c r="F17" s="22" t="n">
        <v>0.035</v>
      </c>
      <c r="G17" s="22" t="n">
        <v>0.2</v>
      </c>
      <c r="H17" s="22" t="n">
        <v>0.055</v>
      </c>
      <c r="I17" s="11" t="s">
        <v>250</v>
      </c>
      <c r="J17" s="22" t="n">
        <v>0.1</v>
      </c>
      <c r="K17" s="22" t="n">
        <v>0.045</v>
      </c>
      <c r="L17" s="12" t="n">
        <f aca="false">ROUND(INDEX('Envelope Register'!$J$5:$J$22,MATCH(C17,'Envelope Register'!$A$5:$A$22,0))*(E17-F17),0)</f>
        <v>22</v>
      </c>
      <c r="M17" s="12" t="n">
        <f aca="false">ROUND(INDEX('Envelope Register'!$J$5:$J$22,MATCH(C17,'Envelope Register'!$A$5:$A$22,0))*(E17+F17),0)</f>
        <v>35</v>
      </c>
      <c r="N17" s="12" t="n">
        <f aca="false">ROUND(INDEX('Envelope Register'!$L$5:$L$22,MATCH(C17,'Envelope Register'!$A$5:$A$22,0))*(G17-H17),0)</f>
        <v>15</v>
      </c>
      <c r="O17" s="12" t="n">
        <f aca="false">ROUND(INDEX('Envelope Register'!$L$5:$L$22,MATCH(C17,'Envelope Register'!$A$5:$A$22,0))*(G17+H17),0)</f>
        <v>26</v>
      </c>
      <c r="P17" s="12" t="n">
        <f aca="false">IF(I17="DEPTH",ROUND(-INDEX('Envelope Register'!$P$5:$P$22,MATCH(C17,'Envelope Register'!$A$5:$A$22,0))*(J17+K17),0),ROUND(INDEX('Envelope Register'!$N$5:$N$22,MATCH(C17,'Envelope Register'!$A$5:$A$22,0))*(J17-K17),0))</f>
        <v>1</v>
      </c>
      <c r="Q17" s="12" t="n">
        <f aca="false">IF(I17="DEPTH",ROUND(-INDEX('Envelope Register'!$P$5:$P$22,MATCH(C17,'Envelope Register'!$A$5:$A$22,0))*(J17-K17),0),ROUND(INDEX('Envelope Register'!$N$5:$N$22,MATCH(C17,'Envelope Register'!$A$5:$A$22,0))*(J17+K17),0))</f>
        <v>3</v>
      </c>
      <c r="R17" s="12" t="n">
        <f aca="false">COUNTIFS($C$5:$C$112,C17,$D$5:$D$112,D17)</f>
        <v>1</v>
      </c>
      <c r="S17" s="11" t="str">
        <f aca="false">IF(AND(L17&gt;=0,M17&lt;=INDEX('Envelope Register'!$J$5:$J$22,MATCH(C17,'Envelope Register'!$A$5:$A$22,0)),N17&gt;=0,O17&lt;=INDEX('Envelope Register'!$L$5:$L$22,MATCH(C17,'Envelope Register'!$A$5:$A$22,0)),P17&gt;=-INDEX('Envelope Register'!$P$5:$P$22,MATCH(C17,'Envelope Register'!$A$5:$A$22,0)),Q17&lt;=INDEX('Envelope Register'!$N$5:$N$22,MATCH(C17,'Envelope Register'!$A$5:$A$22,0)),L17&lt;M17,N17&lt;O17,P17&lt;Q17,R17=1,U17=1),"PASS","FAIL")</f>
        <v>PASS</v>
      </c>
      <c r="T17" s="11" t="s">
        <v>251</v>
      </c>
      <c r="U17" s="12" t="n">
        <f aca="false">COUNTIF($A$5:$A$112,A17)</f>
        <v>1</v>
      </c>
    </row>
    <row r="18" customFormat="false" ht="15" hidden="false" customHeight="false" outlineLevel="0" collapsed="false">
      <c r="A18" s="11" t="s">
        <v>269</v>
      </c>
      <c r="B18" s="11" t="s">
        <v>107</v>
      </c>
      <c r="C18" s="11" t="s">
        <v>15</v>
      </c>
      <c r="D18" s="11" t="s">
        <v>253</v>
      </c>
      <c r="E18" s="22" t="n">
        <v>0.15</v>
      </c>
      <c r="F18" s="22" t="n">
        <v>0.035</v>
      </c>
      <c r="G18" s="22" t="n">
        <v>0.8</v>
      </c>
      <c r="H18" s="22" t="n">
        <v>0.055</v>
      </c>
      <c r="I18" s="11" t="s">
        <v>250</v>
      </c>
      <c r="J18" s="22" t="n">
        <v>0.4</v>
      </c>
      <c r="K18" s="22" t="n">
        <v>0.045</v>
      </c>
      <c r="L18" s="12" t="n">
        <f aca="false">ROUND(INDEX('Envelope Register'!$J$5:$J$22,MATCH(C18,'Envelope Register'!$A$5:$A$22,0))*(E18-F18),0)</f>
        <v>22</v>
      </c>
      <c r="M18" s="12" t="n">
        <f aca="false">ROUND(INDEX('Envelope Register'!$J$5:$J$22,MATCH(C18,'Envelope Register'!$A$5:$A$22,0))*(E18+F18),0)</f>
        <v>35</v>
      </c>
      <c r="N18" s="12" t="n">
        <f aca="false">ROUND(INDEX('Envelope Register'!$L$5:$L$22,MATCH(C18,'Envelope Register'!$A$5:$A$22,0))*(G18-H18),0)</f>
        <v>75</v>
      </c>
      <c r="O18" s="12" t="n">
        <f aca="false">ROUND(INDEX('Envelope Register'!$L$5:$L$22,MATCH(C18,'Envelope Register'!$A$5:$A$22,0))*(G18+H18),0)</f>
        <v>86</v>
      </c>
      <c r="P18" s="12" t="n">
        <f aca="false">IF(I18="DEPTH",ROUND(-INDEX('Envelope Register'!$P$5:$P$22,MATCH(C18,'Envelope Register'!$A$5:$A$22,0))*(J18+K18),0),ROUND(INDEX('Envelope Register'!$N$5:$N$22,MATCH(C18,'Envelope Register'!$A$5:$A$22,0))*(J18-K18),0))</f>
        <v>7</v>
      </c>
      <c r="Q18" s="12" t="n">
        <f aca="false">IF(I18="DEPTH",ROUND(-INDEX('Envelope Register'!$P$5:$P$22,MATCH(C18,'Envelope Register'!$A$5:$A$22,0))*(J18-K18),0),ROUND(INDEX('Envelope Register'!$N$5:$N$22,MATCH(C18,'Envelope Register'!$A$5:$A$22,0))*(J18+K18),0))</f>
        <v>9</v>
      </c>
      <c r="R18" s="12" t="n">
        <f aca="false">COUNTIFS($C$5:$C$112,C18,$D$5:$D$112,D18)</f>
        <v>1</v>
      </c>
      <c r="S18" s="11" t="str">
        <f aca="false">IF(AND(L18&gt;=0,M18&lt;=INDEX('Envelope Register'!$J$5:$J$22,MATCH(C18,'Envelope Register'!$A$5:$A$22,0)),N18&gt;=0,O18&lt;=INDEX('Envelope Register'!$L$5:$L$22,MATCH(C18,'Envelope Register'!$A$5:$A$22,0)),P18&gt;=-INDEX('Envelope Register'!$P$5:$P$22,MATCH(C18,'Envelope Register'!$A$5:$A$22,0)),Q18&lt;=INDEX('Envelope Register'!$N$5:$N$22,MATCH(C18,'Envelope Register'!$A$5:$A$22,0)),L18&lt;M18,N18&lt;O18,P18&lt;Q18,R18=1,U18=1),"PASS","FAIL")</f>
        <v>PASS</v>
      </c>
      <c r="T18" s="11" t="s">
        <v>251</v>
      </c>
      <c r="U18" s="12" t="n">
        <f aca="false">COUNTIF($A$5:$A$112,A18)</f>
        <v>1</v>
      </c>
    </row>
    <row r="19" customFormat="false" ht="15" hidden="false" customHeight="false" outlineLevel="0" collapsed="false">
      <c r="A19" s="11" t="s">
        <v>270</v>
      </c>
      <c r="B19" s="11" t="s">
        <v>107</v>
      </c>
      <c r="C19" s="11" t="s">
        <v>15</v>
      </c>
      <c r="D19" s="11" t="s">
        <v>255</v>
      </c>
      <c r="E19" s="22" t="n">
        <v>0.5</v>
      </c>
      <c r="F19" s="22" t="n">
        <v>0.035</v>
      </c>
      <c r="G19" s="22" t="n">
        <v>0.2</v>
      </c>
      <c r="H19" s="22" t="n">
        <v>0.055</v>
      </c>
      <c r="I19" s="11" t="s">
        <v>250</v>
      </c>
      <c r="J19" s="22" t="n">
        <v>0.4</v>
      </c>
      <c r="K19" s="22" t="n">
        <v>0.045</v>
      </c>
      <c r="L19" s="12" t="n">
        <f aca="false">ROUND(INDEX('Envelope Register'!$J$5:$J$22,MATCH(C19,'Envelope Register'!$A$5:$A$22,0))*(E19-F19),0)</f>
        <v>88</v>
      </c>
      <c r="M19" s="12" t="n">
        <f aca="false">ROUND(INDEX('Envelope Register'!$J$5:$J$22,MATCH(C19,'Envelope Register'!$A$5:$A$22,0))*(E19+F19),0)</f>
        <v>102</v>
      </c>
      <c r="N19" s="12" t="n">
        <f aca="false">ROUND(INDEX('Envelope Register'!$L$5:$L$22,MATCH(C19,'Envelope Register'!$A$5:$A$22,0))*(G19-H19),0)</f>
        <v>15</v>
      </c>
      <c r="O19" s="12" t="n">
        <f aca="false">ROUND(INDEX('Envelope Register'!$L$5:$L$22,MATCH(C19,'Envelope Register'!$A$5:$A$22,0))*(G19+H19),0)</f>
        <v>26</v>
      </c>
      <c r="P19" s="12" t="n">
        <f aca="false">IF(I19="DEPTH",ROUND(-INDEX('Envelope Register'!$P$5:$P$22,MATCH(C19,'Envelope Register'!$A$5:$A$22,0))*(J19+K19),0),ROUND(INDEX('Envelope Register'!$N$5:$N$22,MATCH(C19,'Envelope Register'!$A$5:$A$22,0))*(J19-K19),0))</f>
        <v>7</v>
      </c>
      <c r="Q19" s="12" t="n">
        <f aca="false">IF(I19="DEPTH",ROUND(-INDEX('Envelope Register'!$P$5:$P$22,MATCH(C19,'Envelope Register'!$A$5:$A$22,0))*(J19-K19),0),ROUND(INDEX('Envelope Register'!$N$5:$N$22,MATCH(C19,'Envelope Register'!$A$5:$A$22,0))*(J19+K19),0))</f>
        <v>9</v>
      </c>
      <c r="R19" s="12" t="n">
        <f aca="false">COUNTIFS($C$5:$C$112,C19,$D$5:$D$112,D19)</f>
        <v>1</v>
      </c>
      <c r="S19" s="11" t="str">
        <f aca="false">IF(AND(L19&gt;=0,M19&lt;=INDEX('Envelope Register'!$J$5:$J$22,MATCH(C19,'Envelope Register'!$A$5:$A$22,0)),N19&gt;=0,O19&lt;=INDEX('Envelope Register'!$L$5:$L$22,MATCH(C19,'Envelope Register'!$A$5:$A$22,0)),P19&gt;=-INDEX('Envelope Register'!$P$5:$P$22,MATCH(C19,'Envelope Register'!$A$5:$A$22,0)),Q19&lt;=INDEX('Envelope Register'!$N$5:$N$22,MATCH(C19,'Envelope Register'!$A$5:$A$22,0)),L19&lt;M19,N19&lt;O19,P19&lt;Q19,R19=1,U19=1),"PASS","FAIL")</f>
        <v>PASS</v>
      </c>
      <c r="T19" s="11" t="s">
        <v>251</v>
      </c>
      <c r="U19" s="12" t="n">
        <f aca="false">COUNTIF($A$5:$A$112,A19)</f>
        <v>1</v>
      </c>
    </row>
    <row r="20" customFormat="false" ht="15" hidden="false" customHeight="false" outlineLevel="0" collapsed="false">
      <c r="A20" s="11" t="s">
        <v>271</v>
      </c>
      <c r="B20" s="11" t="s">
        <v>107</v>
      </c>
      <c r="C20" s="11" t="s">
        <v>15</v>
      </c>
      <c r="D20" s="11" t="s">
        <v>257</v>
      </c>
      <c r="E20" s="22" t="n">
        <v>0.5</v>
      </c>
      <c r="F20" s="22" t="n">
        <v>0.035</v>
      </c>
      <c r="G20" s="22" t="n">
        <v>0.8</v>
      </c>
      <c r="H20" s="22" t="n">
        <v>0.055</v>
      </c>
      <c r="I20" s="11" t="s">
        <v>250</v>
      </c>
      <c r="J20" s="22" t="n">
        <v>0.52</v>
      </c>
      <c r="K20" s="22" t="n">
        <v>0.045</v>
      </c>
      <c r="L20" s="12" t="n">
        <f aca="false">ROUND(INDEX('Envelope Register'!$J$5:$J$22,MATCH(C20,'Envelope Register'!$A$5:$A$22,0))*(E20-F20),0)</f>
        <v>88</v>
      </c>
      <c r="M20" s="12" t="n">
        <f aca="false">ROUND(INDEX('Envelope Register'!$J$5:$J$22,MATCH(C20,'Envelope Register'!$A$5:$A$22,0))*(E20+F20),0)</f>
        <v>102</v>
      </c>
      <c r="N20" s="12" t="n">
        <f aca="false">ROUND(INDEX('Envelope Register'!$L$5:$L$22,MATCH(C20,'Envelope Register'!$A$5:$A$22,0))*(G20-H20),0)</f>
        <v>75</v>
      </c>
      <c r="O20" s="12" t="n">
        <f aca="false">ROUND(INDEX('Envelope Register'!$L$5:$L$22,MATCH(C20,'Envelope Register'!$A$5:$A$22,0))*(G20+H20),0)</f>
        <v>86</v>
      </c>
      <c r="P20" s="12" t="n">
        <f aca="false">IF(I20="DEPTH",ROUND(-INDEX('Envelope Register'!$P$5:$P$22,MATCH(C20,'Envelope Register'!$A$5:$A$22,0))*(J20+K20),0),ROUND(INDEX('Envelope Register'!$N$5:$N$22,MATCH(C20,'Envelope Register'!$A$5:$A$22,0))*(J20-K20),0))</f>
        <v>10</v>
      </c>
      <c r="Q20" s="12" t="n">
        <f aca="false">IF(I20="DEPTH",ROUND(-INDEX('Envelope Register'!$P$5:$P$22,MATCH(C20,'Envelope Register'!$A$5:$A$22,0))*(J20-K20),0),ROUND(INDEX('Envelope Register'!$N$5:$N$22,MATCH(C20,'Envelope Register'!$A$5:$A$22,0))*(J20+K20),0))</f>
        <v>11</v>
      </c>
      <c r="R20" s="12" t="n">
        <f aca="false">COUNTIFS($C$5:$C$112,C20,$D$5:$D$112,D20)</f>
        <v>1</v>
      </c>
      <c r="S20" s="11" t="str">
        <f aca="false">IF(AND(L20&gt;=0,M20&lt;=INDEX('Envelope Register'!$J$5:$J$22,MATCH(C20,'Envelope Register'!$A$5:$A$22,0)),N20&gt;=0,O20&lt;=INDEX('Envelope Register'!$L$5:$L$22,MATCH(C20,'Envelope Register'!$A$5:$A$22,0)),P20&gt;=-INDEX('Envelope Register'!$P$5:$P$22,MATCH(C20,'Envelope Register'!$A$5:$A$22,0)),Q20&lt;=INDEX('Envelope Register'!$N$5:$N$22,MATCH(C20,'Envelope Register'!$A$5:$A$22,0)),L20&lt;M20,N20&lt;O20,P20&lt;Q20,R20=1,U20=1),"PASS","FAIL")</f>
        <v>PASS</v>
      </c>
      <c r="T20" s="11" t="s">
        <v>251</v>
      </c>
      <c r="U20" s="12" t="n">
        <f aca="false">COUNTIF($A$5:$A$112,A20)</f>
        <v>1</v>
      </c>
    </row>
    <row r="21" customFormat="false" ht="15" hidden="false" customHeight="false" outlineLevel="0" collapsed="false">
      <c r="A21" s="11" t="s">
        <v>272</v>
      </c>
      <c r="B21" s="11" t="s">
        <v>107</v>
      </c>
      <c r="C21" s="11" t="s">
        <v>15</v>
      </c>
      <c r="D21" s="11" t="s">
        <v>259</v>
      </c>
      <c r="E21" s="22" t="n">
        <v>0.85</v>
      </c>
      <c r="F21" s="22" t="n">
        <v>0.035</v>
      </c>
      <c r="G21" s="22" t="n">
        <v>0.2</v>
      </c>
      <c r="H21" s="22" t="n">
        <v>0.055</v>
      </c>
      <c r="I21" s="11" t="s">
        <v>250</v>
      </c>
      <c r="J21" s="22" t="n">
        <v>0.65</v>
      </c>
      <c r="K21" s="22" t="n">
        <v>0.045</v>
      </c>
      <c r="L21" s="12" t="n">
        <f aca="false">ROUND(INDEX('Envelope Register'!$J$5:$J$22,MATCH(C21,'Envelope Register'!$A$5:$A$22,0))*(E21-F21),0)</f>
        <v>155</v>
      </c>
      <c r="M21" s="12" t="n">
        <f aca="false">ROUND(INDEX('Envelope Register'!$J$5:$J$22,MATCH(C21,'Envelope Register'!$A$5:$A$22,0))*(E21+F21),0)</f>
        <v>168</v>
      </c>
      <c r="N21" s="12" t="n">
        <f aca="false">ROUND(INDEX('Envelope Register'!$L$5:$L$22,MATCH(C21,'Envelope Register'!$A$5:$A$22,0))*(G21-H21),0)</f>
        <v>15</v>
      </c>
      <c r="O21" s="12" t="n">
        <f aca="false">ROUND(INDEX('Envelope Register'!$L$5:$L$22,MATCH(C21,'Envelope Register'!$A$5:$A$22,0))*(G21+H21),0)</f>
        <v>26</v>
      </c>
      <c r="P21" s="12" t="n">
        <f aca="false">IF(I21="DEPTH",ROUND(-INDEX('Envelope Register'!$P$5:$P$22,MATCH(C21,'Envelope Register'!$A$5:$A$22,0))*(J21+K21),0),ROUND(INDEX('Envelope Register'!$N$5:$N$22,MATCH(C21,'Envelope Register'!$A$5:$A$22,0))*(J21-K21),0))</f>
        <v>12</v>
      </c>
      <c r="Q21" s="12" t="n">
        <f aca="false">IF(I21="DEPTH",ROUND(-INDEX('Envelope Register'!$P$5:$P$22,MATCH(C21,'Envelope Register'!$A$5:$A$22,0))*(J21-K21),0),ROUND(INDEX('Envelope Register'!$N$5:$N$22,MATCH(C21,'Envelope Register'!$A$5:$A$22,0))*(J21+K21),0))</f>
        <v>14</v>
      </c>
      <c r="R21" s="12" t="n">
        <f aca="false">COUNTIFS($C$5:$C$112,C21,$D$5:$D$112,D21)</f>
        <v>1</v>
      </c>
      <c r="S21" s="11" t="str">
        <f aca="false">IF(AND(L21&gt;=0,M21&lt;=INDEX('Envelope Register'!$J$5:$J$22,MATCH(C21,'Envelope Register'!$A$5:$A$22,0)),N21&gt;=0,O21&lt;=INDEX('Envelope Register'!$L$5:$L$22,MATCH(C21,'Envelope Register'!$A$5:$A$22,0)),P21&gt;=-INDEX('Envelope Register'!$P$5:$P$22,MATCH(C21,'Envelope Register'!$A$5:$A$22,0)),Q21&lt;=INDEX('Envelope Register'!$N$5:$N$22,MATCH(C21,'Envelope Register'!$A$5:$A$22,0)),L21&lt;M21,N21&lt;O21,P21&lt;Q21,R21=1,U21=1),"PASS","FAIL")</f>
        <v>PASS</v>
      </c>
      <c r="T21" s="11" t="s">
        <v>251</v>
      </c>
      <c r="U21" s="12" t="n">
        <f aca="false">COUNTIF($A$5:$A$112,A21)</f>
        <v>1</v>
      </c>
    </row>
    <row r="22" customFormat="false" ht="15" hidden="false" customHeight="false" outlineLevel="0" collapsed="false">
      <c r="A22" s="11" t="s">
        <v>273</v>
      </c>
      <c r="B22" s="11" t="s">
        <v>107</v>
      </c>
      <c r="C22" s="11" t="s">
        <v>15</v>
      </c>
      <c r="D22" s="11" t="s">
        <v>261</v>
      </c>
      <c r="E22" s="22" t="n">
        <v>0.85</v>
      </c>
      <c r="F22" s="22" t="n">
        <v>0.035</v>
      </c>
      <c r="G22" s="22" t="n">
        <v>0.8</v>
      </c>
      <c r="H22" s="22" t="n">
        <v>0.055</v>
      </c>
      <c r="I22" s="11" t="s">
        <v>250</v>
      </c>
      <c r="J22" s="22" t="n">
        <v>0.22</v>
      </c>
      <c r="K22" s="22" t="n">
        <v>0.045</v>
      </c>
      <c r="L22" s="12" t="n">
        <f aca="false">ROUND(INDEX('Envelope Register'!$J$5:$J$22,MATCH(C22,'Envelope Register'!$A$5:$A$22,0))*(E22-F22),0)</f>
        <v>155</v>
      </c>
      <c r="M22" s="12" t="n">
        <f aca="false">ROUND(INDEX('Envelope Register'!$J$5:$J$22,MATCH(C22,'Envelope Register'!$A$5:$A$22,0))*(E22+F22),0)</f>
        <v>168</v>
      </c>
      <c r="N22" s="12" t="n">
        <f aca="false">ROUND(INDEX('Envelope Register'!$L$5:$L$22,MATCH(C22,'Envelope Register'!$A$5:$A$22,0))*(G22-H22),0)</f>
        <v>75</v>
      </c>
      <c r="O22" s="12" t="n">
        <f aca="false">ROUND(INDEX('Envelope Register'!$L$5:$L$22,MATCH(C22,'Envelope Register'!$A$5:$A$22,0))*(G22+H22),0)</f>
        <v>86</v>
      </c>
      <c r="P22" s="12" t="n">
        <f aca="false">IF(I22="DEPTH",ROUND(-INDEX('Envelope Register'!$P$5:$P$22,MATCH(C22,'Envelope Register'!$A$5:$A$22,0))*(J22+K22),0),ROUND(INDEX('Envelope Register'!$N$5:$N$22,MATCH(C22,'Envelope Register'!$A$5:$A$22,0))*(J22-K22),0))</f>
        <v>4</v>
      </c>
      <c r="Q22" s="12" t="n">
        <f aca="false">IF(I22="DEPTH",ROUND(-INDEX('Envelope Register'!$P$5:$P$22,MATCH(C22,'Envelope Register'!$A$5:$A$22,0))*(J22-K22),0),ROUND(INDEX('Envelope Register'!$N$5:$N$22,MATCH(C22,'Envelope Register'!$A$5:$A$22,0))*(J22+K22),0))</f>
        <v>5</v>
      </c>
      <c r="R22" s="12" t="n">
        <f aca="false">COUNTIFS($C$5:$C$112,C22,$D$5:$D$112,D22)</f>
        <v>1</v>
      </c>
      <c r="S22" s="11" t="str">
        <f aca="false">IF(AND(L22&gt;=0,M22&lt;=INDEX('Envelope Register'!$J$5:$J$22,MATCH(C22,'Envelope Register'!$A$5:$A$22,0)),N22&gt;=0,O22&lt;=INDEX('Envelope Register'!$L$5:$L$22,MATCH(C22,'Envelope Register'!$A$5:$A$22,0)),P22&gt;=-INDEX('Envelope Register'!$P$5:$P$22,MATCH(C22,'Envelope Register'!$A$5:$A$22,0)),Q22&lt;=INDEX('Envelope Register'!$N$5:$N$22,MATCH(C22,'Envelope Register'!$A$5:$A$22,0)),L22&lt;M22,N22&lt;O22,P22&lt;Q22,R22=1,U22=1),"PASS","FAIL")</f>
        <v>PASS</v>
      </c>
      <c r="T22" s="11" t="s">
        <v>251</v>
      </c>
      <c r="U22" s="12" t="n">
        <f aca="false">COUNTIF($A$5:$A$112,A22)</f>
        <v>1</v>
      </c>
    </row>
    <row r="23" customFormat="false" ht="15" hidden="false" customHeight="false" outlineLevel="0" collapsed="false">
      <c r="A23" s="11" t="s">
        <v>274</v>
      </c>
      <c r="B23" s="11" t="s">
        <v>123</v>
      </c>
      <c r="C23" s="11" t="s">
        <v>17</v>
      </c>
      <c r="D23" s="11" t="s">
        <v>275</v>
      </c>
      <c r="E23" s="22" t="n">
        <v>0.08</v>
      </c>
      <c r="F23" s="22" t="n">
        <v>0.035</v>
      </c>
      <c r="G23" s="22" t="n">
        <v>0.18</v>
      </c>
      <c r="H23" s="22" t="n">
        <v>0.055</v>
      </c>
      <c r="I23" s="11" t="s">
        <v>250</v>
      </c>
      <c r="J23" s="22" t="n">
        <v>0.08</v>
      </c>
      <c r="K23" s="22" t="n">
        <v>0.045</v>
      </c>
      <c r="L23" s="12" t="n">
        <f aca="false">ROUND(INDEX('Envelope Register'!$J$5:$J$22,MATCH(C23,'Envelope Register'!$A$5:$A$22,0))*(E23-F23),0)</f>
        <v>20</v>
      </c>
      <c r="M23" s="12" t="n">
        <f aca="false">ROUND(INDEX('Envelope Register'!$J$5:$J$22,MATCH(C23,'Envelope Register'!$A$5:$A$22,0))*(E23+F23),0)</f>
        <v>52</v>
      </c>
      <c r="N23" s="12" t="n">
        <f aca="false">ROUND(INDEX('Envelope Register'!$L$5:$L$22,MATCH(C23,'Envelope Register'!$A$5:$A$22,0))*(G23-H23),0)</f>
        <v>2</v>
      </c>
      <c r="O23" s="12" t="n">
        <f aca="false">ROUND(INDEX('Envelope Register'!$L$5:$L$22,MATCH(C23,'Envelope Register'!$A$5:$A$22,0))*(G23+H23),0)</f>
        <v>4</v>
      </c>
      <c r="P23" s="12" t="n">
        <f aca="false">IF(I23="DEPTH",ROUND(-INDEX('Envelope Register'!$P$5:$P$22,MATCH(C23,'Envelope Register'!$A$5:$A$22,0))*(J23+K23),0),ROUND(INDEX('Envelope Register'!$N$5:$N$22,MATCH(C23,'Envelope Register'!$A$5:$A$22,0))*(J23-K23),0))</f>
        <v>1</v>
      </c>
      <c r="Q23" s="12" t="n">
        <f aca="false">IF(I23="DEPTH",ROUND(-INDEX('Envelope Register'!$P$5:$P$22,MATCH(C23,'Envelope Register'!$A$5:$A$22,0))*(J23-K23),0),ROUND(INDEX('Envelope Register'!$N$5:$N$22,MATCH(C23,'Envelope Register'!$A$5:$A$22,0))*(J23+K23),0))</f>
        <v>4</v>
      </c>
      <c r="R23" s="12" t="n">
        <f aca="false">COUNTIFS($C$5:$C$112,C23,$D$5:$D$112,D23)</f>
        <v>1</v>
      </c>
      <c r="S23" s="11" t="str">
        <f aca="false">IF(AND(L23&gt;=0,M23&lt;=INDEX('Envelope Register'!$J$5:$J$22,MATCH(C23,'Envelope Register'!$A$5:$A$22,0)),N23&gt;=0,O23&lt;=INDEX('Envelope Register'!$L$5:$L$22,MATCH(C23,'Envelope Register'!$A$5:$A$22,0)),P23&gt;=-INDEX('Envelope Register'!$P$5:$P$22,MATCH(C23,'Envelope Register'!$A$5:$A$22,0)),Q23&lt;=INDEX('Envelope Register'!$N$5:$N$22,MATCH(C23,'Envelope Register'!$A$5:$A$22,0)),L23&lt;M23,N23&lt;O23,P23&lt;Q23,R23=1,U23=1),"PASS","FAIL")</f>
        <v>PASS</v>
      </c>
      <c r="T23" s="11" t="s">
        <v>251</v>
      </c>
      <c r="U23" s="12" t="n">
        <f aca="false">COUNTIF($A$5:$A$112,A23)</f>
        <v>1</v>
      </c>
    </row>
    <row r="24" customFormat="false" ht="15" hidden="false" customHeight="false" outlineLevel="0" collapsed="false">
      <c r="A24" s="11" t="s">
        <v>276</v>
      </c>
      <c r="B24" s="11" t="s">
        <v>123</v>
      </c>
      <c r="C24" s="11" t="s">
        <v>17</v>
      </c>
      <c r="D24" s="11" t="s">
        <v>277</v>
      </c>
      <c r="E24" s="22" t="n">
        <v>0.25</v>
      </c>
      <c r="F24" s="22" t="n">
        <v>0.035</v>
      </c>
      <c r="G24" s="22" t="n">
        <v>0.18</v>
      </c>
      <c r="H24" s="22" t="n">
        <v>0.055</v>
      </c>
      <c r="I24" s="11" t="s">
        <v>250</v>
      </c>
      <c r="J24" s="22" t="n">
        <v>0.35</v>
      </c>
      <c r="K24" s="22" t="n">
        <v>0.045</v>
      </c>
      <c r="L24" s="12" t="n">
        <f aca="false">ROUND(INDEX('Envelope Register'!$J$5:$J$22,MATCH(C24,'Envelope Register'!$A$5:$A$22,0))*(E24-F24),0)</f>
        <v>97</v>
      </c>
      <c r="M24" s="12" t="n">
        <f aca="false">ROUND(INDEX('Envelope Register'!$J$5:$J$22,MATCH(C24,'Envelope Register'!$A$5:$A$22,0))*(E24+F24),0)</f>
        <v>128</v>
      </c>
      <c r="N24" s="12" t="n">
        <f aca="false">ROUND(INDEX('Envelope Register'!$L$5:$L$22,MATCH(C24,'Envelope Register'!$A$5:$A$22,0))*(G24-H24),0)</f>
        <v>2</v>
      </c>
      <c r="O24" s="12" t="n">
        <f aca="false">ROUND(INDEX('Envelope Register'!$L$5:$L$22,MATCH(C24,'Envelope Register'!$A$5:$A$22,0))*(G24+H24),0)</f>
        <v>4</v>
      </c>
      <c r="P24" s="12" t="n">
        <f aca="false">IF(I24="DEPTH",ROUND(-INDEX('Envelope Register'!$P$5:$P$22,MATCH(C24,'Envelope Register'!$A$5:$A$22,0))*(J24+K24),0),ROUND(INDEX('Envelope Register'!$N$5:$N$22,MATCH(C24,'Envelope Register'!$A$5:$A$22,0))*(J24-K24),0))</f>
        <v>9</v>
      </c>
      <c r="Q24" s="12" t="n">
        <f aca="false">IF(I24="DEPTH",ROUND(-INDEX('Envelope Register'!$P$5:$P$22,MATCH(C24,'Envelope Register'!$A$5:$A$22,0))*(J24-K24),0),ROUND(INDEX('Envelope Register'!$N$5:$N$22,MATCH(C24,'Envelope Register'!$A$5:$A$22,0))*(J24+K24),0))</f>
        <v>12</v>
      </c>
      <c r="R24" s="12" t="n">
        <f aca="false">COUNTIFS($C$5:$C$112,C24,$D$5:$D$112,D24)</f>
        <v>1</v>
      </c>
      <c r="S24" s="11" t="str">
        <f aca="false">IF(AND(L24&gt;=0,M24&lt;=INDEX('Envelope Register'!$J$5:$J$22,MATCH(C24,'Envelope Register'!$A$5:$A$22,0)),N24&gt;=0,O24&lt;=INDEX('Envelope Register'!$L$5:$L$22,MATCH(C24,'Envelope Register'!$A$5:$A$22,0)),P24&gt;=-INDEX('Envelope Register'!$P$5:$P$22,MATCH(C24,'Envelope Register'!$A$5:$A$22,0)),Q24&lt;=INDEX('Envelope Register'!$N$5:$N$22,MATCH(C24,'Envelope Register'!$A$5:$A$22,0)),L24&lt;M24,N24&lt;O24,P24&lt;Q24,R24=1,U24=1),"PASS","FAIL")</f>
        <v>PASS</v>
      </c>
      <c r="T24" s="11" t="s">
        <v>251</v>
      </c>
      <c r="U24" s="12" t="n">
        <f aca="false">COUNTIF($A$5:$A$112,A24)</f>
        <v>1</v>
      </c>
    </row>
    <row r="25" customFormat="false" ht="15" hidden="false" customHeight="false" outlineLevel="0" collapsed="false">
      <c r="A25" s="11" t="s">
        <v>278</v>
      </c>
      <c r="B25" s="11" t="s">
        <v>123</v>
      </c>
      <c r="C25" s="11" t="s">
        <v>17</v>
      </c>
      <c r="D25" s="11" t="s">
        <v>279</v>
      </c>
      <c r="E25" s="22" t="n">
        <v>0.42</v>
      </c>
      <c r="F25" s="22" t="n">
        <v>0.035</v>
      </c>
      <c r="G25" s="22" t="n">
        <v>0.82</v>
      </c>
      <c r="H25" s="22" t="n">
        <v>0.055</v>
      </c>
      <c r="I25" s="11" t="s">
        <v>250</v>
      </c>
      <c r="J25" s="22" t="n">
        <v>0.35</v>
      </c>
      <c r="K25" s="22" t="n">
        <v>0.045</v>
      </c>
      <c r="L25" s="12" t="n">
        <f aca="false">ROUND(INDEX('Envelope Register'!$J$5:$J$22,MATCH(C25,'Envelope Register'!$A$5:$A$22,0))*(E25-F25),0)</f>
        <v>173</v>
      </c>
      <c r="M25" s="12" t="n">
        <f aca="false">ROUND(INDEX('Envelope Register'!$J$5:$J$22,MATCH(C25,'Envelope Register'!$A$5:$A$22,0))*(E25+F25),0)</f>
        <v>205</v>
      </c>
      <c r="N25" s="12" t="n">
        <f aca="false">ROUND(INDEX('Envelope Register'!$L$5:$L$22,MATCH(C25,'Envelope Register'!$A$5:$A$22,0))*(G25-H25),0)</f>
        <v>14</v>
      </c>
      <c r="O25" s="12" t="n">
        <f aca="false">ROUND(INDEX('Envelope Register'!$L$5:$L$22,MATCH(C25,'Envelope Register'!$A$5:$A$22,0))*(G25+H25),0)</f>
        <v>16</v>
      </c>
      <c r="P25" s="12" t="n">
        <f aca="false">IF(I25="DEPTH",ROUND(-INDEX('Envelope Register'!$P$5:$P$22,MATCH(C25,'Envelope Register'!$A$5:$A$22,0))*(J25+K25),0),ROUND(INDEX('Envelope Register'!$N$5:$N$22,MATCH(C25,'Envelope Register'!$A$5:$A$22,0))*(J25-K25),0))</f>
        <v>9</v>
      </c>
      <c r="Q25" s="12" t="n">
        <f aca="false">IF(I25="DEPTH",ROUND(-INDEX('Envelope Register'!$P$5:$P$22,MATCH(C25,'Envelope Register'!$A$5:$A$22,0))*(J25-K25),0),ROUND(INDEX('Envelope Register'!$N$5:$N$22,MATCH(C25,'Envelope Register'!$A$5:$A$22,0))*(J25+K25),0))</f>
        <v>12</v>
      </c>
      <c r="R25" s="12" t="n">
        <f aca="false">COUNTIFS($C$5:$C$112,C25,$D$5:$D$112,D25)</f>
        <v>1</v>
      </c>
      <c r="S25" s="11" t="str">
        <f aca="false">IF(AND(L25&gt;=0,M25&lt;=INDEX('Envelope Register'!$J$5:$J$22,MATCH(C25,'Envelope Register'!$A$5:$A$22,0)),N25&gt;=0,O25&lt;=INDEX('Envelope Register'!$L$5:$L$22,MATCH(C25,'Envelope Register'!$A$5:$A$22,0)),P25&gt;=-INDEX('Envelope Register'!$P$5:$P$22,MATCH(C25,'Envelope Register'!$A$5:$A$22,0)),Q25&lt;=INDEX('Envelope Register'!$N$5:$N$22,MATCH(C25,'Envelope Register'!$A$5:$A$22,0)),L25&lt;M25,N25&lt;O25,P25&lt;Q25,R25=1,U25=1),"PASS","FAIL")</f>
        <v>PASS</v>
      </c>
      <c r="T25" s="11" t="s">
        <v>251</v>
      </c>
      <c r="U25" s="12" t="n">
        <f aca="false">COUNTIF($A$5:$A$112,A25)</f>
        <v>1</v>
      </c>
    </row>
    <row r="26" customFormat="false" ht="15" hidden="false" customHeight="false" outlineLevel="0" collapsed="false">
      <c r="A26" s="11" t="s">
        <v>280</v>
      </c>
      <c r="B26" s="11" t="s">
        <v>123</v>
      </c>
      <c r="C26" s="11" t="s">
        <v>17</v>
      </c>
      <c r="D26" s="11" t="s">
        <v>281</v>
      </c>
      <c r="E26" s="22" t="n">
        <v>0.58</v>
      </c>
      <c r="F26" s="22" t="n">
        <v>0.035</v>
      </c>
      <c r="G26" s="22" t="n">
        <v>0.82</v>
      </c>
      <c r="H26" s="22" t="n">
        <v>0.055</v>
      </c>
      <c r="I26" s="11" t="s">
        <v>250</v>
      </c>
      <c r="J26" s="22" t="n">
        <v>0.35</v>
      </c>
      <c r="K26" s="22" t="n">
        <v>0.045</v>
      </c>
      <c r="L26" s="12" t="n">
        <f aca="false">ROUND(INDEX('Envelope Register'!$J$5:$J$22,MATCH(C26,'Envelope Register'!$A$5:$A$22,0))*(E26-F26),0)</f>
        <v>245</v>
      </c>
      <c r="M26" s="12" t="n">
        <f aca="false">ROUND(INDEX('Envelope Register'!$J$5:$J$22,MATCH(C26,'Envelope Register'!$A$5:$A$22,0))*(E26+F26),0)</f>
        <v>277</v>
      </c>
      <c r="N26" s="12" t="n">
        <f aca="false">ROUND(INDEX('Envelope Register'!$L$5:$L$22,MATCH(C26,'Envelope Register'!$A$5:$A$22,0))*(G26-H26),0)</f>
        <v>14</v>
      </c>
      <c r="O26" s="12" t="n">
        <f aca="false">ROUND(INDEX('Envelope Register'!$L$5:$L$22,MATCH(C26,'Envelope Register'!$A$5:$A$22,0))*(G26+H26),0)</f>
        <v>16</v>
      </c>
      <c r="P26" s="12" t="n">
        <f aca="false">IF(I26="DEPTH",ROUND(-INDEX('Envelope Register'!$P$5:$P$22,MATCH(C26,'Envelope Register'!$A$5:$A$22,0))*(J26+K26),0),ROUND(INDEX('Envelope Register'!$N$5:$N$22,MATCH(C26,'Envelope Register'!$A$5:$A$22,0))*(J26-K26),0))</f>
        <v>9</v>
      </c>
      <c r="Q26" s="12" t="n">
        <f aca="false">IF(I26="DEPTH",ROUND(-INDEX('Envelope Register'!$P$5:$P$22,MATCH(C26,'Envelope Register'!$A$5:$A$22,0))*(J26-K26),0),ROUND(INDEX('Envelope Register'!$N$5:$N$22,MATCH(C26,'Envelope Register'!$A$5:$A$22,0))*(J26+K26),0))</f>
        <v>12</v>
      </c>
      <c r="R26" s="12" t="n">
        <f aca="false">COUNTIFS($C$5:$C$112,C26,$D$5:$D$112,D26)</f>
        <v>1</v>
      </c>
      <c r="S26" s="11" t="str">
        <f aca="false">IF(AND(L26&gt;=0,M26&lt;=INDEX('Envelope Register'!$J$5:$J$22,MATCH(C26,'Envelope Register'!$A$5:$A$22,0)),N26&gt;=0,O26&lt;=INDEX('Envelope Register'!$L$5:$L$22,MATCH(C26,'Envelope Register'!$A$5:$A$22,0)),P26&gt;=-INDEX('Envelope Register'!$P$5:$P$22,MATCH(C26,'Envelope Register'!$A$5:$A$22,0)),Q26&lt;=INDEX('Envelope Register'!$N$5:$N$22,MATCH(C26,'Envelope Register'!$A$5:$A$22,0)),L26&lt;M26,N26&lt;O26,P26&lt;Q26,R26=1,U26=1),"PASS","FAIL")</f>
        <v>PASS</v>
      </c>
      <c r="T26" s="11" t="s">
        <v>251</v>
      </c>
      <c r="U26" s="12" t="n">
        <f aca="false">COUNTIF($A$5:$A$112,A26)</f>
        <v>1</v>
      </c>
    </row>
    <row r="27" customFormat="false" ht="15" hidden="false" customHeight="false" outlineLevel="0" collapsed="false">
      <c r="A27" s="11" t="s">
        <v>282</v>
      </c>
      <c r="B27" s="11" t="s">
        <v>123</v>
      </c>
      <c r="C27" s="11" t="s">
        <v>17</v>
      </c>
      <c r="D27" s="11" t="s">
        <v>283</v>
      </c>
      <c r="E27" s="22" t="n">
        <v>0.76</v>
      </c>
      <c r="F27" s="22" t="n">
        <v>0.035</v>
      </c>
      <c r="G27" s="22" t="n">
        <v>0.25</v>
      </c>
      <c r="H27" s="22" t="n">
        <v>0.055</v>
      </c>
      <c r="I27" s="11" t="s">
        <v>250</v>
      </c>
      <c r="J27" s="22" t="n">
        <v>0.35</v>
      </c>
      <c r="K27" s="22" t="n">
        <v>0.045</v>
      </c>
      <c r="L27" s="12" t="n">
        <f aca="false">ROUND(INDEX('Envelope Register'!$J$5:$J$22,MATCH(C27,'Envelope Register'!$A$5:$A$22,0))*(E27-F27),0)</f>
        <v>326</v>
      </c>
      <c r="M27" s="12" t="n">
        <f aca="false">ROUND(INDEX('Envelope Register'!$J$5:$J$22,MATCH(C27,'Envelope Register'!$A$5:$A$22,0))*(E27+F27),0)</f>
        <v>358</v>
      </c>
      <c r="N27" s="12" t="n">
        <f aca="false">ROUND(INDEX('Envelope Register'!$L$5:$L$22,MATCH(C27,'Envelope Register'!$A$5:$A$22,0))*(G27-H27),0)</f>
        <v>4</v>
      </c>
      <c r="O27" s="12" t="n">
        <f aca="false">ROUND(INDEX('Envelope Register'!$L$5:$L$22,MATCH(C27,'Envelope Register'!$A$5:$A$22,0))*(G27+H27),0)</f>
        <v>5</v>
      </c>
      <c r="P27" s="12" t="n">
        <f aca="false">IF(I27="DEPTH",ROUND(-INDEX('Envelope Register'!$P$5:$P$22,MATCH(C27,'Envelope Register'!$A$5:$A$22,0))*(J27+K27),0),ROUND(INDEX('Envelope Register'!$N$5:$N$22,MATCH(C27,'Envelope Register'!$A$5:$A$22,0))*(J27-K27),0))</f>
        <v>9</v>
      </c>
      <c r="Q27" s="12" t="n">
        <f aca="false">IF(I27="DEPTH",ROUND(-INDEX('Envelope Register'!$P$5:$P$22,MATCH(C27,'Envelope Register'!$A$5:$A$22,0))*(J27-K27),0),ROUND(INDEX('Envelope Register'!$N$5:$N$22,MATCH(C27,'Envelope Register'!$A$5:$A$22,0))*(J27+K27),0))</f>
        <v>12</v>
      </c>
      <c r="R27" s="12" t="n">
        <f aca="false">COUNTIFS($C$5:$C$112,C27,$D$5:$D$112,D27)</f>
        <v>1</v>
      </c>
      <c r="S27" s="11" t="str">
        <f aca="false">IF(AND(L27&gt;=0,M27&lt;=INDEX('Envelope Register'!$J$5:$J$22,MATCH(C27,'Envelope Register'!$A$5:$A$22,0)),N27&gt;=0,O27&lt;=INDEX('Envelope Register'!$L$5:$L$22,MATCH(C27,'Envelope Register'!$A$5:$A$22,0)),P27&gt;=-INDEX('Envelope Register'!$P$5:$P$22,MATCH(C27,'Envelope Register'!$A$5:$A$22,0)),Q27&lt;=INDEX('Envelope Register'!$N$5:$N$22,MATCH(C27,'Envelope Register'!$A$5:$A$22,0)),L27&lt;M27,N27&lt;O27,P27&lt;Q27,R27=1,U27=1),"PASS","FAIL")</f>
        <v>PASS</v>
      </c>
      <c r="T27" s="11" t="s">
        <v>251</v>
      </c>
      <c r="U27" s="12" t="n">
        <f aca="false">COUNTIF($A$5:$A$112,A27)</f>
        <v>1</v>
      </c>
    </row>
    <row r="28" customFormat="false" ht="15" hidden="false" customHeight="false" outlineLevel="0" collapsed="false">
      <c r="A28" s="11" t="s">
        <v>284</v>
      </c>
      <c r="B28" s="11" t="s">
        <v>123</v>
      </c>
      <c r="C28" s="11" t="s">
        <v>17</v>
      </c>
      <c r="D28" s="11" t="s">
        <v>285</v>
      </c>
      <c r="E28" s="22" t="n">
        <v>0.92</v>
      </c>
      <c r="F28" s="22" t="n">
        <v>0.035</v>
      </c>
      <c r="G28" s="22" t="n">
        <v>0.75</v>
      </c>
      <c r="H28" s="22" t="n">
        <v>0.055</v>
      </c>
      <c r="I28" s="11" t="s">
        <v>250</v>
      </c>
      <c r="J28" s="22" t="n">
        <v>0.1</v>
      </c>
      <c r="K28" s="22" t="n">
        <v>0.045</v>
      </c>
      <c r="L28" s="12" t="n">
        <f aca="false">ROUND(INDEX('Envelope Register'!$J$5:$J$22,MATCH(C28,'Envelope Register'!$A$5:$A$22,0))*(E28-F28),0)</f>
        <v>398</v>
      </c>
      <c r="M28" s="12" t="n">
        <f aca="false">ROUND(INDEX('Envelope Register'!$J$5:$J$22,MATCH(C28,'Envelope Register'!$A$5:$A$22,0))*(E28+F28),0)</f>
        <v>430</v>
      </c>
      <c r="N28" s="12" t="n">
        <f aca="false">ROUND(INDEX('Envelope Register'!$L$5:$L$22,MATCH(C28,'Envelope Register'!$A$5:$A$22,0))*(G28-H28),0)</f>
        <v>13</v>
      </c>
      <c r="O28" s="12" t="n">
        <f aca="false">ROUND(INDEX('Envelope Register'!$L$5:$L$22,MATCH(C28,'Envelope Register'!$A$5:$A$22,0))*(G28+H28),0)</f>
        <v>14</v>
      </c>
      <c r="P28" s="12" t="n">
        <f aca="false">IF(I28="DEPTH",ROUND(-INDEX('Envelope Register'!$P$5:$P$22,MATCH(C28,'Envelope Register'!$A$5:$A$22,0))*(J28+K28),0),ROUND(INDEX('Envelope Register'!$N$5:$N$22,MATCH(C28,'Envelope Register'!$A$5:$A$22,0))*(J28-K28),0))</f>
        <v>2</v>
      </c>
      <c r="Q28" s="12" t="n">
        <f aca="false">IF(I28="DEPTH",ROUND(-INDEX('Envelope Register'!$P$5:$P$22,MATCH(C28,'Envelope Register'!$A$5:$A$22,0))*(J28-K28),0),ROUND(INDEX('Envelope Register'!$N$5:$N$22,MATCH(C28,'Envelope Register'!$A$5:$A$22,0))*(J28+K28),0))</f>
        <v>4</v>
      </c>
      <c r="R28" s="12" t="n">
        <f aca="false">COUNTIFS($C$5:$C$112,C28,$D$5:$D$112,D28)</f>
        <v>1</v>
      </c>
      <c r="S28" s="11" t="str">
        <f aca="false">IF(AND(L28&gt;=0,M28&lt;=INDEX('Envelope Register'!$J$5:$J$22,MATCH(C28,'Envelope Register'!$A$5:$A$22,0)),N28&gt;=0,O28&lt;=INDEX('Envelope Register'!$L$5:$L$22,MATCH(C28,'Envelope Register'!$A$5:$A$22,0)),P28&gt;=-INDEX('Envelope Register'!$P$5:$P$22,MATCH(C28,'Envelope Register'!$A$5:$A$22,0)),Q28&lt;=INDEX('Envelope Register'!$N$5:$N$22,MATCH(C28,'Envelope Register'!$A$5:$A$22,0)),L28&lt;M28,N28&lt;O28,P28&lt;Q28,R28=1,U28=1),"PASS","FAIL")</f>
        <v>PASS</v>
      </c>
      <c r="T28" s="11" t="s">
        <v>251</v>
      </c>
      <c r="U28" s="12" t="n">
        <f aca="false">COUNTIF($A$5:$A$112,A28)</f>
        <v>1</v>
      </c>
    </row>
    <row r="29" customFormat="false" ht="15" hidden="false" customHeight="false" outlineLevel="0" collapsed="false">
      <c r="A29" s="11" t="s">
        <v>286</v>
      </c>
      <c r="B29" s="11" t="s">
        <v>123</v>
      </c>
      <c r="C29" s="11" t="s">
        <v>19</v>
      </c>
      <c r="D29" s="11" t="s">
        <v>275</v>
      </c>
      <c r="E29" s="22" t="n">
        <v>0.06</v>
      </c>
      <c r="F29" s="22" t="n">
        <v>0.035</v>
      </c>
      <c r="G29" s="22" t="n">
        <v>0.5</v>
      </c>
      <c r="H29" s="22" t="n">
        <v>0.055</v>
      </c>
      <c r="I29" s="11" t="s">
        <v>250</v>
      </c>
      <c r="J29" s="22" t="n">
        <v>0.08</v>
      </c>
      <c r="K29" s="22" t="n">
        <v>0.045</v>
      </c>
      <c r="L29" s="12" t="n">
        <f aca="false">ROUND(INDEX('Envelope Register'!$J$5:$J$22,MATCH(C29,'Envelope Register'!$A$5:$A$22,0))*(E29-F29),0)</f>
        <v>20</v>
      </c>
      <c r="M29" s="12" t="n">
        <f aca="false">ROUND(INDEX('Envelope Register'!$J$5:$J$22,MATCH(C29,'Envelope Register'!$A$5:$A$22,0))*(E29+F29),0)</f>
        <v>76</v>
      </c>
      <c r="N29" s="12" t="n">
        <f aca="false">ROUND(INDEX('Envelope Register'!$L$5:$L$22,MATCH(C29,'Envelope Register'!$A$5:$A$22,0))*(G29-H29),0)</f>
        <v>5</v>
      </c>
      <c r="O29" s="12" t="n">
        <f aca="false">ROUND(INDEX('Envelope Register'!$L$5:$L$22,MATCH(C29,'Envelope Register'!$A$5:$A$22,0))*(G29+H29),0)</f>
        <v>7</v>
      </c>
      <c r="P29" s="12" t="n">
        <f aca="false">IF(I29="DEPTH",ROUND(-INDEX('Envelope Register'!$P$5:$P$22,MATCH(C29,'Envelope Register'!$A$5:$A$22,0))*(J29+K29),0),ROUND(INDEX('Envelope Register'!$N$5:$N$22,MATCH(C29,'Envelope Register'!$A$5:$A$22,0))*(J29-K29),0))</f>
        <v>2</v>
      </c>
      <c r="Q29" s="12" t="n">
        <f aca="false">IF(I29="DEPTH",ROUND(-INDEX('Envelope Register'!$P$5:$P$22,MATCH(C29,'Envelope Register'!$A$5:$A$22,0))*(J29-K29),0),ROUND(INDEX('Envelope Register'!$N$5:$N$22,MATCH(C29,'Envelope Register'!$A$5:$A$22,0))*(J29+K29),0))</f>
        <v>6</v>
      </c>
      <c r="R29" s="12" t="n">
        <f aca="false">COUNTIFS($C$5:$C$112,C29,$D$5:$D$112,D29)</f>
        <v>1</v>
      </c>
      <c r="S29" s="11" t="str">
        <f aca="false">IF(AND(L29&gt;=0,M29&lt;=INDEX('Envelope Register'!$J$5:$J$22,MATCH(C29,'Envelope Register'!$A$5:$A$22,0)),N29&gt;=0,O29&lt;=INDEX('Envelope Register'!$L$5:$L$22,MATCH(C29,'Envelope Register'!$A$5:$A$22,0)),P29&gt;=-INDEX('Envelope Register'!$P$5:$P$22,MATCH(C29,'Envelope Register'!$A$5:$A$22,0)),Q29&lt;=INDEX('Envelope Register'!$N$5:$N$22,MATCH(C29,'Envelope Register'!$A$5:$A$22,0)),L29&lt;M29,N29&lt;O29,P29&lt;Q29,R29=1,U29=1),"PASS","FAIL")</f>
        <v>PASS</v>
      </c>
      <c r="T29" s="11" t="s">
        <v>251</v>
      </c>
      <c r="U29" s="12" t="n">
        <f aca="false">COUNTIF($A$5:$A$112,A29)</f>
        <v>1</v>
      </c>
    </row>
    <row r="30" customFormat="false" ht="15" hidden="false" customHeight="false" outlineLevel="0" collapsed="false">
      <c r="A30" s="11" t="s">
        <v>287</v>
      </c>
      <c r="B30" s="11" t="s">
        <v>123</v>
      </c>
      <c r="C30" s="11" t="s">
        <v>19</v>
      </c>
      <c r="D30" s="11" t="s">
        <v>277</v>
      </c>
      <c r="E30" s="22" t="n">
        <v>0.22</v>
      </c>
      <c r="F30" s="22" t="n">
        <v>0.035</v>
      </c>
      <c r="G30" s="22" t="n">
        <v>0.28</v>
      </c>
      <c r="H30" s="22" t="n">
        <v>0.055</v>
      </c>
      <c r="I30" s="11" t="s">
        <v>250</v>
      </c>
      <c r="J30" s="22" t="n">
        <v>0.35</v>
      </c>
      <c r="K30" s="22" t="n">
        <v>0.045</v>
      </c>
      <c r="L30" s="12" t="n">
        <f aca="false">ROUND(INDEX('Envelope Register'!$J$5:$J$22,MATCH(C30,'Envelope Register'!$A$5:$A$22,0))*(E30-F30),0)</f>
        <v>148</v>
      </c>
      <c r="M30" s="12" t="n">
        <f aca="false">ROUND(INDEX('Envelope Register'!$J$5:$J$22,MATCH(C30,'Envelope Register'!$A$5:$A$22,0))*(E30+F30),0)</f>
        <v>204</v>
      </c>
      <c r="N30" s="12" t="n">
        <f aca="false">ROUND(INDEX('Envelope Register'!$L$5:$L$22,MATCH(C30,'Envelope Register'!$A$5:$A$22,0))*(G30-H30),0)</f>
        <v>3</v>
      </c>
      <c r="O30" s="12" t="n">
        <f aca="false">ROUND(INDEX('Envelope Register'!$L$5:$L$22,MATCH(C30,'Envelope Register'!$A$5:$A$22,0))*(G30+H30),0)</f>
        <v>4</v>
      </c>
      <c r="P30" s="12" t="n">
        <f aca="false">IF(I30="DEPTH",ROUND(-INDEX('Envelope Register'!$P$5:$P$22,MATCH(C30,'Envelope Register'!$A$5:$A$22,0))*(J30+K30),0),ROUND(INDEX('Envelope Register'!$N$5:$N$22,MATCH(C30,'Envelope Register'!$A$5:$A$22,0))*(J30-K30),0))</f>
        <v>14</v>
      </c>
      <c r="Q30" s="12" t="n">
        <f aca="false">IF(I30="DEPTH",ROUND(-INDEX('Envelope Register'!$P$5:$P$22,MATCH(C30,'Envelope Register'!$A$5:$A$22,0))*(J30-K30),0),ROUND(INDEX('Envelope Register'!$N$5:$N$22,MATCH(C30,'Envelope Register'!$A$5:$A$22,0))*(J30+K30),0))</f>
        <v>18</v>
      </c>
      <c r="R30" s="12" t="n">
        <f aca="false">COUNTIFS($C$5:$C$112,C30,$D$5:$D$112,D30)</f>
        <v>1</v>
      </c>
      <c r="S30" s="11" t="str">
        <f aca="false">IF(AND(L30&gt;=0,M30&lt;=INDEX('Envelope Register'!$J$5:$J$22,MATCH(C30,'Envelope Register'!$A$5:$A$22,0)),N30&gt;=0,O30&lt;=INDEX('Envelope Register'!$L$5:$L$22,MATCH(C30,'Envelope Register'!$A$5:$A$22,0)),P30&gt;=-INDEX('Envelope Register'!$P$5:$P$22,MATCH(C30,'Envelope Register'!$A$5:$A$22,0)),Q30&lt;=INDEX('Envelope Register'!$N$5:$N$22,MATCH(C30,'Envelope Register'!$A$5:$A$22,0)),L30&lt;M30,N30&lt;O30,P30&lt;Q30,R30=1,U30=1),"PASS","FAIL")</f>
        <v>PASS</v>
      </c>
      <c r="T30" s="11" t="s">
        <v>251</v>
      </c>
      <c r="U30" s="12" t="n">
        <f aca="false">COUNTIF($A$5:$A$112,A30)</f>
        <v>1</v>
      </c>
    </row>
    <row r="31" customFormat="false" ht="15" hidden="false" customHeight="false" outlineLevel="0" collapsed="false">
      <c r="A31" s="11" t="s">
        <v>288</v>
      </c>
      <c r="B31" s="11" t="s">
        <v>123</v>
      </c>
      <c r="C31" s="11" t="s">
        <v>19</v>
      </c>
      <c r="D31" s="11" t="s">
        <v>279</v>
      </c>
      <c r="E31" s="22" t="n">
        <v>0.4</v>
      </c>
      <c r="F31" s="22" t="n">
        <v>0.035</v>
      </c>
      <c r="G31" s="22" t="n">
        <v>0.72</v>
      </c>
      <c r="H31" s="22" t="n">
        <v>0.055</v>
      </c>
      <c r="I31" s="11" t="s">
        <v>250</v>
      </c>
      <c r="J31" s="22" t="n">
        <v>0.35</v>
      </c>
      <c r="K31" s="22" t="n">
        <v>0.045</v>
      </c>
      <c r="L31" s="12" t="n">
        <f aca="false">ROUND(INDEX('Envelope Register'!$J$5:$J$22,MATCH(C31,'Envelope Register'!$A$5:$A$22,0))*(E31-F31),0)</f>
        <v>292</v>
      </c>
      <c r="M31" s="12" t="n">
        <f aca="false">ROUND(INDEX('Envelope Register'!$J$5:$J$22,MATCH(C31,'Envelope Register'!$A$5:$A$22,0))*(E31+F31),0)</f>
        <v>348</v>
      </c>
      <c r="N31" s="12" t="n">
        <f aca="false">ROUND(INDEX('Envelope Register'!$L$5:$L$22,MATCH(C31,'Envelope Register'!$A$5:$A$22,0))*(G31-H31),0)</f>
        <v>8</v>
      </c>
      <c r="O31" s="12" t="n">
        <f aca="false">ROUND(INDEX('Envelope Register'!$L$5:$L$22,MATCH(C31,'Envelope Register'!$A$5:$A$22,0))*(G31+H31),0)</f>
        <v>9</v>
      </c>
      <c r="P31" s="12" t="n">
        <f aca="false">IF(I31="DEPTH",ROUND(-INDEX('Envelope Register'!$P$5:$P$22,MATCH(C31,'Envelope Register'!$A$5:$A$22,0))*(J31+K31),0),ROUND(INDEX('Envelope Register'!$N$5:$N$22,MATCH(C31,'Envelope Register'!$A$5:$A$22,0))*(J31-K31),0))</f>
        <v>14</v>
      </c>
      <c r="Q31" s="12" t="n">
        <f aca="false">IF(I31="DEPTH",ROUND(-INDEX('Envelope Register'!$P$5:$P$22,MATCH(C31,'Envelope Register'!$A$5:$A$22,0))*(J31-K31),0),ROUND(INDEX('Envelope Register'!$N$5:$N$22,MATCH(C31,'Envelope Register'!$A$5:$A$22,0))*(J31+K31),0))</f>
        <v>18</v>
      </c>
      <c r="R31" s="12" t="n">
        <f aca="false">COUNTIFS($C$5:$C$112,C31,$D$5:$D$112,D31)</f>
        <v>1</v>
      </c>
      <c r="S31" s="11" t="str">
        <f aca="false">IF(AND(L31&gt;=0,M31&lt;=INDEX('Envelope Register'!$J$5:$J$22,MATCH(C31,'Envelope Register'!$A$5:$A$22,0)),N31&gt;=0,O31&lt;=INDEX('Envelope Register'!$L$5:$L$22,MATCH(C31,'Envelope Register'!$A$5:$A$22,0)),P31&gt;=-INDEX('Envelope Register'!$P$5:$P$22,MATCH(C31,'Envelope Register'!$A$5:$A$22,0)),Q31&lt;=INDEX('Envelope Register'!$N$5:$N$22,MATCH(C31,'Envelope Register'!$A$5:$A$22,0)),L31&lt;M31,N31&lt;O31,P31&lt;Q31,R31=1,U31=1),"PASS","FAIL")</f>
        <v>PASS</v>
      </c>
      <c r="T31" s="11" t="s">
        <v>251</v>
      </c>
      <c r="U31" s="12" t="n">
        <f aca="false">COUNTIF($A$5:$A$112,A31)</f>
        <v>1</v>
      </c>
    </row>
    <row r="32" customFormat="false" ht="15" hidden="false" customHeight="false" outlineLevel="0" collapsed="false">
      <c r="A32" s="11" t="s">
        <v>289</v>
      </c>
      <c r="B32" s="11" t="s">
        <v>123</v>
      </c>
      <c r="C32" s="11" t="s">
        <v>19</v>
      </c>
      <c r="D32" s="11" t="s">
        <v>281</v>
      </c>
      <c r="E32" s="22" t="n">
        <v>0.6</v>
      </c>
      <c r="F32" s="22" t="n">
        <v>0.035</v>
      </c>
      <c r="G32" s="22" t="n">
        <v>0.28</v>
      </c>
      <c r="H32" s="22" t="n">
        <v>0.055</v>
      </c>
      <c r="I32" s="11" t="s">
        <v>250</v>
      </c>
      <c r="J32" s="22" t="n">
        <v>0.35</v>
      </c>
      <c r="K32" s="22" t="n">
        <v>0.045</v>
      </c>
      <c r="L32" s="12" t="n">
        <f aca="false">ROUND(INDEX('Envelope Register'!$J$5:$J$22,MATCH(C32,'Envelope Register'!$A$5:$A$22,0))*(E32-F32),0)</f>
        <v>452</v>
      </c>
      <c r="M32" s="12" t="n">
        <f aca="false">ROUND(INDEX('Envelope Register'!$J$5:$J$22,MATCH(C32,'Envelope Register'!$A$5:$A$22,0))*(E32+F32),0)</f>
        <v>508</v>
      </c>
      <c r="N32" s="12" t="n">
        <f aca="false">ROUND(INDEX('Envelope Register'!$L$5:$L$22,MATCH(C32,'Envelope Register'!$A$5:$A$22,0))*(G32-H32),0)</f>
        <v>3</v>
      </c>
      <c r="O32" s="12" t="n">
        <f aca="false">ROUND(INDEX('Envelope Register'!$L$5:$L$22,MATCH(C32,'Envelope Register'!$A$5:$A$22,0))*(G32+H32),0)</f>
        <v>4</v>
      </c>
      <c r="P32" s="12" t="n">
        <f aca="false">IF(I32="DEPTH",ROUND(-INDEX('Envelope Register'!$P$5:$P$22,MATCH(C32,'Envelope Register'!$A$5:$A$22,0))*(J32+K32),0),ROUND(INDEX('Envelope Register'!$N$5:$N$22,MATCH(C32,'Envelope Register'!$A$5:$A$22,0))*(J32-K32),0))</f>
        <v>14</v>
      </c>
      <c r="Q32" s="12" t="n">
        <f aca="false">IF(I32="DEPTH",ROUND(-INDEX('Envelope Register'!$P$5:$P$22,MATCH(C32,'Envelope Register'!$A$5:$A$22,0))*(J32-K32),0),ROUND(INDEX('Envelope Register'!$N$5:$N$22,MATCH(C32,'Envelope Register'!$A$5:$A$22,0))*(J32+K32),0))</f>
        <v>18</v>
      </c>
      <c r="R32" s="12" t="n">
        <f aca="false">COUNTIFS($C$5:$C$112,C32,$D$5:$D$112,D32)</f>
        <v>1</v>
      </c>
      <c r="S32" s="11" t="str">
        <f aca="false">IF(AND(L32&gt;=0,M32&lt;=INDEX('Envelope Register'!$J$5:$J$22,MATCH(C32,'Envelope Register'!$A$5:$A$22,0)),N32&gt;=0,O32&lt;=INDEX('Envelope Register'!$L$5:$L$22,MATCH(C32,'Envelope Register'!$A$5:$A$22,0)),P32&gt;=-INDEX('Envelope Register'!$P$5:$P$22,MATCH(C32,'Envelope Register'!$A$5:$A$22,0)),Q32&lt;=INDEX('Envelope Register'!$N$5:$N$22,MATCH(C32,'Envelope Register'!$A$5:$A$22,0)),L32&lt;M32,N32&lt;O32,P32&lt;Q32,R32=1,U32=1),"PASS","FAIL")</f>
        <v>PASS</v>
      </c>
      <c r="T32" s="11" t="s">
        <v>251</v>
      </c>
      <c r="U32" s="12" t="n">
        <f aca="false">COUNTIF($A$5:$A$112,A32)</f>
        <v>1</v>
      </c>
    </row>
    <row r="33" customFormat="false" ht="15" hidden="false" customHeight="false" outlineLevel="0" collapsed="false">
      <c r="A33" s="11" t="s">
        <v>290</v>
      </c>
      <c r="B33" s="11" t="s">
        <v>123</v>
      </c>
      <c r="C33" s="11" t="s">
        <v>19</v>
      </c>
      <c r="D33" s="11" t="s">
        <v>283</v>
      </c>
      <c r="E33" s="22" t="n">
        <v>0.78</v>
      </c>
      <c r="F33" s="22" t="n">
        <v>0.035</v>
      </c>
      <c r="G33" s="22" t="n">
        <v>0.72</v>
      </c>
      <c r="H33" s="22" t="n">
        <v>0.055</v>
      </c>
      <c r="I33" s="11" t="s">
        <v>250</v>
      </c>
      <c r="J33" s="22" t="n">
        <v>0.35</v>
      </c>
      <c r="K33" s="22" t="n">
        <v>0.045</v>
      </c>
      <c r="L33" s="12" t="n">
        <f aca="false">ROUND(INDEX('Envelope Register'!$J$5:$J$22,MATCH(C33,'Envelope Register'!$A$5:$A$22,0))*(E33-F33),0)</f>
        <v>596</v>
      </c>
      <c r="M33" s="12" t="n">
        <f aca="false">ROUND(INDEX('Envelope Register'!$J$5:$J$22,MATCH(C33,'Envelope Register'!$A$5:$A$22,0))*(E33+F33),0)</f>
        <v>652</v>
      </c>
      <c r="N33" s="12" t="n">
        <f aca="false">ROUND(INDEX('Envelope Register'!$L$5:$L$22,MATCH(C33,'Envelope Register'!$A$5:$A$22,0))*(G33-H33),0)</f>
        <v>8</v>
      </c>
      <c r="O33" s="12" t="n">
        <f aca="false">ROUND(INDEX('Envelope Register'!$L$5:$L$22,MATCH(C33,'Envelope Register'!$A$5:$A$22,0))*(G33+H33),0)</f>
        <v>9</v>
      </c>
      <c r="P33" s="12" t="n">
        <f aca="false">IF(I33="DEPTH",ROUND(-INDEX('Envelope Register'!$P$5:$P$22,MATCH(C33,'Envelope Register'!$A$5:$A$22,0))*(J33+K33),0),ROUND(INDEX('Envelope Register'!$N$5:$N$22,MATCH(C33,'Envelope Register'!$A$5:$A$22,0))*(J33-K33),0))</f>
        <v>14</v>
      </c>
      <c r="Q33" s="12" t="n">
        <f aca="false">IF(I33="DEPTH",ROUND(-INDEX('Envelope Register'!$P$5:$P$22,MATCH(C33,'Envelope Register'!$A$5:$A$22,0))*(J33-K33),0),ROUND(INDEX('Envelope Register'!$N$5:$N$22,MATCH(C33,'Envelope Register'!$A$5:$A$22,0))*(J33+K33),0))</f>
        <v>18</v>
      </c>
      <c r="R33" s="12" t="n">
        <f aca="false">COUNTIFS($C$5:$C$112,C33,$D$5:$D$112,D33)</f>
        <v>1</v>
      </c>
      <c r="S33" s="11" t="str">
        <f aca="false">IF(AND(L33&gt;=0,M33&lt;=INDEX('Envelope Register'!$J$5:$J$22,MATCH(C33,'Envelope Register'!$A$5:$A$22,0)),N33&gt;=0,O33&lt;=INDEX('Envelope Register'!$L$5:$L$22,MATCH(C33,'Envelope Register'!$A$5:$A$22,0)),P33&gt;=-INDEX('Envelope Register'!$P$5:$P$22,MATCH(C33,'Envelope Register'!$A$5:$A$22,0)),Q33&lt;=INDEX('Envelope Register'!$N$5:$N$22,MATCH(C33,'Envelope Register'!$A$5:$A$22,0)),L33&lt;M33,N33&lt;O33,P33&lt;Q33,R33=1,U33=1),"PASS","FAIL")</f>
        <v>PASS</v>
      </c>
      <c r="T33" s="11" t="s">
        <v>251</v>
      </c>
      <c r="U33" s="12" t="n">
        <f aca="false">COUNTIF($A$5:$A$112,A33)</f>
        <v>1</v>
      </c>
    </row>
    <row r="34" customFormat="false" ht="15" hidden="false" customHeight="false" outlineLevel="0" collapsed="false">
      <c r="A34" s="11" t="s">
        <v>291</v>
      </c>
      <c r="B34" s="11" t="s">
        <v>123</v>
      </c>
      <c r="C34" s="11" t="s">
        <v>19</v>
      </c>
      <c r="D34" s="11" t="s">
        <v>285</v>
      </c>
      <c r="E34" s="22" t="n">
        <v>0.94</v>
      </c>
      <c r="F34" s="22" t="n">
        <v>0.035</v>
      </c>
      <c r="G34" s="22" t="n">
        <v>0.5</v>
      </c>
      <c r="H34" s="22" t="n">
        <v>0.055</v>
      </c>
      <c r="I34" s="11" t="s">
        <v>250</v>
      </c>
      <c r="J34" s="22" t="n">
        <v>0.1</v>
      </c>
      <c r="K34" s="22" t="n">
        <v>0.045</v>
      </c>
      <c r="L34" s="12" t="n">
        <f aca="false">ROUND(INDEX('Envelope Register'!$J$5:$J$22,MATCH(C34,'Envelope Register'!$A$5:$A$22,0))*(E34-F34),0)</f>
        <v>724</v>
      </c>
      <c r="M34" s="12" t="n">
        <f aca="false">ROUND(INDEX('Envelope Register'!$J$5:$J$22,MATCH(C34,'Envelope Register'!$A$5:$A$22,0))*(E34+F34),0)</f>
        <v>780</v>
      </c>
      <c r="N34" s="12" t="n">
        <f aca="false">ROUND(INDEX('Envelope Register'!$L$5:$L$22,MATCH(C34,'Envelope Register'!$A$5:$A$22,0))*(G34-H34),0)</f>
        <v>5</v>
      </c>
      <c r="O34" s="12" t="n">
        <f aca="false">ROUND(INDEX('Envelope Register'!$L$5:$L$22,MATCH(C34,'Envelope Register'!$A$5:$A$22,0))*(G34+H34),0)</f>
        <v>7</v>
      </c>
      <c r="P34" s="12" t="n">
        <f aca="false">IF(I34="DEPTH",ROUND(-INDEX('Envelope Register'!$P$5:$P$22,MATCH(C34,'Envelope Register'!$A$5:$A$22,0))*(J34+K34),0),ROUND(INDEX('Envelope Register'!$N$5:$N$22,MATCH(C34,'Envelope Register'!$A$5:$A$22,0))*(J34-K34),0))</f>
        <v>2</v>
      </c>
      <c r="Q34" s="12" t="n">
        <f aca="false">IF(I34="DEPTH",ROUND(-INDEX('Envelope Register'!$P$5:$P$22,MATCH(C34,'Envelope Register'!$A$5:$A$22,0))*(J34-K34),0),ROUND(INDEX('Envelope Register'!$N$5:$N$22,MATCH(C34,'Envelope Register'!$A$5:$A$22,0))*(J34+K34),0))</f>
        <v>7</v>
      </c>
      <c r="R34" s="12" t="n">
        <f aca="false">COUNTIFS($C$5:$C$112,C34,$D$5:$D$112,D34)</f>
        <v>1</v>
      </c>
      <c r="S34" s="11" t="str">
        <f aca="false">IF(AND(L34&gt;=0,M34&lt;=INDEX('Envelope Register'!$J$5:$J$22,MATCH(C34,'Envelope Register'!$A$5:$A$22,0)),N34&gt;=0,O34&lt;=INDEX('Envelope Register'!$L$5:$L$22,MATCH(C34,'Envelope Register'!$A$5:$A$22,0)),P34&gt;=-INDEX('Envelope Register'!$P$5:$P$22,MATCH(C34,'Envelope Register'!$A$5:$A$22,0)),Q34&lt;=INDEX('Envelope Register'!$N$5:$N$22,MATCH(C34,'Envelope Register'!$A$5:$A$22,0)),L34&lt;M34,N34&lt;O34,P34&lt;Q34,R34=1,U34=1),"PASS","FAIL")</f>
        <v>PASS</v>
      </c>
      <c r="T34" s="11" t="s">
        <v>251</v>
      </c>
      <c r="U34" s="12" t="n">
        <f aca="false">COUNTIF($A$5:$A$112,A34)</f>
        <v>1</v>
      </c>
    </row>
    <row r="35" customFormat="false" ht="15" hidden="false" customHeight="false" outlineLevel="0" collapsed="false">
      <c r="A35" s="11" t="s">
        <v>292</v>
      </c>
      <c r="B35" s="11" t="s">
        <v>123</v>
      </c>
      <c r="C35" s="11" t="s">
        <v>21</v>
      </c>
      <c r="D35" s="11" t="s">
        <v>275</v>
      </c>
      <c r="E35" s="22" t="n">
        <v>0.15</v>
      </c>
      <c r="F35" s="22" t="n">
        <v>0.035</v>
      </c>
      <c r="G35" s="22" t="n">
        <v>0.2</v>
      </c>
      <c r="H35" s="22" t="n">
        <v>0.055</v>
      </c>
      <c r="I35" s="11" t="s">
        <v>250</v>
      </c>
      <c r="J35" s="22" t="n">
        <v>0.08</v>
      </c>
      <c r="K35" s="22" t="n">
        <v>0.045</v>
      </c>
      <c r="L35" s="12" t="n">
        <f aca="false">ROUND(INDEX('Envelope Register'!$J$5:$J$22,MATCH(C35,'Envelope Register'!$A$5:$A$22,0))*(E35-F35),0)</f>
        <v>69</v>
      </c>
      <c r="M35" s="12" t="n">
        <f aca="false">ROUND(INDEX('Envelope Register'!$J$5:$J$22,MATCH(C35,'Envelope Register'!$A$5:$A$22,0))*(E35+F35),0)</f>
        <v>111</v>
      </c>
      <c r="N35" s="12" t="n">
        <f aca="false">ROUND(INDEX('Envelope Register'!$L$5:$L$22,MATCH(C35,'Envelope Register'!$A$5:$A$22,0))*(G35-H35),0)</f>
        <v>87</v>
      </c>
      <c r="O35" s="12" t="n">
        <f aca="false">ROUND(INDEX('Envelope Register'!$L$5:$L$22,MATCH(C35,'Envelope Register'!$A$5:$A$22,0))*(G35+H35),0)</f>
        <v>153</v>
      </c>
      <c r="P35" s="12" t="n">
        <f aca="false">IF(I35="DEPTH",ROUND(-INDEX('Envelope Register'!$P$5:$P$22,MATCH(C35,'Envelope Register'!$A$5:$A$22,0))*(J35+K35),0),ROUND(INDEX('Envelope Register'!$N$5:$N$22,MATCH(C35,'Envelope Register'!$A$5:$A$22,0))*(J35-K35),0))</f>
        <v>1</v>
      </c>
      <c r="Q35" s="12" t="n">
        <f aca="false">IF(I35="DEPTH",ROUND(-INDEX('Envelope Register'!$P$5:$P$22,MATCH(C35,'Envelope Register'!$A$5:$A$22,0))*(J35-K35),0),ROUND(INDEX('Envelope Register'!$N$5:$N$22,MATCH(C35,'Envelope Register'!$A$5:$A$22,0))*(J35+K35),0))</f>
        <v>4</v>
      </c>
      <c r="R35" s="12" t="n">
        <f aca="false">COUNTIFS($C$5:$C$112,C35,$D$5:$D$112,D35)</f>
        <v>1</v>
      </c>
      <c r="S35" s="11" t="str">
        <f aca="false">IF(AND(L35&gt;=0,M35&lt;=INDEX('Envelope Register'!$J$5:$J$22,MATCH(C35,'Envelope Register'!$A$5:$A$22,0)),N35&gt;=0,O35&lt;=INDEX('Envelope Register'!$L$5:$L$22,MATCH(C35,'Envelope Register'!$A$5:$A$22,0)),P35&gt;=-INDEX('Envelope Register'!$P$5:$P$22,MATCH(C35,'Envelope Register'!$A$5:$A$22,0)),Q35&lt;=INDEX('Envelope Register'!$N$5:$N$22,MATCH(C35,'Envelope Register'!$A$5:$A$22,0)),L35&lt;M35,N35&lt;O35,P35&lt;Q35,R35=1,U35=1),"PASS","FAIL")</f>
        <v>PASS</v>
      </c>
      <c r="T35" s="11" t="s">
        <v>251</v>
      </c>
      <c r="U35" s="12" t="n">
        <f aca="false">COUNTIF($A$5:$A$112,A35)</f>
        <v>1</v>
      </c>
    </row>
    <row r="36" customFormat="false" ht="15" hidden="false" customHeight="false" outlineLevel="0" collapsed="false">
      <c r="A36" s="11" t="s">
        <v>293</v>
      </c>
      <c r="B36" s="11" t="s">
        <v>123</v>
      </c>
      <c r="C36" s="11" t="s">
        <v>21</v>
      </c>
      <c r="D36" s="11" t="s">
        <v>277</v>
      </c>
      <c r="E36" s="22" t="n">
        <v>0.15</v>
      </c>
      <c r="F36" s="22" t="n">
        <v>0.035</v>
      </c>
      <c r="G36" s="22" t="n">
        <v>0.8</v>
      </c>
      <c r="H36" s="22" t="n">
        <v>0.055</v>
      </c>
      <c r="I36" s="11" t="s">
        <v>250</v>
      </c>
      <c r="J36" s="22" t="n">
        <v>0.35</v>
      </c>
      <c r="K36" s="22" t="n">
        <v>0.045</v>
      </c>
      <c r="L36" s="12" t="n">
        <f aca="false">ROUND(INDEX('Envelope Register'!$J$5:$J$22,MATCH(C36,'Envelope Register'!$A$5:$A$22,0))*(E36-F36),0)</f>
        <v>69</v>
      </c>
      <c r="M36" s="12" t="n">
        <f aca="false">ROUND(INDEX('Envelope Register'!$J$5:$J$22,MATCH(C36,'Envelope Register'!$A$5:$A$22,0))*(E36+F36),0)</f>
        <v>111</v>
      </c>
      <c r="N36" s="12" t="n">
        <f aca="false">ROUND(INDEX('Envelope Register'!$L$5:$L$22,MATCH(C36,'Envelope Register'!$A$5:$A$22,0))*(G36-H36),0)</f>
        <v>447</v>
      </c>
      <c r="O36" s="12" t="n">
        <f aca="false">ROUND(INDEX('Envelope Register'!$L$5:$L$22,MATCH(C36,'Envelope Register'!$A$5:$A$22,0))*(G36+H36),0)</f>
        <v>513</v>
      </c>
      <c r="P36" s="12" t="n">
        <f aca="false">IF(I36="DEPTH",ROUND(-INDEX('Envelope Register'!$P$5:$P$22,MATCH(C36,'Envelope Register'!$A$5:$A$22,0))*(J36+K36),0),ROUND(INDEX('Envelope Register'!$N$5:$N$22,MATCH(C36,'Envelope Register'!$A$5:$A$22,0))*(J36-K36),0))</f>
        <v>11</v>
      </c>
      <c r="Q36" s="12" t="n">
        <f aca="false">IF(I36="DEPTH",ROUND(-INDEX('Envelope Register'!$P$5:$P$22,MATCH(C36,'Envelope Register'!$A$5:$A$22,0))*(J36-K36),0),ROUND(INDEX('Envelope Register'!$N$5:$N$22,MATCH(C36,'Envelope Register'!$A$5:$A$22,0))*(J36+K36),0))</f>
        <v>14</v>
      </c>
      <c r="R36" s="12" t="n">
        <f aca="false">COUNTIFS($C$5:$C$112,C36,$D$5:$D$112,D36)</f>
        <v>1</v>
      </c>
      <c r="S36" s="11" t="str">
        <f aca="false">IF(AND(L36&gt;=0,M36&lt;=INDEX('Envelope Register'!$J$5:$J$22,MATCH(C36,'Envelope Register'!$A$5:$A$22,0)),N36&gt;=0,O36&lt;=INDEX('Envelope Register'!$L$5:$L$22,MATCH(C36,'Envelope Register'!$A$5:$A$22,0)),P36&gt;=-INDEX('Envelope Register'!$P$5:$P$22,MATCH(C36,'Envelope Register'!$A$5:$A$22,0)),Q36&lt;=INDEX('Envelope Register'!$N$5:$N$22,MATCH(C36,'Envelope Register'!$A$5:$A$22,0)),L36&lt;M36,N36&lt;O36,P36&lt;Q36,R36=1,U36=1),"PASS","FAIL")</f>
        <v>PASS</v>
      </c>
      <c r="T36" s="11" t="s">
        <v>251</v>
      </c>
      <c r="U36" s="12" t="n">
        <f aca="false">COUNTIF($A$5:$A$112,A36)</f>
        <v>1</v>
      </c>
    </row>
    <row r="37" customFormat="false" ht="15" hidden="false" customHeight="false" outlineLevel="0" collapsed="false">
      <c r="A37" s="11" t="s">
        <v>294</v>
      </c>
      <c r="B37" s="11" t="s">
        <v>123</v>
      </c>
      <c r="C37" s="11" t="s">
        <v>21</v>
      </c>
      <c r="D37" s="11" t="s">
        <v>279</v>
      </c>
      <c r="E37" s="22" t="n">
        <v>0.5</v>
      </c>
      <c r="F37" s="22" t="n">
        <v>0.035</v>
      </c>
      <c r="G37" s="22" t="n">
        <v>0.2</v>
      </c>
      <c r="H37" s="22" t="n">
        <v>0.055</v>
      </c>
      <c r="I37" s="11" t="s">
        <v>250</v>
      </c>
      <c r="J37" s="22" t="n">
        <v>0.35</v>
      </c>
      <c r="K37" s="22" t="n">
        <v>0.045</v>
      </c>
      <c r="L37" s="12" t="n">
        <f aca="false">ROUND(INDEX('Envelope Register'!$J$5:$J$22,MATCH(C37,'Envelope Register'!$A$5:$A$22,0))*(E37-F37),0)</f>
        <v>279</v>
      </c>
      <c r="M37" s="12" t="n">
        <f aca="false">ROUND(INDEX('Envelope Register'!$J$5:$J$22,MATCH(C37,'Envelope Register'!$A$5:$A$22,0))*(E37+F37),0)</f>
        <v>321</v>
      </c>
      <c r="N37" s="12" t="n">
        <f aca="false">ROUND(INDEX('Envelope Register'!$L$5:$L$22,MATCH(C37,'Envelope Register'!$A$5:$A$22,0))*(G37-H37),0)</f>
        <v>87</v>
      </c>
      <c r="O37" s="12" t="n">
        <f aca="false">ROUND(INDEX('Envelope Register'!$L$5:$L$22,MATCH(C37,'Envelope Register'!$A$5:$A$22,0))*(G37+H37),0)</f>
        <v>153</v>
      </c>
      <c r="P37" s="12" t="n">
        <f aca="false">IF(I37="DEPTH",ROUND(-INDEX('Envelope Register'!$P$5:$P$22,MATCH(C37,'Envelope Register'!$A$5:$A$22,0))*(J37+K37),0),ROUND(INDEX('Envelope Register'!$N$5:$N$22,MATCH(C37,'Envelope Register'!$A$5:$A$22,0))*(J37-K37),0))</f>
        <v>11</v>
      </c>
      <c r="Q37" s="12" t="n">
        <f aca="false">IF(I37="DEPTH",ROUND(-INDEX('Envelope Register'!$P$5:$P$22,MATCH(C37,'Envelope Register'!$A$5:$A$22,0))*(J37-K37),0),ROUND(INDEX('Envelope Register'!$N$5:$N$22,MATCH(C37,'Envelope Register'!$A$5:$A$22,0))*(J37+K37),0))</f>
        <v>14</v>
      </c>
      <c r="R37" s="12" t="n">
        <f aca="false">COUNTIFS($C$5:$C$112,C37,$D$5:$D$112,D37)</f>
        <v>1</v>
      </c>
      <c r="S37" s="11" t="str">
        <f aca="false">IF(AND(L37&gt;=0,M37&lt;=INDEX('Envelope Register'!$J$5:$J$22,MATCH(C37,'Envelope Register'!$A$5:$A$22,0)),N37&gt;=0,O37&lt;=INDEX('Envelope Register'!$L$5:$L$22,MATCH(C37,'Envelope Register'!$A$5:$A$22,0)),P37&gt;=-INDEX('Envelope Register'!$P$5:$P$22,MATCH(C37,'Envelope Register'!$A$5:$A$22,0)),Q37&lt;=INDEX('Envelope Register'!$N$5:$N$22,MATCH(C37,'Envelope Register'!$A$5:$A$22,0)),L37&lt;M37,N37&lt;O37,P37&lt;Q37,R37=1,U37=1),"PASS","FAIL")</f>
        <v>PASS</v>
      </c>
      <c r="T37" s="11" t="s">
        <v>251</v>
      </c>
      <c r="U37" s="12" t="n">
        <f aca="false">COUNTIF($A$5:$A$112,A37)</f>
        <v>1</v>
      </c>
    </row>
    <row r="38" customFormat="false" ht="15" hidden="false" customHeight="false" outlineLevel="0" collapsed="false">
      <c r="A38" s="11" t="s">
        <v>295</v>
      </c>
      <c r="B38" s="11" t="s">
        <v>123</v>
      </c>
      <c r="C38" s="11" t="s">
        <v>21</v>
      </c>
      <c r="D38" s="11" t="s">
        <v>281</v>
      </c>
      <c r="E38" s="22" t="n">
        <v>0.5</v>
      </c>
      <c r="F38" s="22" t="n">
        <v>0.035</v>
      </c>
      <c r="G38" s="22" t="n">
        <v>0.8</v>
      </c>
      <c r="H38" s="22" t="n">
        <v>0.055</v>
      </c>
      <c r="I38" s="11" t="s">
        <v>250</v>
      </c>
      <c r="J38" s="22" t="n">
        <v>0.35</v>
      </c>
      <c r="K38" s="22" t="n">
        <v>0.045</v>
      </c>
      <c r="L38" s="12" t="n">
        <f aca="false">ROUND(INDEX('Envelope Register'!$J$5:$J$22,MATCH(C38,'Envelope Register'!$A$5:$A$22,0))*(E38-F38),0)</f>
        <v>279</v>
      </c>
      <c r="M38" s="12" t="n">
        <f aca="false">ROUND(INDEX('Envelope Register'!$J$5:$J$22,MATCH(C38,'Envelope Register'!$A$5:$A$22,0))*(E38+F38),0)</f>
        <v>321</v>
      </c>
      <c r="N38" s="12" t="n">
        <f aca="false">ROUND(INDEX('Envelope Register'!$L$5:$L$22,MATCH(C38,'Envelope Register'!$A$5:$A$22,0))*(G38-H38),0)</f>
        <v>447</v>
      </c>
      <c r="O38" s="12" t="n">
        <f aca="false">ROUND(INDEX('Envelope Register'!$L$5:$L$22,MATCH(C38,'Envelope Register'!$A$5:$A$22,0))*(G38+H38),0)</f>
        <v>513</v>
      </c>
      <c r="P38" s="12" t="n">
        <f aca="false">IF(I38="DEPTH",ROUND(-INDEX('Envelope Register'!$P$5:$P$22,MATCH(C38,'Envelope Register'!$A$5:$A$22,0))*(J38+K38),0),ROUND(INDEX('Envelope Register'!$N$5:$N$22,MATCH(C38,'Envelope Register'!$A$5:$A$22,0))*(J38-K38),0))</f>
        <v>11</v>
      </c>
      <c r="Q38" s="12" t="n">
        <f aca="false">IF(I38="DEPTH",ROUND(-INDEX('Envelope Register'!$P$5:$P$22,MATCH(C38,'Envelope Register'!$A$5:$A$22,0))*(J38-K38),0),ROUND(INDEX('Envelope Register'!$N$5:$N$22,MATCH(C38,'Envelope Register'!$A$5:$A$22,0))*(J38+K38),0))</f>
        <v>14</v>
      </c>
      <c r="R38" s="12" t="n">
        <f aca="false">COUNTIFS($C$5:$C$112,C38,$D$5:$D$112,D38)</f>
        <v>1</v>
      </c>
      <c r="S38" s="11" t="str">
        <f aca="false">IF(AND(L38&gt;=0,M38&lt;=INDEX('Envelope Register'!$J$5:$J$22,MATCH(C38,'Envelope Register'!$A$5:$A$22,0)),N38&gt;=0,O38&lt;=INDEX('Envelope Register'!$L$5:$L$22,MATCH(C38,'Envelope Register'!$A$5:$A$22,0)),P38&gt;=-INDEX('Envelope Register'!$P$5:$P$22,MATCH(C38,'Envelope Register'!$A$5:$A$22,0)),Q38&lt;=INDEX('Envelope Register'!$N$5:$N$22,MATCH(C38,'Envelope Register'!$A$5:$A$22,0)),L38&lt;M38,N38&lt;O38,P38&lt;Q38,R38=1,U38=1),"PASS","FAIL")</f>
        <v>PASS</v>
      </c>
      <c r="T38" s="11" t="s">
        <v>251</v>
      </c>
      <c r="U38" s="12" t="n">
        <f aca="false">COUNTIF($A$5:$A$112,A38)</f>
        <v>1</v>
      </c>
    </row>
    <row r="39" customFormat="false" ht="15" hidden="false" customHeight="false" outlineLevel="0" collapsed="false">
      <c r="A39" s="11" t="s">
        <v>296</v>
      </c>
      <c r="B39" s="11" t="s">
        <v>123</v>
      </c>
      <c r="C39" s="11" t="s">
        <v>21</v>
      </c>
      <c r="D39" s="11" t="s">
        <v>283</v>
      </c>
      <c r="E39" s="22" t="n">
        <v>0.85</v>
      </c>
      <c r="F39" s="22" t="n">
        <v>0.035</v>
      </c>
      <c r="G39" s="22" t="n">
        <v>0.2</v>
      </c>
      <c r="H39" s="22" t="n">
        <v>0.055</v>
      </c>
      <c r="I39" s="11" t="s">
        <v>250</v>
      </c>
      <c r="J39" s="22" t="n">
        <v>0.35</v>
      </c>
      <c r="K39" s="22" t="n">
        <v>0.045</v>
      </c>
      <c r="L39" s="12" t="n">
        <f aca="false">ROUND(INDEX('Envelope Register'!$J$5:$J$22,MATCH(C39,'Envelope Register'!$A$5:$A$22,0))*(E39-F39),0)</f>
        <v>489</v>
      </c>
      <c r="M39" s="12" t="n">
        <f aca="false">ROUND(INDEX('Envelope Register'!$J$5:$J$22,MATCH(C39,'Envelope Register'!$A$5:$A$22,0))*(E39+F39),0)</f>
        <v>531</v>
      </c>
      <c r="N39" s="12" t="n">
        <f aca="false">ROUND(INDEX('Envelope Register'!$L$5:$L$22,MATCH(C39,'Envelope Register'!$A$5:$A$22,0))*(G39-H39),0)</f>
        <v>87</v>
      </c>
      <c r="O39" s="12" t="n">
        <f aca="false">ROUND(INDEX('Envelope Register'!$L$5:$L$22,MATCH(C39,'Envelope Register'!$A$5:$A$22,0))*(G39+H39),0)</f>
        <v>153</v>
      </c>
      <c r="P39" s="12" t="n">
        <f aca="false">IF(I39="DEPTH",ROUND(-INDEX('Envelope Register'!$P$5:$P$22,MATCH(C39,'Envelope Register'!$A$5:$A$22,0))*(J39+K39),0),ROUND(INDEX('Envelope Register'!$N$5:$N$22,MATCH(C39,'Envelope Register'!$A$5:$A$22,0))*(J39-K39),0))</f>
        <v>11</v>
      </c>
      <c r="Q39" s="12" t="n">
        <f aca="false">IF(I39="DEPTH",ROUND(-INDEX('Envelope Register'!$P$5:$P$22,MATCH(C39,'Envelope Register'!$A$5:$A$22,0))*(J39-K39),0),ROUND(INDEX('Envelope Register'!$N$5:$N$22,MATCH(C39,'Envelope Register'!$A$5:$A$22,0))*(J39+K39),0))</f>
        <v>14</v>
      </c>
      <c r="R39" s="12" t="n">
        <f aca="false">COUNTIFS($C$5:$C$112,C39,$D$5:$D$112,D39)</f>
        <v>1</v>
      </c>
      <c r="S39" s="11" t="str">
        <f aca="false">IF(AND(L39&gt;=0,M39&lt;=INDEX('Envelope Register'!$J$5:$J$22,MATCH(C39,'Envelope Register'!$A$5:$A$22,0)),N39&gt;=0,O39&lt;=INDEX('Envelope Register'!$L$5:$L$22,MATCH(C39,'Envelope Register'!$A$5:$A$22,0)),P39&gt;=-INDEX('Envelope Register'!$P$5:$P$22,MATCH(C39,'Envelope Register'!$A$5:$A$22,0)),Q39&lt;=INDEX('Envelope Register'!$N$5:$N$22,MATCH(C39,'Envelope Register'!$A$5:$A$22,0)),L39&lt;M39,N39&lt;O39,P39&lt;Q39,R39=1,U39=1),"PASS","FAIL")</f>
        <v>PASS</v>
      </c>
      <c r="T39" s="11" t="s">
        <v>251</v>
      </c>
      <c r="U39" s="12" t="n">
        <f aca="false">COUNTIF($A$5:$A$112,A39)</f>
        <v>1</v>
      </c>
    </row>
    <row r="40" customFormat="false" ht="15" hidden="false" customHeight="false" outlineLevel="0" collapsed="false">
      <c r="A40" s="11" t="s">
        <v>297</v>
      </c>
      <c r="B40" s="11" t="s">
        <v>123</v>
      </c>
      <c r="C40" s="11" t="s">
        <v>21</v>
      </c>
      <c r="D40" s="11" t="s">
        <v>285</v>
      </c>
      <c r="E40" s="22" t="n">
        <v>0.85</v>
      </c>
      <c r="F40" s="22" t="n">
        <v>0.035</v>
      </c>
      <c r="G40" s="22" t="n">
        <v>0.8</v>
      </c>
      <c r="H40" s="22" t="n">
        <v>0.055</v>
      </c>
      <c r="I40" s="11" t="s">
        <v>250</v>
      </c>
      <c r="J40" s="22" t="n">
        <v>0.1</v>
      </c>
      <c r="K40" s="22" t="n">
        <v>0.045</v>
      </c>
      <c r="L40" s="12" t="n">
        <f aca="false">ROUND(INDEX('Envelope Register'!$J$5:$J$22,MATCH(C40,'Envelope Register'!$A$5:$A$22,0))*(E40-F40),0)</f>
        <v>489</v>
      </c>
      <c r="M40" s="12" t="n">
        <f aca="false">ROUND(INDEX('Envelope Register'!$J$5:$J$22,MATCH(C40,'Envelope Register'!$A$5:$A$22,0))*(E40+F40),0)</f>
        <v>531</v>
      </c>
      <c r="N40" s="12" t="n">
        <f aca="false">ROUND(INDEX('Envelope Register'!$L$5:$L$22,MATCH(C40,'Envelope Register'!$A$5:$A$22,0))*(G40-H40),0)</f>
        <v>447</v>
      </c>
      <c r="O40" s="12" t="n">
        <f aca="false">ROUND(INDEX('Envelope Register'!$L$5:$L$22,MATCH(C40,'Envelope Register'!$A$5:$A$22,0))*(G40+H40),0)</f>
        <v>513</v>
      </c>
      <c r="P40" s="12" t="n">
        <f aca="false">IF(I40="DEPTH",ROUND(-INDEX('Envelope Register'!$P$5:$P$22,MATCH(C40,'Envelope Register'!$A$5:$A$22,0))*(J40+K40),0),ROUND(INDEX('Envelope Register'!$N$5:$N$22,MATCH(C40,'Envelope Register'!$A$5:$A$22,0))*(J40-K40),0))</f>
        <v>2</v>
      </c>
      <c r="Q40" s="12" t="n">
        <f aca="false">IF(I40="DEPTH",ROUND(-INDEX('Envelope Register'!$P$5:$P$22,MATCH(C40,'Envelope Register'!$A$5:$A$22,0))*(J40-K40),0),ROUND(INDEX('Envelope Register'!$N$5:$N$22,MATCH(C40,'Envelope Register'!$A$5:$A$22,0))*(J40+K40),0))</f>
        <v>5</v>
      </c>
      <c r="R40" s="12" t="n">
        <f aca="false">COUNTIFS($C$5:$C$112,C40,$D$5:$D$112,D40)</f>
        <v>1</v>
      </c>
      <c r="S40" s="11" t="str">
        <f aca="false">IF(AND(L40&gt;=0,M40&lt;=INDEX('Envelope Register'!$J$5:$J$22,MATCH(C40,'Envelope Register'!$A$5:$A$22,0)),N40&gt;=0,O40&lt;=INDEX('Envelope Register'!$L$5:$L$22,MATCH(C40,'Envelope Register'!$A$5:$A$22,0)),P40&gt;=-INDEX('Envelope Register'!$P$5:$P$22,MATCH(C40,'Envelope Register'!$A$5:$A$22,0)),Q40&lt;=INDEX('Envelope Register'!$N$5:$N$22,MATCH(C40,'Envelope Register'!$A$5:$A$22,0)),L40&lt;M40,N40&lt;O40,P40&lt;Q40,R40=1,U40=1),"PASS","FAIL")</f>
        <v>PASS</v>
      </c>
      <c r="T40" s="11" t="s">
        <v>251</v>
      </c>
      <c r="U40" s="12" t="n">
        <f aca="false">COUNTIF($A$5:$A$112,A40)</f>
        <v>1</v>
      </c>
    </row>
    <row r="41" customFormat="false" ht="15" hidden="false" customHeight="false" outlineLevel="0" collapsed="false">
      <c r="A41" s="11" t="s">
        <v>298</v>
      </c>
      <c r="B41" s="11" t="s">
        <v>136</v>
      </c>
      <c r="C41" s="11" t="s">
        <v>24</v>
      </c>
      <c r="D41" s="11" t="s">
        <v>299</v>
      </c>
      <c r="E41" s="22" t="n">
        <v>0.08</v>
      </c>
      <c r="F41" s="22" t="n">
        <v>0.035</v>
      </c>
      <c r="G41" s="22" t="n">
        <v>0.18</v>
      </c>
      <c r="H41" s="22" t="n">
        <v>0.055</v>
      </c>
      <c r="I41" s="11" t="s">
        <v>250</v>
      </c>
      <c r="J41" s="22" t="n">
        <v>0.18</v>
      </c>
      <c r="K41" s="22" t="n">
        <v>0.045</v>
      </c>
      <c r="L41" s="12" t="n">
        <f aca="false">ROUND(INDEX('Envelope Register'!$J$5:$J$22,MATCH(C41,'Envelope Register'!$A$5:$A$22,0))*(E41-F41),0)</f>
        <v>45</v>
      </c>
      <c r="M41" s="12" t="n">
        <f aca="false">ROUND(INDEX('Envelope Register'!$J$5:$J$22,MATCH(C41,'Envelope Register'!$A$5:$A$22,0))*(E41+F41),0)</f>
        <v>115</v>
      </c>
      <c r="N41" s="12" t="n">
        <f aca="false">ROUND(INDEX('Envelope Register'!$L$5:$L$22,MATCH(C41,'Envelope Register'!$A$5:$A$22,0))*(G41-H41),0)</f>
        <v>625</v>
      </c>
      <c r="O41" s="12" t="n">
        <f aca="false">ROUND(INDEX('Envelope Register'!$L$5:$L$22,MATCH(C41,'Envelope Register'!$A$5:$A$22,0))*(G41+H41),0)</f>
        <v>1175</v>
      </c>
      <c r="P41" s="12" t="n">
        <f aca="false">IF(I41="DEPTH",ROUND(-INDEX('Envelope Register'!$P$5:$P$22,MATCH(C41,'Envelope Register'!$A$5:$A$22,0))*(J41+K41),0),ROUND(INDEX('Envelope Register'!$N$5:$N$22,MATCH(C41,'Envelope Register'!$A$5:$A$22,0))*(J41-K41),0))</f>
        <v>135</v>
      </c>
      <c r="Q41" s="12" t="n">
        <f aca="false">IF(I41="DEPTH",ROUND(-INDEX('Envelope Register'!$P$5:$P$22,MATCH(C41,'Envelope Register'!$A$5:$A$22,0))*(J41-K41),0),ROUND(INDEX('Envelope Register'!$N$5:$N$22,MATCH(C41,'Envelope Register'!$A$5:$A$22,0))*(J41+K41),0))</f>
        <v>225</v>
      </c>
      <c r="R41" s="12" t="n">
        <f aca="false">COUNTIFS($C$5:$C$112,C41,$D$5:$D$112,D41)</f>
        <v>1</v>
      </c>
      <c r="S41" s="11" t="str">
        <f aca="false">IF(AND(L41&gt;=0,M41&lt;=INDEX('Envelope Register'!$J$5:$J$22,MATCH(C41,'Envelope Register'!$A$5:$A$22,0)),N41&gt;=0,O41&lt;=INDEX('Envelope Register'!$L$5:$L$22,MATCH(C41,'Envelope Register'!$A$5:$A$22,0)),P41&gt;=-INDEX('Envelope Register'!$P$5:$P$22,MATCH(C41,'Envelope Register'!$A$5:$A$22,0)),Q41&lt;=INDEX('Envelope Register'!$N$5:$N$22,MATCH(C41,'Envelope Register'!$A$5:$A$22,0)),L41&lt;M41,N41&lt;O41,P41&lt;Q41,R41=1,U41=1),"PASS","FAIL")</f>
        <v>PASS</v>
      </c>
      <c r="T41" s="11" t="s">
        <v>251</v>
      </c>
      <c r="U41" s="12" t="n">
        <f aca="false">COUNTIF($A$5:$A$112,A41)</f>
        <v>1</v>
      </c>
    </row>
    <row r="42" customFormat="false" ht="15" hidden="false" customHeight="false" outlineLevel="0" collapsed="false">
      <c r="A42" s="11" t="s">
        <v>300</v>
      </c>
      <c r="B42" s="11" t="s">
        <v>136</v>
      </c>
      <c r="C42" s="11" t="s">
        <v>24</v>
      </c>
      <c r="D42" s="11" t="s">
        <v>301</v>
      </c>
      <c r="E42" s="22" t="n">
        <v>0.25</v>
      </c>
      <c r="F42" s="22" t="n">
        <v>0.035</v>
      </c>
      <c r="G42" s="22" t="n">
        <v>0.18</v>
      </c>
      <c r="H42" s="22" t="n">
        <v>0.055</v>
      </c>
      <c r="I42" s="11" t="s">
        <v>250</v>
      </c>
      <c r="J42" s="22" t="n">
        <v>0.65</v>
      </c>
      <c r="K42" s="22" t="n">
        <v>0.045</v>
      </c>
      <c r="L42" s="12" t="n">
        <f aca="false">ROUND(INDEX('Envelope Register'!$J$5:$J$22,MATCH(C42,'Envelope Register'!$A$5:$A$22,0))*(E42-F42),0)</f>
        <v>215</v>
      </c>
      <c r="M42" s="12" t="n">
        <f aca="false">ROUND(INDEX('Envelope Register'!$J$5:$J$22,MATCH(C42,'Envelope Register'!$A$5:$A$22,0))*(E42+F42),0)</f>
        <v>285</v>
      </c>
      <c r="N42" s="12" t="n">
        <f aca="false">ROUND(INDEX('Envelope Register'!$L$5:$L$22,MATCH(C42,'Envelope Register'!$A$5:$A$22,0))*(G42-H42),0)</f>
        <v>625</v>
      </c>
      <c r="O42" s="12" t="n">
        <f aca="false">ROUND(INDEX('Envelope Register'!$L$5:$L$22,MATCH(C42,'Envelope Register'!$A$5:$A$22,0))*(G42+H42),0)</f>
        <v>1175</v>
      </c>
      <c r="P42" s="12" t="n">
        <f aca="false">IF(I42="DEPTH",ROUND(-INDEX('Envelope Register'!$P$5:$P$22,MATCH(C42,'Envelope Register'!$A$5:$A$22,0))*(J42+K42),0),ROUND(INDEX('Envelope Register'!$N$5:$N$22,MATCH(C42,'Envelope Register'!$A$5:$A$22,0))*(J42-K42),0))</f>
        <v>605</v>
      </c>
      <c r="Q42" s="12" t="n">
        <f aca="false">IF(I42="DEPTH",ROUND(-INDEX('Envelope Register'!$P$5:$P$22,MATCH(C42,'Envelope Register'!$A$5:$A$22,0))*(J42-K42),0),ROUND(INDEX('Envelope Register'!$N$5:$N$22,MATCH(C42,'Envelope Register'!$A$5:$A$22,0))*(J42+K42),0))</f>
        <v>695</v>
      </c>
      <c r="R42" s="12" t="n">
        <f aca="false">COUNTIFS($C$5:$C$112,C42,$D$5:$D$112,D42)</f>
        <v>1</v>
      </c>
      <c r="S42" s="11" t="str">
        <f aca="false">IF(AND(L42&gt;=0,M42&lt;=INDEX('Envelope Register'!$J$5:$J$22,MATCH(C42,'Envelope Register'!$A$5:$A$22,0)),N42&gt;=0,O42&lt;=INDEX('Envelope Register'!$L$5:$L$22,MATCH(C42,'Envelope Register'!$A$5:$A$22,0)),P42&gt;=-INDEX('Envelope Register'!$P$5:$P$22,MATCH(C42,'Envelope Register'!$A$5:$A$22,0)),Q42&lt;=INDEX('Envelope Register'!$N$5:$N$22,MATCH(C42,'Envelope Register'!$A$5:$A$22,0)),L42&lt;M42,N42&lt;O42,P42&lt;Q42,R42=1,U42=1),"PASS","FAIL")</f>
        <v>PASS</v>
      </c>
      <c r="T42" s="11" t="s">
        <v>251</v>
      </c>
      <c r="U42" s="12" t="n">
        <f aca="false">COUNTIF($A$5:$A$112,A42)</f>
        <v>1</v>
      </c>
    </row>
    <row r="43" customFormat="false" ht="15" hidden="false" customHeight="false" outlineLevel="0" collapsed="false">
      <c r="A43" s="11" t="s">
        <v>302</v>
      </c>
      <c r="B43" s="11" t="s">
        <v>136</v>
      </c>
      <c r="C43" s="11" t="s">
        <v>24</v>
      </c>
      <c r="D43" s="11" t="s">
        <v>303</v>
      </c>
      <c r="E43" s="22" t="n">
        <v>0.42</v>
      </c>
      <c r="F43" s="22" t="n">
        <v>0.035</v>
      </c>
      <c r="G43" s="22" t="n">
        <v>0.82</v>
      </c>
      <c r="H43" s="22" t="n">
        <v>0.055</v>
      </c>
      <c r="I43" s="11" t="s">
        <v>250</v>
      </c>
      <c r="J43" s="22" t="n">
        <v>0.15</v>
      </c>
      <c r="K43" s="22" t="n">
        <v>0.045</v>
      </c>
      <c r="L43" s="12" t="n">
        <f aca="false">ROUND(INDEX('Envelope Register'!$J$5:$J$22,MATCH(C43,'Envelope Register'!$A$5:$A$22,0))*(E43-F43),0)</f>
        <v>385</v>
      </c>
      <c r="M43" s="12" t="n">
        <f aca="false">ROUND(INDEX('Envelope Register'!$J$5:$J$22,MATCH(C43,'Envelope Register'!$A$5:$A$22,0))*(E43+F43),0)</f>
        <v>455</v>
      </c>
      <c r="N43" s="12" t="n">
        <f aca="false">ROUND(INDEX('Envelope Register'!$L$5:$L$22,MATCH(C43,'Envelope Register'!$A$5:$A$22,0))*(G43-H43),0)</f>
        <v>3825</v>
      </c>
      <c r="O43" s="12" t="n">
        <f aca="false">ROUND(INDEX('Envelope Register'!$L$5:$L$22,MATCH(C43,'Envelope Register'!$A$5:$A$22,0))*(G43+H43),0)</f>
        <v>4375</v>
      </c>
      <c r="P43" s="12" t="n">
        <f aca="false">IF(I43="DEPTH",ROUND(-INDEX('Envelope Register'!$P$5:$P$22,MATCH(C43,'Envelope Register'!$A$5:$A$22,0))*(J43+K43),0),ROUND(INDEX('Envelope Register'!$N$5:$N$22,MATCH(C43,'Envelope Register'!$A$5:$A$22,0))*(J43-K43),0))</f>
        <v>105</v>
      </c>
      <c r="Q43" s="12" t="n">
        <f aca="false">IF(I43="DEPTH",ROUND(-INDEX('Envelope Register'!$P$5:$P$22,MATCH(C43,'Envelope Register'!$A$5:$A$22,0))*(J43-K43),0),ROUND(INDEX('Envelope Register'!$N$5:$N$22,MATCH(C43,'Envelope Register'!$A$5:$A$22,0))*(J43+K43),0))</f>
        <v>195</v>
      </c>
      <c r="R43" s="12" t="n">
        <f aca="false">COUNTIFS($C$5:$C$112,C43,$D$5:$D$112,D43)</f>
        <v>1</v>
      </c>
      <c r="S43" s="11" t="str">
        <f aca="false">IF(AND(L43&gt;=0,M43&lt;=INDEX('Envelope Register'!$J$5:$J$22,MATCH(C43,'Envelope Register'!$A$5:$A$22,0)),N43&gt;=0,O43&lt;=INDEX('Envelope Register'!$L$5:$L$22,MATCH(C43,'Envelope Register'!$A$5:$A$22,0)),P43&gt;=-INDEX('Envelope Register'!$P$5:$P$22,MATCH(C43,'Envelope Register'!$A$5:$A$22,0)),Q43&lt;=INDEX('Envelope Register'!$N$5:$N$22,MATCH(C43,'Envelope Register'!$A$5:$A$22,0)),L43&lt;M43,N43&lt;O43,P43&lt;Q43,R43=1,U43=1),"PASS","FAIL")</f>
        <v>PASS</v>
      </c>
      <c r="T43" s="11" t="s">
        <v>251</v>
      </c>
      <c r="U43" s="12" t="n">
        <f aca="false">COUNTIF($A$5:$A$112,A43)</f>
        <v>1</v>
      </c>
    </row>
    <row r="44" customFormat="false" ht="15" hidden="false" customHeight="false" outlineLevel="0" collapsed="false">
      <c r="A44" s="11" t="s">
        <v>304</v>
      </c>
      <c r="B44" s="11" t="s">
        <v>136</v>
      </c>
      <c r="C44" s="11" t="s">
        <v>24</v>
      </c>
      <c r="D44" s="11" t="s">
        <v>305</v>
      </c>
      <c r="E44" s="22" t="n">
        <v>0.58</v>
      </c>
      <c r="F44" s="22" t="n">
        <v>0.035</v>
      </c>
      <c r="G44" s="22" t="n">
        <v>0.82</v>
      </c>
      <c r="H44" s="22" t="n">
        <v>0.055</v>
      </c>
      <c r="I44" s="11" t="s">
        <v>250</v>
      </c>
      <c r="J44" s="22" t="n">
        <v>0.35</v>
      </c>
      <c r="K44" s="22" t="n">
        <v>0.045</v>
      </c>
      <c r="L44" s="12" t="n">
        <f aca="false">ROUND(INDEX('Envelope Register'!$J$5:$J$22,MATCH(C44,'Envelope Register'!$A$5:$A$22,0))*(E44-F44),0)</f>
        <v>545</v>
      </c>
      <c r="M44" s="12" t="n">
        <f aca="false">ROUND(INDEX('Envelope Register'!$J$5:$J$22,MATCH(C44,'Envelope Register'!$A$5:$A$22,0))*(E44+F44),0)</f>
        <v>615</v>
      </c>
      <c r="N44" s="12" t="n">
        <f aca="false">ROUND(INDEX('Envelope Register'!$L$5:$L$22,MATCH(C44,'Envelope Register'!$A$5:$A$22,0))*(G44-H44),0)</f>
        <v>3825</v>
      </c>
      <c r="O44" s="12" t="n">
        <f aca="false">ROUND(INDEX('Envelope Register'!$L$5:$L$22,MATCH(C44,'Envelope Register'!$A$5:$A$22,0))*(G44+H44),0)</f>
        <v>4375</v>
      </c>
      <c r="P44" s="12" t="n">
        <f aca="false">IF(I44="DEPTH",ROUND(-INDEX('Envelope Register'!$P$5:$P$22,MATCH(C44,'Envelope Register'!$A$5:$A$22,0))*(J44+K44),0),ROUND(INDEX('Envelope Register'!$N$5:$N$22,MATCH(C44,'Envelope Register'!$A$5:$A$22,0))*(J44-K44),0))</f>
        <v>305</v>
      </c>
      <c r="Q44" s="12" t="n">
        <f aca="false">IF(I44="DEPTH",ROUND(-INDEX('Envelope Register'!$P$5:$P$22,MATCH(C44,'Envelope Register'!$A$5:$A$22,0))*(J44-K44),0),ROUND(INDEX('Envelope Register'!$N$5:$N$22,MATCH(C44,'Envelope Register'!$A$5:$A$22,0))*(J44+K44),0))</f>
        <v>395</v>
      </c>
      <c r="R44" s="12" t="n">
        <f aca="false">COUNTIFS($C$5:$C$112,C44,$D$5:$D$112,D44)</f>
        <v>1</v>
      </c>
      <c r="S44" s="11" t="str">
        <f aca="false">IF(AND(L44&gt;=0,M44&lt;=INDEX('Envelope Register'!$J$5:$J$22,MATCH(C44,'Envelope Register'!$A$5:$A$22,0)),N44&gt;=0,O44&lt;=INDEX('Envelope Register'!$L$5:$L$22,MATCH(C44,'Envelope Register'!$A$5:$A$22,0)),P44&gt;=-INDEX('Envelope Register'!$P$5:$P$22,MATCH(C44,'Envelope Register'!$A$5:$A$22,0)),Q44&lt;=INDEX('Envelope Register'!$N$5:$N$22,MATCH(C44,'Envelope Register'!$A$5:$A$22,0)),L44&lt;M44,N44&lt;O44,P44&lt;Q44,R44=1,U44=1),"PASS","FAIL")</f>
        <v>PASS</v>
      </c>
      <c r="T44" s="11" t="s">
        <v>251</v>
      </c>
      <c r="U44" s="12" t="n">
        <f aca="false">COUNTIF($A$5:$A$112,A44)</f>
        <v>1</v>
      </c>
    </row>
    <row r="45" customFormat="false" ht="15" hidden="false" customHeight="false" outlineLevel="0" collapsed="false">
      <c r="A45" s="11" t="s">
        <v>306</v>
      </c>
      <c r="B45" s="11" t="s">
        <v>136</v>
      </c>
      <c r="C45" s="11" t="s">
        <v>24</v>
      </c>
      <c r="D45" s="11" t="s">
        <v>307</v>
      </c>
      <c r="E45" s="22" t="n">
        <v>0.76</v>
      </c>
      <c r="F45" s="22" t="n">
        <v>0.035</v>
      </c>
      <c r="G45" s="22" t="n">
        <v>0.25</v>
      </c>
      <c r="H45" s="22" t="n">
        <v>0.055</v>
      </c>
      <c r="I45" s="11" t="s">
        <v>250</v>
      </c>
      <c r="J45" s="22" t="n">
        <v>0.1</v>
      </c>
      <c r="K45" s="22" t="n">
        <v>0.045</v>
      </c>
      <c r="L45" s="12" t="n">
        <f aca="false">ROUND(INDEX('Envelope Register'!$J$5:$J$22,MATCH(C45,'Envelope Register'!$A$5:$A$22,0))*(E45-F45),0)</f>
        <v>725</v>
      </c>
      <c r="M45" s="12" t="n">
        <f aca="false">ROUND(INDEX('Envelope Register'!$J$5:$J$22,MATCH(C45,'Envelope Register'!$A$5:$A$22,0))*(E45+F45),0)</f>
        <v>795</v>
      </c>
      <c r="N45" s="12" t="n">
        <f aca="false">ROUND(INDEX('Envelope Register'!$L$5:$L$22,MATCH(C45,'Envelope Register'!$A$5:$A$22,0))*(G45-H45),0)</f>
        <v>975</v>
      </c>
      <c r="O45" s="12" t="n">
        <f aca="false">ROUND(INDEX('Envelope Register'!$L$5:$L$22,MATCH(C45,'Envelope Register'!$A$5:$A$22,0))*(G45+H45),0)</f>
        <v>1525</v>
      </c>
      <c r="P45" s="12" t="n">
        <f aca="false">IF(I45="DEPTH",ROUND(-INDEX('Envelope Register'!$P$5:$P$22,MATCH(C45,'Envelope Register'!$A$5:$A$22,0))*(J45+K45),0),ROUND(INDEX('Envelope Register'!$N$5:$N$22,MATCH(C45,'Envelope Register'!$A$5:$A$22,0))*(J45-K45),0))</f>
        <v>55</v>
      </c>
      <c r="Q45" s="12" t="n">
        <f aca="false">IF(I45="DEPTH",ROUND(-INDEX('Envelope Register'!$P$5:$P$22,MATCH(C45,'Envelope Register'!$A$5:$A$22,0))*(J45-K45),0),ROUND(INDEX('Envelope Register'!$N$5:$N$22,MATCH(C45,'Envelope Register'!$A$5:$A$22,0))*(J45+K45),0))</f>
        <v>145</v>
      </c>
      <c r="R45" s="12" t="n">
        <f aca="false">COUNTIFS($C$5:$C$112,C45,$D$5:$D$112,D45)</f>
        <v>1</v>
      </c>
      <c r="S45" s="11" t="str">
        <f aca="false">IF(AND(L45&gt;=0,M45&lt;=INDEX('Envelope Register'!$J$5:$J$22,MATCH(C45,'Envelope Register'!$A$5:$A$22,0)),N45&gt;=0,O45&lt;=INDEX('Envelope Register'!$L$5:$L$22,MATCH(C45,'Envelope Register'!$A$5:$A$22,0)),P45&gt;=-INDEX('Envelope Register'!$P$5:$P$22,MATCH(C45,'Envelope Register'!$A$5:$A$22,0)),Q45&lt;=INDEX('Envelope Register'!$N$5:$N$22,MATCH(C45,'Envelope Register'!$A$5:$A$22,0)),L45&lt;M45,N45&lt;O45,P45&lt;Q45,R45=1,U45=1),"PASS","FAIL")</f>
        <v>PASS</v>
      </c>
      <c r="T45" s="11" t="s">
        <v>251</v>
      </c>
      <c r="U45" s="12" t="n">
        <f aca="false">COUNTIF($A$5:$A$112,A45)</f>
        <v>1</v>
      </c>
    </row>
    <row r="46" customFormat="false" ht="15" hidden="false" customHeight="false" outlineLevel="0" collapsed="false">
      <c r="A46" s="11" t="s">
        <v>308</v>
      </c>
      <c r="B46" s="11" t="s">
        <v>136</v>
      </c>
      <c r="C46" s="11" t="s">
        <v>24</v>
      </c>
      <c r="D46" s="11" t="s">
        <v>309</v>
      </c>
      <c r="E46" s="22" t="n">
        <v>0.92</v>
      </c>
      <c r="F46" s="22" t="n">
        <v>0.035</v>
      </c>
      <c r="G46" s="22" t="n">
        <v>0.75</v>
      </c>
      <c r="H46" s="22" t="n">
        <v>0.055</v>
      </c>
      <c r="I46" s="11" t="s">
        <v>250</v>
      </c>
      <c r="J46" s="22" t="n">
        <v>0.08</v>
      </c>
      <c r="K46" s="22" t="n">
        <v>0.045</v>
      </c>
      <c r="L46" s="12" t="n">
        <f aca="false">ROUND(INDEX('Envelope Register'!$J$5:$J$22,MATCH(C46,'Envelope Register'!$A$5:$A$22,0))*(E46-F46),0)</f>
        <v>885</v>
      </c>
      <c r="M46" s="12" t="n">
        <f aca="false">ROUND(INDEX('Envelope Register'!$J$5:$J$22,MATCH(C46,'Envelope Register'!$A$5:$A$22,0))*(E46+F46),0)</f>
        <v>955</v>
      </c>
      <c r="N46" s="12" t="n">
        <f aca="false">ROUND(INDEX('Envelope Register'!$L$5:$L$22,MATCH(C46,'Envelope Register'!$A$5:$A$22,0))*(G46-H46),0)</f>
        <v>3475</v>
      </c>
      <c r="O46" s="12" t="n">
        <f aca="false">ROUND(INDEX('Envelope Register'!$L$5:$L$22,MATCH(C46,'Envelope Register'!$A$5:$A$22,0))*(G46+H46),0)</f>
        <v>4025</v>
      </c>
      <c r="P46" s="12" t="n">
        <f aca="false">IF(I46="DEPTH",ROUND(-INDEX('Envelope Register'!$P$5:$P$22,MATCH(C46,'Envelope Register'!$A$5:$A$22,0))*(J46+K46),0),ROUND(INDEX('Envelope Register'!$N$5:$N$22,MATCH(C46,'Envelope Register'!$A$5:$A$22,0))*(J46-K46),0))</f>
        <v>35</v>
      </c>
      <c r="Q46" s="12" t="n">
        <f aca="false">IF(I46="DEPTH",ROUND(-INDEX('Envelope Register'!$P$5:$P$22,MATCH(C46,'Envelope Register'!$A$5:$A$22,0))*(J46-K46),0),ROUND(INDEX('Envelope Register'!$N$5:$N$22,MATCH(C46,'Envelope Register'!$A$5:$A$22,0))*(J46+K46),0))</f>
        <v>125</v>
      </c>
      <c r="R46" s="12" t="n">
        <f aca="false">COUNTIFS($C$5:$C$112,C46,$D$5:$D$112,D46)</f>
        <v>1</v>
      </c>
      <c r="S46" s="11" t="str">
        <f aca="false">IF(AND(L46&gt;=0,M46&lt;=INDEX('Envelope Register'!$J$5:$J$22,MATCH(C46,'Envelope Register'!$A$5:$A$22,0)),N46&gt;=0,O46&lt;=INDEX('Envelope Register'!$L$5:$L$22,MATCH(C46,'Envelope Register'!$A$5:$A$22,0)),P46&gt;=-INDEX('Envelope Register'!$P$5:$P$22,MATCH(C46,'Envelope Register'!$A$5:$A$22,0)),Q46&lt;=INDEX('Envelope Register'!$N$5:$N$22,MATCH(C46,'Envelope Register'!$A$5:$A$22,0)),L46&lt;M46,N46&lt;O46,P46&lt;Q46,R46=1,U46=1),"PASS","FAIL")</f>
        <v>PASS</v>
      </c>
      <c r="T46" s="11" t="s">
        <v>251</v>
      </c>
      <c r="U46" s="12" t="n">
        <f aca="false">COUNTIF($A$5:$A$112,A46)</f>
        <v>1</v>
      </c>
    </row>
    <row r="47" customFormat="false" ht="15" hidden="false" customHeight="false" outlineLevel="0" collapsed="false">
      <c r="A47" s="11" t="s">
        <v>310</v>
      </c>
      <c r="B47" s="11" t="s">
        <v>136</v>
      </c>
      <c r="C47" s="11" t="s">
        <v>27</v>
      </c>
      <c r="D47" s="11" t="s">
        <v>299</v>
      </c>
      <c r="E47" s="22" t="n">
        <v>0.06</v>
      </c>
      <c r="F47" s="22" t="n">
        <v>0.035</v>
      </c>
      <c r="G47" s="22" t="n">
        <v>0.5</v>
      </c>
      <c r="H47" s="22" t="n">
        <v>0.055</v>
      </c>
      <c r="I47" s="11" t="s">
        <v>250</v>
      </c>
      <c r="J47" s="22" t="n">
        <v>0.18</v>
      </c>
      <c r="K47" s="22" t="n">
        <v>0.045</v>
      </c>
      <c r="L47" s="12" t="n">
        <f aca="false">ROUND(INDEX('Envelope Register'!$J$5:$J$22,MATCH(C47,'Envelope Register'!$A$5:$A$22,0))*(E47-F47),0)</f>
        <v>25</v>
      </c>
      <c r="M47" s="12" t="n">
        <f aca="false">ROUND(INDEX('Envelope Register'!$J$5:$J$22,MATCH(C47,'Envelope Register'!$A$5:$A$22,0))*(E47+F47),0)</f>
        <v>95</v>
      </c>
      <c r="N47" s="12" t="n">
        <f aca="false">ROUND(INDEX('Envelope Register'!$L$5:$L$22,MATCH(C47,'Envelope Register'!$A$5:$A$22,0))*(G47-H47),0)</f>
        <v>2225</v>
      </c>
      <c r="O47" s="12" t="n">
        <f aca="false">ROUND(INDEX('Envelope Register'!$L$5:$L$22,MATCH(C47,'Envelope Register'!$A$5:$A$22,0))*(G47+H47),0)</f>
        <v>2775</v>
      </c>
      <c r="P47" s="12" t="n">
        <f aca="false">IF(I47="DEPTH",ROUND(-INDEX('Envelope Register'!$P$5:$P$22,MATCH(C47,'Envelope Register'!$A$5:$A$22,0))*(J47+K47),0),ROUND(INDEX('Envelope Register'!$N$5:$N$22,MATCH(C47,'Envelope Register'!$A$5:$A$22,0))*(J47-K47),0))</f>
        <v>41</v>
      </c>
      <c r="Q47" s="12" t="n">
        <f aca="false">IF(I47="DEPTH",ROUND(-INDEX('Envelope Register'!$P$5:$P$22,MATCH(C47,'Envelope Register'!$A$5:$A$22,0))*(J47-K47),0),ROUND(INDEX('Envelope Register'!$N$5:$N$22,MATCH(C47,'Envelope Register'!$A$5:$A$22,0))*(J47+K47),0))</f>
        <v>68</v>
      </c>
      <c r="R47" s="12" t="n">
        <f aca="false">COUNTIFS($C$5:$C$112,C47,$D$5:$D$112,D47)</f>
        <v>1</v>
      </c>
      <c r="S47" s="11" t="str">
        <f aca="false">IF(AND(L47&gt;=0,M47&lt;=INDEX('Envelope Register'!$J$5:$J$22,MATCH(C47,'Envelope Register'!$A$5:$A$22,0)),N47&gt;=0,O47&lt;=INDEX('Envelope Register'!$L$5:$L$22,MATCH(C47,'Envelope Register'!$A$5:$A$22,0)),P47&gt;=-INDEX('Envelope Register'!$P$5:$P$22,MATCH(C47,'Envelope Register'!$A$5:$A$22,0)),Q47&lt;=INDEX('Envelope Register'!$N$5:$N$22,MATCH(C47,'Envelope Register'!$A$5:$A$22,0)),L47&lt;M47,N47&lt;O47,P47&lt;Q47,R47=1,U47=1),"PASS","FAIL")</f>
        <v>PASS</v>
      </c>
      <c r="T47" s="11" t="s">
        <v>251</v>
      </c>
      <c r="U47" s="12" t="n">
        <f aca="false">COUNTIF($A$5:$A$112,A47)</f>
        <v>1</v>
      </c>
    </row>
    <row r="48" customFormat="false" ht="15" hidden="false" customHeight="false" outlineLevel="0" collapsed="false">
      <c r="A48" s="11" t="s">
        <v>311</v>
      </c>
      <c r="B48" s="11" t="s">
        <v>136</v>
      </c>
      <c r="C48" s="11" t="s">
        <v>27</v>
      </c>
      <c r="D48" s="11" t="s">
        <v>301</v>
      </c>
      <c r="E48" s="22" t="n">
        <v>0.22</v>
      </c>
      <c r="F48" s="22" t="n">
        <v>0.035</v>
      </c>
      <c r="G48" s="22" t="n">
        <v>0.28</v>
      </c>
      <c r="H48" s="22" t="n">
        <v>0.055</v>
      </c>
      <c r="I48" s="11" t="s">
        <v>250</v>
      </c>
      <c r="J48" s="22" t="n">
        <v>0.65</v>
      </c>
      <c r="K48" s="22" t="n">
        <v>0.045</v>
      </c>
      <c r="L48" s="12" t="n">
        <f aca="false">ROUND(INDEX('Envelope Register'!$J$5:$J$22,MATCH(C48,'Envelope Register'!$A$5:$A$22,0))*(E48-F48),0)</f>
        <v>185</v>
      </c>
      <c r="M48" s="12" t="n">
        <f aca="false">ROUND(INDEX('Envelope Register'!$J$5:$J$22,MATCH(C48,'Envelope Register'!$A$5:$A$22,0))*(E48+F48),0)</f>
        <v>255</v>
      </c>
      <c r="N48" s="12" t="n">
        <f aca="false">ROUND(INDEX('Envelope Register'!$L$5:$L$22,MATCH(C48,'Envelope Register'!$A$5:$A$22,0))*(G48-H48),0)</f>
        <v>1125</v>
      </c>
      <c r="O48" s="12" t="n">
        <f aca="false">ROUND(INDEX('Envelope Register'!$L$5:$L$22,MATCH(C48,'Envelope Register'!$A$5:$A$22,0))*(G48+H48),0)</f>
        <v>1675</v>
      </c>
      <c r="P48" s="12" t="n">
        <f aca="false">IF(I48="DEPTH",ROUND(-INDEX('Envelope Register'!$P$5:$P$22,MATCH(C48,'Envelope Register'!$A$5:$A$22,0))*(J48+K48),0),ROUND(INDEX('Envelope Register'!$N$5:$N$22,MATCH(C48,'Envelope Register'!$A$5:$A$22,0))*(J48-K48),0))</f>
        <v>182</v>
      </c>
      <c r="Q48" s="12" t="n">
        <f aca="false">IF(I48="DEPTH",ROUND(-INDEX('Envelope Register'!$P$5:$P$22,MATCH(C48,'Envelope Register'!$A$5:$A$22,0))*(J48-K48),0),ROUND(INDEX('Envelope Register'!$N$5:$N$22,MATCH(C48,'Envelope Register'!$A$5:$A$22,0))*(J48+K48),0))</f>
        <v>209</v>
      </c>
      <c r="R48" s="12" t="n">
        <f aca="false">COUNTIFS($C$5:$C$112,C48,$D$5:$D$112,D48)</f>
        <v>1</v>
      </c>
      <c r="S48" s="11" t="str">
        <f aca="false">IF(AND(L48&gt;=0,M48&lt;=INDEX('Envelope Register'!$J$5:$J$22,MATCH(C48,'Envelope Register'!$A$5:$A$22,0)),N48&gt;=0,O48&lt;=INDEX('Envelope Register'!$L$5:$L$22,MATCH(C48,'Envelope Register'!$A$5:$A$22,0)),P48&gt;=-INDEX('Envelope Register'!$P$5:$P$22,MATCH(C48,'Envelope Register'!$A$5:$A$22,0)),Q48&lt;=INDEX('Envelope Register'!$N$5:$N$22,MATCH(C48,'Envelope Register'!$A$5:$A$22,0)),L48&lt;M48,N48&lt;O48,P48&lt;Q48,R48=1,U48=1),"PASS","FAIL")</f>
        <v>PASS</v>
      </c>
      <c r="T48" s="11" t="s">
        <v>251</v>
      </c>
      <c r="U48" s="12" t="n">
        <f aca="false">COUNTIF($A$5:$A$112,A48)</f>
        <v>1</v>
      </c>
    </row>
    <row r="49" customFormat="false" ht="15" hidden="false" customHeight="false" outlineLevel="0" collapsed="false">
      <c r="A49" s="11" t="s">
        <v>312</v>
      </c>
      <c r="B49" s="11" t="s">
        <v>136</v>
      </c>
      <c r="C49" s="11" t="s">
        <v>27</v>
      </c>
      <c r="D49" s="11" t="s">
        <v>303</v>
      </c>
      <c r="E49" s="22" t="n">
        <v>0.4</v>
      </c>
      <c r="F49" s="22" t="n">
        <v>0.035</v>
      </c>
      <c r="G49" s="22" t="n">
        <v>0.72</v>
      </c>
      <c r="H49" s="22" t="n">
        <v>0.055</v>
      </c>
      <c r="I49" s="11" t="s">
        <v>250</v>
      </c>
      <c r="J49" s="22" t="n">
        <v>0.15</v>
      </c>
      <c r="K49" s="22" t="n">
        <v>0.045</v>
      </c>
      <c r="L49" s="12" t="n">
        <f aca="false">ROUND(INDEX('Envelope Register'!$J$5:$J$22,MATCH(C49,'Envelope Register'!$A$5:$A$22,0))*(E49-F49),0)</f>
        <v>365</v>
      </c>
      <c r="M49" s="12" t="n">
        <f aca="false">ROUND(INDEX('Envelope Register'!$J$5:$J$22,MATCH(C49,'Envelope Register'!$A$5:$A$22,0))*(E49+F49),0)</f>
        <v>435</v>
      </c>
      <c r="N49" s="12" t="n">
        <f aca="false">ROUND(INDEX('Envelope Register'!$L$5:$L$22,MATCH(C49,'Envelope Register'!$A$5:$A$22,0))*(G49-H49),0)</f>
        <v>3325</v>
      </c>
      <c r="O49" s="12" t="n">
        <f aca="false">ROUND(INDEX('Envelope Register'!$L$5:$L$22,MATCH(C49,'Envelope Register'!$A$5:$A$22,0))*(G49+H49),0)</f>
        <v>3875</v>
      </c>
      <c r="P49" s="12" t="n">
        <f aca="false">IF(I49="DEPTH",ROUND(-INDEX('Envelope Register'!$P$5:$P$22,MATCH(C49,'Envelope Register'!$A$5:$A$22,0))*(J49+K49),0),ROUND(INDEX('Envelope Register'!$N$5:$N$22,MATCH(C49,'Envelope Register'!$A$5:$A$22,0))*(J49-K49),0))</f>
        <v>32</v>
      </c>
      <c r="Q49" s="12" t="n">
        <f aca="false">IF(I49="DEPTH",ROUND(-INDEX('Envelope Register'!$P$5:$P$22,MATCH(C49,'Envelope Register'!$A$5:$A$22,0))*(J49-K49),0),ROUND(INDEX('Envelope Register'!$N$5:$N$22,MATCH(C49,'Envelope Register'!$A$5:$A$22,0))*(J49+K49),0))</f>
        <v>59</v>
      </c>
      <c r="R49" s="12" t="n">
        <f aca="false">COUNTIFS($C$5:$C$112,C49,$D$5:$D$112,D49)</f>
        <v>1</v>
      </c>
      <c r="S49" s="11" t="str">
        <f aca="false">IF(AND(L49&gt;=0,M49&lt;=INDEX('Envelope Register'!$J$5:$J$22,MATCH(C49,'Envelope Register'!$A$5:$A$22,0)),N49&gt;=0,O49&lt;=INDEX('Envelope Register'!$L$5:$L$22,MATCH(C49,'Envelope Register'!$A$5:$A$22,0)),P49&gt;=-INDEX('Envelope Register'!$P$5:$P$22,MATCH(C49,'Envelope Register'!$A$5:$A$22,0)),Q49&lt;=INDEX('Envelope Register'!$N$5:$N$22,MATCH(C49,'Envelope Register'!$A$5:$A$22,0)),L49&lt;M49,N49&lt;O49,P49&lt;Q49,R49=1,U49=1),"PASS","FAIL")</f>
        <v>PASS</v>
      </c>
      <c r="T49" s="11" t="s">
        <v>251</v>
      </c>
      <c r="U49" s="12" t="n">
        <f aca="false">COUNTIF($A$5:$A$112,A49)</f>
        <v>1</v>
      </c>
    </row>
    <row r="50" customFormat="false" ht="15" hidden="false" customHeight="false" outlineLevel="0" collapsed="false">
      <c r="A50" s="11" t="s">
        <v>313</v>
      </c>
      <c r="B50" s="11" t="s">
        <v>136</v>
      </c>
      <c r="C50" s="11" t="s">
        <v>27</v>
      </c>
      <c r="D50" s="11" t="s">
        <v>305</v>
      </c>
      <c r="E50" s="22" t="n">
        <v>0.6</v>
      </c>
      <c r="F50" s="22" t="n">
        <v>0.035</v>
      </c>
      <c r="G50" s="22" t="n">
        <v>0.28</v>
      </c>
      <c r="H50" s="22" t="n">
        <v>0.055</v>
      </c>
      <c r="I50" s="11" t="s">
        <v>250</v>
      </c>
      <c r="J50" s="22" t="n">
        <v>0.35</v>
      </c>
      <c r="K50" s="22" t="n">
        <v>0.045</v>
      </c>
      <c r="L50" s="12" t="n">
        <f aca="false">ROUND(INDEX('Envelope Register'!$J$5:$J$22,MATCH(C50,'Envelope Register'!$A$5:$A$22,0))*(E50-F50),0)</f>
        <v>565</v>
      </c>
      <c r="M50" s="12" t="n">
        <f aca="false">ROUND(INDEX('Envelope Register'!$J$5:$J$22,MATCH(C50,'Envelope Register'!$A$5:$A$22,0))*(E50+F50),0)</f>
        <v>635</v>
      </c>
      <c r="N50" s="12" t="n">
        <f aca="false">ROUND(INDEX('Envelope Register'!$L$5:$L$22,MATCH(C50,'Envelope Register'!$A$5:$A$22,0))*(G50-H50),0)</f>
        <v>1125</v>
      </c>
      <c r="O50" s="12" t="n">
        <f aca="false">ROUND(INDEX('Envelope Register'!$L$5:$L$22,MATCH(C50,'Envelope Register'!$A$5:$A$22,0))*(G50+H50),0)</f>
        <v>1675</v>
      </c>
      <c r="P50" s="12" t="n">
        <f aca="false">IF(I50="DEPTH",ROUND(-INDEX('Envelope Register'!$P$5:$P$22,MATCH(C50,'Envelope Register'!$A$5:$A$22,0))*(J50+K50),0),ROUND(INDEX('Envelope Register'!$N$5:$N$22,MATCH(C50,'Envelope Register'!$A$5:$A$22,0))*(J50-K50),0))</f>
        <v>92</v>
      </c>
      <c r="Q50" s="12" t="n">
        <f aca="false">IF(I50="DEPTH",ROUND(-INDEX('Envelope Register'!$P$5:$P$22,MATCH(C50,'Envelope Register'!$A$5:$A$22,0))*(J50-K50),0),ROUND(INDEX('Envelope Register'!$N$5:$N$22,MATCH(C50,'Envelope Register'!$A$5:$A$22,0))*(J50+K50),0))</f>
        <v>118</v>
      </c>
      <c r="R50" s="12" t="n">
        <f aca="false">COUNTIFS($C$5:$C$112,C50,$D$5:$D$112,D50)</f>
        <v>1</v>
      </c>
      <c r="S50" s="11" t="str">
        <f aca="false">IF(AND(L50&gt;=0,M50&lt;=INDEX('Envelope Register'!$J$5:$J$22,MATCH(C50,'Envelope Register'!$A$5:$A$22,0)),N50&gt;=0,O50&lt;=INDEX('Envelope Register'!$L$5:$L$22,MATCH(C50,'Envelope Register'!$A$5:$A$22,0)),P50&gt;=-INDEX('Envelope Register'!$P$5:$P$22,MATCH(C50,'Envelope Register'!$A$5:$A$22,0)),Q50&lt;=INDEX('Envelope Register'!$N$5:$N$22,MATCH(C50,'Envelope Register'!$A$5:$A$22,0)),L50&lt;M50,N50&lt;O50,P50&lt;Q50,R50=1,U50=1),"PASS","FAIL")</f>
        <v>PASS</v>
      </c>
      <c r="T50" s="11" t="s">
        <v>251</v>
      </c>
      <c r="U50" s="12" t="n">
        <f aca="false">COUNTIF($A$5:$A$112,A50)</f>
        <v>1</v>
      </c>
    </row>
    <row r="51" customFormat="false" ht="15" hidden="false" customHeight="false" outlineLevel="0" collapsed="false">
      <c r="A51" s="11" t="s">
        <v>314</v>
      </c>
      <c r="B51" s="11" t="s">
        <v>136</v>
      </c>
      <c r="C51" s="11" t="s">
        <v>27</v>
      </c>
      <c r="D51" s="11" t="s">
        <v>307</v>
      </c>
      <c r="E51" s="22" t="n">
        <v>0.78</v>
      </c>
      <c r="F51" s="22" t="n">
        <v>0.035</v>
      </c>
      <c r="G51" s="22" t="n">
        <v>0.72</v>
      </c>
      <c r="H51" s="22" t="n">
        <v>0.055</v>
      </c>
      <c r="I51" s="11" t="s">
        <v>250</v>
      </c>
      <c r="J51" s="22" t="n">
        <v>0.1</v>
      </c>
      <c r="K51" s="22" t="n">
        <v>0.045</v>
      </c>
      <c r="L51" s="12" t="n">
        <f aca="false">ROUND(INDEX('Envelope Register'!$J$5:$J$22,MATCH(C51,'Envelope Register'!$A$5:$A$22,0))*(E51-F51),0)</f>
        <v>745</v>
      </c>
      <c r="M51" s="12" t="n">
        <f aca="false">ROUND(INDEX('Envelope Register'!$J$5:$J$22,MATCH(C51,'Envelope Register'!$A$5:$A$22,0))*(E51+F51),0)</f>
        <v>815</v>
      </c>
      <c r="N51" s="12" t="n">
        <f aca="false">ROUND(INDEX('Envelope Register'!$L$5:$L$22,MATCH(C51,'Envelope Register'!$A$5:$A$22,0))*(G51-H51),0)</f>
        <v>3325</v>
      </c>
      <c r="O51" s="12" t="n">
        <f aca="false">ROUND(INDEX('Envelope Register'!$L$5:$L$22,MATCH(C51,'Envelope Register'!$A$5:$A$22,0))*(G51+H51),0)</f>
        <v>3875</v>
      </c>
      <c r="P51" s="12" t="n">
        <f aca="false">IF(I51="DEPTH",ROUND(-INDEX('Envelope Register'!$P$5:$P$22,MATCH(C51,'Envelope Register'!$A$5:$A$22,0))*(J51+K51),0),ROUND(INDEX('Envelope Register'!$N$5:$N$22,MATCH(C51,'Envelope Register'!$A$5:$A$22,0))*(J51-K51),0))</f>
        <v>17</v>
      </c>
      <c r="Q51" s="12" t="n">
        <f aca="false">IF(I51="DEPTH",ROUND(-INDEX('Envelope Register'!$P$5:$P$22,MATCH(C51,'Envelope Register'!$A$5:$A$22,0))*(J51-K51),0),ROUND(INDEX('Envelope Register'!$N$5:$N$22,MATCH(C51,'Envelope Register'!$A$5:$A$22,0))*(J51+K51),0))</f>
        <v>44</v>
      </c>
      <c r="R51" s="12" t="n">
        <f aca="false">COUNTIFS($C$5:$C$112,C51,$D$5:$D$112,D51)</f>
        <v>1</v>
      </c>
      <c r="S51" s="11" t="str">
        <f aca="false">IF(AND(L51&gt;=0,M51&lt;=INDEX('Envelope Register'!$J$5:$J$22,MATCH(C51,'Envelope Register'!$A$5:$A$22,0)),N51&gt;=0,O51&lt;=INDEX('Envelope Register'!$L$5:$L$22,MATCH(C51,'Envelope Register'!$A$5:$A$22,0)),P51&gt;=-INDEX('Envelope Register'!$P$5:$P$22,MATCH(C51,'Envelope Register'!$A$5:$A$22,0)),Q51&lt;=INDEX('Envelope Register'!$N$5:$N$22,MATCH(C51,'Envelope Register'!$A$5:$A$22,0)),L51&lt;M51,N51&lt;O51,P51&lt;Q51,R51=1,U51=1),"PASS","FAIL")</f>
        <v>PASS</v>
      </c>
      <c r="T51" s="11" t="s">
        <v>251</v>
      </c>
      <c r="U51" s="12" t="n">
        <f aca="false">COUNTIF($A$5:$A$112,A51)</f>
        <v>1</v>
      </c>
    </row>
    <row r="52" customFormat="false" ht="15" hidden="false" customHeight="false" outlineLevel="0" collapsed="false">
      <c r="A52" s="11" t="s">
        <v>315</v>
      </c>
      <c r="B52" s="11" t="s">
        <v>136</v>
      </c>
      <c r="C52" s="11" t="s">
        <v>27</v>
      </c>
      <c r="D52" s="11" t="s">
        <v>309</v>
      </c>
      <c r="E52" s="22" t="n">
        <v>0.94</v>
      </c>
      <c r="F52" s="22" t="n">
        <v>0.035</v>
      </c>
      <c r="G52" s="22" t="n">
        <v>0.5</v>
      </c>
      <c r="H52" s="22" t="n">
        <v>0.055</v>
      </c>
      <c r="I52" s="11" t="s">
        <v>250</v>
      </c>
      <c r="J52" s="22" t="n">
        <v>0.08</v>
      </c>
      <c r="K52" s="22" t="n">
        <v>0.045</v>
      </c>
      <c r="L52" s="12" t="n">
        <f aca="false">ROUND(INDEX('Envelope Register'!$J$5:$J$22,MATCH(C52,'Envelope Register'!$A$5:$A$22,0))*(E52-F52),0)</f>
        <v>905</v>
      </c>
      <c r="M52" s="12" t="n">
        <f aca="false">ROUND(INDEX('Envelope Register'!$J$5:$J$22,MATCH(C52,'Envelope Register'!$A$5:$A$22,0))*(E52+F52),0)</f>
        <v>975</v>
      </c>
      <c r="N52" s="12" t="n">
        <f aca="false">ROUND(INDEX('Envelope Register'!$L$5:$L$22,MATCH(C52,'Envelope Register'!$A$5:$A$22,0))*(G52-H52),0)</f>
        <v>2225</v>
      </c>
      <c r="O52" s="12" t="n">
        <f aca="false">ROUND(INDEX('Envelope Register'!$L$5:$L$22,MATCH(C52,'Envelope Register'!$A$5:$A$22,0))*(G52+H52),0)</f>
        <v>2775</v>
      </c>
      <c r="P52" s="12" t="n">
        <f aca="false">IF(I52="DEPTH",ROUND(-INDEX('Envelope Register'!$P$5:$P$22,MATCH(C52,'Envelope Register'!$A$5:$A$22,0))*(J52+K52),0),ROUND(INDEX('Envelope Register'!$N$5:$N$22,MATCH(C52,'Envelope Register'!$A$5:$A$22,0))*(J52-K52),0))</f>
        <v>11</v>
      </c>
      <c r="Q52" s="12" t="n">
        <f aca="false">IF(I52="DEPTH",ROUND(-INDEX('Envelope Register'!$P$5:$P$22,MATCH(C52,'Envelope Register'!$A$5:$A$22,0))*(J52-K52),0),ROUND(INDEX('Envelope Register'!$N$5:$N$22,MATCH(C52,'Envelope Register'!$A$5:$A$22,0))*(J52+K52),0))</f>
        <v>38</v>
      </c>
      <c r="R52" s="12" t="n">
        <f aca="false">COUNTIFS($C$5:$C$112,C52,$D$5:$D$112,D52)</f>
        <v>1</v>
      </c>
      <c r="S52" s="11" t="str">
        <f aca="false">IF(AND(L52&gt;=0,M52&lt;=INDEX('Envelope Register'!$J$5:$J$22,MATCH(C52,'Envelope Register'!$A$5:$A$22,0)),N52&gt;=0,O52&lt;=INDEX('Envelope Register'!$L$5:$L$22,MATCH(C52,'Envelope Register'!$A$5:$A$22,0)),P52&gt;=-INDEX('Envelope Register'!$P$5:$P$22,MATCH(C52,'Envelope Register'!$A$5:$A$22,0)),Q52&lt;=INDEX('Envelope Register'!$N$5:$N$22,MATCH(C52,'Envelope Register'!$A$5:$A$22,0)),L52&lt;M52,N52&lt;O52,P52&lt;Q52,R52=1,U52=1),"PASS","FAIL")</f>
        <v>PASS</v>
      </c>
      <c r="T52" s="11" t="s">
        <v>251</v>
      </c>
      <c r="U52" s="12" t="n">
        <f aca="false">COUNTIF($A$5:$A$112,A52)</f>
        <v>1</v>
      </c>
    </row>
    <row r="53" customFormat="false" ht="15" hidden="false" customHeight="false" outlineLevel="0" collapsed="false">
      <c r="A53" s="11" t="s">
        <v>316</v>
      </c>
      <c r="B53" s="11" t="s">
        <v>136</v>
      </c>
      <c r="C53" s="11" t="s">
        <v>30</v>
      </c>
      <c r="D53" s="11" t="s">
        <v>299</v>
      </c>
      <c r="E53" s="22" t="n">
        <v>0.15</v>
      </c>
      <c r="F53" s="22" t="n">
        <v>0.035</v>
      </c>
      <c r="G53" s="22" t="n">
        <v>0.2</v>
      </c>
      <c r="H53" s="22" t="n">
        <v>0.055</v>
      </c>
      <c r="I53" s="11" t="s">
        <v>250</v>
      </c>
      <c r="J53" s="22" t="n">
        <v>0.18</v>
      </c>
      <c r="K53" s="22" t="n">
        <v>0.045</v>
      </c>
      <c r="L53" s="12" t="n">
        <f aca="false">ROUND(INDEX('Envelope Register'!$J$5:$J$22,MATCH(C53,'Envelope Register'!$A$5:$A$22,0))*(E53-F53),0)</f>
        <v>115</v>
      </c>
      <c r="M53" s="12" t="n">
        <f aca="false">ROUND(INDEX('Envelope Register'!$J$5:$J$22,MATCH(C53,'Envelope Register'!$A$5:$A$22,0))*(E53+F53),0)</f>
        <v>185</v>
      </c>
      <c r="N53" s="12" t="n">
        <f aca="false">ROUND(INDEX('Envelope Register'!$L$5:$L$22,MATCH(C53,'Envelope Register'!$A$5:$A$22,0))*(G53-H53),0)</f>
        <v>725</v>
      </c>
      <c r="O53" s="12" t="n">
        <f aca="false">ROUND(INDEX('Envelope Register'!$L$5:$L$22,MATCH(C53,'Envelope Register'!$A$5:$A$22,0))*(G53+H53),0)</f>
        <v>1275</v>
      </c>
      <c r="P53" s="12" t="n">
        <f aca="false">IF(I53="DEPTH",ROUND(-INDEX('Envelope Register'!$P$5:$P$22,MATCH(C53,'Envelope Register'!$A$5:$A$22,0))*(J53+K53),0),ROUND(INDEX('Envelope Register'!$N$5:$N$22,MATCH(C53,'Envelope Register'!$A$5:$A$22,0))*(J53-K53),0))</f>
        <v>7</v>
      </c>
      <c r="Q53" s="12" t="n">
        <f aca="false">IF(I53="DEPTH",ROUND(-INDEX('Envelope Register'!$P$5:$P$22,MATCH(C53,'Envelope Register'!$A$5:$A$22,0))*(J53-K53),0),ROUND(INDEX('Envelope Register'!$N$5:$N$22,MATCH(C53,'Envelope Register'!$A$5:$A$22,0))*(J53+K53),0))</f>
        <v>11</v>
      </c>
      <c r="R53" s="12" t="n">
        <f aca="false">COUNTIFS($C$5:$C$112,C53,$D$5:$D$112,D53)</f>
        <v>1</v>
      </c>
      <c r="S53" s="11" t="str">
        <f aca="false">IF(AND(L53&gt;=0,M53&lt;=INDEX('Envelope Register'!$J$5:$J$22,MATCH(C53,'Envelope Register'!$A$5:$A$22,0)),N53&gt;=0,O53&lt;=INDEX('Envelope Register'!$L$5:$L$22,MATCH(C53,'Envelope Register'!$A$5:$A$22,0)),P53&gt;=-INDEX('Envelope Register'!$P$5:$P$22,MATCH(C53,'Envelope Register'!$A$5:$A$22,0)),Q53&lt;=INDEX('Envelope Register'!$N$5:$N$22,MATCH(C53,'Envelope Register'!$A$5:$A$22,0)),L53&lt;M53,N53&lt;O53,P53&lt;Q53,R53=1,U53=1),"PASS","FAIL")</f>
        <v>PASS</v>
      </c>
      <c r="T53" s="11" t="s">
        <v>251</v>
      </c>
      <c r="U53" s="12" t="n">
        <f aca="false">COUNTIF($A$5:$A$112,A53)</f>
        <v>1</v>
      </c>
    </row>
    <row r="54" customFormat="false" ht="15" hidden="false" customHeight="false" outlineLevel="0" collapsed="false">
      <c r="A54" s="11" t="s">
        <v>317</v>
      </c>
      <c r="B54" s="11" t="s">
        <v>136</v>
      </c>
      <c r="C54" s="11" t="s">
        <v>30</v>
      </c>
      <c r="D54" s="11" t="s">
        <v>301</v>
      </c>
      <c r="E54" s="22" t="n">
        <v>0.15</v>
      </c>
      <c r="F54" s="22" t="n">
        <v>0.035</v>
      </c>
      <c r="G54" s="22" t="n">
        <v>0.8</v>
      </c>
      <c r="H54" s="22" t="n">
        <v>0.055</v>
      </c>
      <c r="I54" s="11" t="s">
        <v>250</v>
      </c>
      <c r="J54" s="22" t="n">
        <v>0.65</v>
      </c>
      <c r="K54" s="22" t="n">
        <v>0.045</v>
      </c>
      <c r="L54" s="12" t="n">
        <f aca="false">ROUND(INDEX('Envelope Register'!$J$5:$J$22,MATCH(C54,'Envelope Register'!$A$5:$A$22,0))*(E54-F54),0)</f>
        <v>115</v>
      </c>
      <c r="M54" s="12" t="n">
        <f aca="false">ROUND(INDEX('Envelope Register'!$J$5:$J$22,MATCH(C54,'Envelope Register'!$A$5:$A$22,0))*(E54+F54),0)</f>
        <v>185</v>
      </c>
      <c r="N54" s="12" t="n">
        <f aca="false">ROUND(INDEX('Envelope Register'!$L$5:$L$22,MATCH(C54,'Envelope Register'!$A$5:$A$22,0))*(G54-H54),0)</f>
        <v>3725</v>
      </c>
      <c r="O54" s="12" t="n">
        <f aca="false">ROUND(INDEX('Envelope Register'!$L$5:$L$22,MATCH(C54,'Envelope Register'!$A$5:$A$22,0))*(G54+H54),0)</f>
        <v>4275</v>
      </c>
      <c r="P54" s="12" t="n">
        <f aca="false">IF(I54="DEPTH",ROUND(-INDEX('Envelope Register'!$P$5:$P$22,MATCH(C54,'Envelope Register'!$A$5:$A$22,0))*(J54+K54),0),ROUND(INDEX('Envelope Register'!$N$5:$N$22,MATCH(C54,'Envelope Register'!$A$5:$A$22,0))*(J54-K54),0))</f>
        <v>30</v>
      </c>
      <c r="Q54" s="12" t="n">
        <f aca="false">IF(I54="DEPTH",ROUND(-INDEX('Envelope Register'!$P$5:$P$22,MATCH(C54,'Envelope Register'!$A$5:$A$22,0))*(J54-K54),0),ROUND(INDEX('Envelope Register'!$N$5:$N$22,MATCH(C54,'Envelope Register'!$A$5:$A$22,0))*(J54+K54),0))</f>
        <v>35</v>
      </c>
      <c r="R54" s="12" t="n">
        <f aca="false">COUNTIFS($C$5:$C$112,C54,$D$5:$D$112,D54)</f>
        <v>1</v>
      </c>
      <c r="S54" s="11" t="str">
        <f aca="false">IF(AND(L54&gt;=0,M54&lt;=INDEX('Envelope Register'!$J$5:$J$22,MATCH(C54,'Envelope Register'!$A$5:$A$22,0)),N54&gt;=0,O54&lt;=INDEX('Envelope Register'!$L$5:$L$22,MATCH(C54,'Envelope Register'!$A$5:$A$22,0)),P54&gt;=-INDEX('Envelope Register'!$P$5:$P$22,MATCH(C54,'Envelope Register'!$A$5:$A$22,0)),Q54&lt;=INDEX('Envelope Register'!$N$5:$N$22,MATCH(C54,'Envelope Register'!$A$5:$A$22,0)),L54&lt;M54,N54&lt;O54,P54&lt;Q54,R54=1,U54=1),"PASS","FAIL")</f>
        <v>PASS</v>
      </c>
      <c r="T54" s="11" t="s">
        <v>251</v>
      </c>
      <c r="U54" s="12" t="n">
        <f aca="false">COUNTIF($A$5:$A$112,A54)</f>
        <v>1</v>
      </c>
    </row>
    <row r="55" customFormat="false" ht="15" hidden="false" customHeight="false" outlineLevel="0" collapsed="false">
      <c r="A55" s="11" t="s">
        <v>318</v>
      </c>
      <c r="B55" s="11" t="s">
        <v>136</v>
      </c>
      <c r="C55" s="11" t="s">
        <v>30</v>
      </c>
      <c r="D55" s="11" t="s">
        <v>303</v>
      </c>
      <c r="E55" s="22" t="n">
        <v>0.5</v>
      </c>
      <c r="F55" s="22" t="n">
        <v>0.035</v>
      </c>
      <c r="G55" s="22" t="n">
        <v>0.2</v>
      </c>
      <c r="H55" s="22" t="n">
        <v>0.055</v>
      </c>
      <c r="I55" s="11" t="s">
        <v>250</v>
      </c>
      <c r="J55" s="22" t="n">
        <v>0.15</v>
      </c>
      <c r="K55" s="22" t="n">
        <v>0.045</v>
      </c>
      <c r="L55" s="12" t="n">
        <f aca="false">ROUND(INDEX('Envelope Register'!$J$5:$J$22,MATCH(C55,'Envelope Register'!$A$5:$A$22,0))*(E55-F55),0)</f>
        <v>465</v>
      </c>
      <c r="M55" s="12" t="n">
        <f aca="false">ROUND(INDEX('Envelope Register'!$J$5:$J$22,MATCH(C55,'Envelope Register'!$A$5:$A$22,0))*(E55+F55),0)</f>
        <v>535</v>
      </c>
      <c r="N55" s="12" t="n">
        <f aca="false">ROUND(INDEX('Envelope Register'!$L$5:$L$22,MATCH(C55,'Envelope Register'!$A$5:$A$22,0))*(G55-H55),0)</f>
        <v>725</v>
      </c>
      <c r="O55" s="12" t="n">
        <f aca="false">ROUND(INDEX('Envelope Register'!$L$5:$L$22,MATCH(C55,'Envelope Register'!$A$5:$A$22,0))*(G55+H55),0)</f>
        <v>1275</v>
      </c>
      <c r="P55" s="12" t="n">
        <f aca="false">IF(I55="DEPTH",ROUND(-INDEX('Envelope Register'!$P$5:$P$22,MATCH(C55,'Envelope Register'!$A$5:$A$22,0))*(J55+K55),0),ROUND(INDEX('Envelope Register'!$N$5:$N$22,MATCH(C55,'Envelope Register'!$A$5:$A$22,0))*(J55-K55),0))</f>
        <v>5</v>
      </c>
      <c r="Q55" s="12" t="n">
        <f aca="false">IF(I55="DEPTH",ROUND(-INDEX('Envelope Register'!$P$5:$P$22,MATCH(C55,'Envelope Register'!$A$5:$A$22,0))*(J55-K55),0),ROUND(INDEX('Envelope Register'!$N$5:$N$22,MATCH(C55,'Envelope Register'!$A$5:$A$22,0))*(J55+K55),0))</f>
        <v>10</v>
      </c>
      <c r="R55" s="12" t="n">
        <f aca="false">COUNTIFS($C$5:$C$112,C55,$D$5:$D$112,D55)</f>
        <v>1</v>
      </c>
      <c r="S55" s="11" t="str">
        <f aca="false">IF(AND(L55&gt;=0,M55&lt;=INDEX('Envelope Register'!$J$5:$J$22,MATCH(C55,'Envelope Register'!$A$5:$A$22,0)),N55&gt;=0,O55&lt;=INDEX('Envelope Register'!$L$5:$L$22,MATCH(C55,'Envelope Register'!$A$5:$A$22,0)),P55&gt;=-INDEX('Envelope Register'!$P$5:$P$22,MATCH(C55,'Envelope Register'!$A$5:$A$22,0)),Q55&lt;=INDEX('Envelope Register'!$N$5:$N$22,MATCH(C55,'Envelope Register'!$A$5:$A$22,0)),L55&lt;M55,N55&lt;O55,P55&lt;Q55,R55=1,U55=1),"PASS","FAIL")</f>
        <v>PASS</v>
      </c>
      <c r="T55" s="11" t="s">
        <v>251</v>
      </c>
      <c r="U55" s="12" t="n">
        <f aca="false">COUNTIF($A$5:$A$112,A55)</f>
        <v>1</v>
      </c>
    </row>
    <row r="56" customFormat="false" ht="15" hidden="false" customHeight="false" outlineLevel="0" collapsed="false">
      <c r="A56" s="11" t="s">
        <v>319</v>
      </c>
      <c r="B56" s="11" t="s">
        <v>136</v>
      </c>
      <c r="C56" s="11" t="s">
        <v>30</v>
      </c>
      <c r="D56" s="11" t="s">
        <v>305</v>
      </c>
      <c r="E56" s="22" t="n">
        <v>0.5</v>
      </c>
      <c r="F56" s="22" t="n">
        <v>0.035</v>
      </c>
      <c r="G56" s="22" t="n">
        <v>0.8</v>
      </c>
      <c r="H56" s="22" t="n">
        <v>0.055</v>
      </c>
      <c r="I56" s="11" t="s">
        <v>250</v>
      </c>
      <c r="J56" s="22" t="n">
        <v>0.35</v>
      </c>
      <c r="K56" s="22" t="n">
        <v>0.045</v>
      </c>
      <c r="L56" s="12" t="n">
        <f aca="false">ROUND(INDEX('Envelope Register'!$J$5:$J$22,MATCH(C56,'Envelope Register'!$A$5:$A$22,0))*(E56-F56),0)</f>
        <v>465</v>
      </c>
      <c r="M56" s="12" t="n">
        <f aca="false">ROUND(INDEX('Envelope Register'!$J$5:$J$22,MATCH(C56,'Envelope Register'!$A$5:$A$22,0))*(E56+F56),0)</f>
        <v>535</v>
      </c>
      <c r="N56" s="12" t="n">
        <f aca="false">ROUND(INDEX('Envelope Register'!$L$5:$L$22,MATCH(C56,'Envelope Register'!$A$5:$A$22,0))*(G56-H56),0)</f>
        <v>3725</v>
      </c>
      <c r="O56" s="12" t="n">
        <f aca="false">ROUND(INDEX('Envelope Register'!$L$5:$L$22,MATCH(C56,'Envelope Register'!$A$5:$A$22,0))*(G56+H56),0)</f>
        <v>4275</v>
      </c>
      <c r="P56" s="12" t="n">
        <f aca="false">IF(I56="DEPTH",ROUND(-INDEX('Envelope Register'!$P$5:$P$22,MATCH(C56,'Envelope Register'!$A$5:$A$22,0))*(J56+K56),0),ROUND(INDEX('Envelope Register'!$N$5:$N$22,MATCH(C56,'Envelope Register'!$A$5:$A$22,0))*(J56-K56),0))</f>
        <v>15</v>
      </c>
      <c r="Q56" s="12" t="n">
        <f aca="false">IF(I56="DEPTH",ROUND(-INDEX('Envelope Register'!$P$5:$P$22,MATCH(C56,'Envelope Register'!$A$5:$A$22,0))*(J56-K56),0),ROUND(INDEX('Envelope Register'!$N$5:$N$22,MATCH(C56,'Envelope Register'!$A$5:$A$22,0))*(J56+K56),0))</f>
        <v>20</v>
      </c>
      <c r="R56" s="12" t="n">
        <f aca="false">COUNTIFS($C$5:$C$112,C56,$D$5:$D$112,D56)</f>
        <v>1</v>
      </c>
      <c r="S56" s="11" t="str">
        <f aca="false">IF(AND(L56&gt;=0,M56&lt;=INDEX('Envelope Register'!$J$5:$J$22,MATCH(C56,'Envelope Register'!$A$5:$A$22,0)),N56&gt;=0,O56&lt;=INDEX('Envelope Register'!$L$5:$L$22,MATCH(C56,'Envelope Register'!$A$5:$A$22,0)),P56&gt;=-INDEX('Envelope Register'!$P$5:$P$22,MATCH(C56,'Envelope Register'!$A$5:$A$22,0)),Q56&lt;=INDEX('Envelope Register'!$N$5:$N$22,MATCH(C56,'Envelope Register'!$A$5:$A$22,0)),L56&lt;M56,N56&lt;O56,P56&lt;Q56,R56=1,U56=1),"PASS","FAIL")</f>
        <v>PASS</v>
      </c>
      <c r="T56" s="11" t="s">
        <v>251</v>
      </c>
      <c r="U56" s="12" t="n">
        <f aca="false">COUNTIF($A$5:$A$112,A56)</f>
        <v>1</v>
      </c>
    </row>
    <row r="57" customFormat="false" ht="15" hidden="false" customHeight="false" outlineLevel="0" collapsed="false">
      <c r="A57" s="11" t="s">
        <v>320</v>
      </c>
      <c r="B57" s="11" t="s">
        <v>136</v>
      </c>
      <c r="C57" s="11" t="s">
        <v>30</v>
      </c>
      <c r="D57" s="11" t="s">
        <v>307</v>
      </c>
      <c r="E57" s="22" t="n">
        <v>0.85</v>
      </c>
      <c r="F57" s="22" t="n">
        <v>0.035</v>
      </c>
      <c r="G57" s="22" t="n">
        <v>0.2</v>
      </c>
      <c r="H57" s="22" t="n">
        <v>0.055</v>
      </c>
      <c r="I57" s="11" t="s">
        <v>250</v>
      </c>
      <c r="J57" s="22" t="n">
        <v>0.1</v>
      </c>
      <c r="K57" s="22" t="n">
        <v>0.045</v>
      </c>
      <c r="L57" s="12" t="n">
        <f aca="false">ROUND(INDEX('Envelope Register'!$J$5:$J$22,MATCH(C57,'Envelope Register'!$A$5:$A$22,0))*(E57-F57),0)</f>
        <v>815</v>
      </c>
      <c r="M57" s="12" t="n">
        <f aca="false">ROUND(INDEX('Envelope Register'!$J$5:$J$22,MATCH(C57,'Envelope Register'!$A$5:$A$22,0))*(E57+F57),0)</f>
        <v>885</v>
      </c>
      <c r="N57" s="12" t="n">
        <f aca="false">ROUND(INDEX('Envelope Register'!$L$5:$L$22,MATCH(C57,'Envelope Register'!$A$5:$A$22,0))*(G57-H57),0)</f>
        <v>725</v>
      </c>
      <c r="O57" s="12" t="n">
        <f aca="false">ROUND(INDEX('Envelope Register'!$L$5:$L$22,MATCH(C57,'Envelope Register'!$A$5:$A$22,0))*(G57+H57),0)</f>
        <v>1275</v>
      </c>
      <c r="P57" s="12" t="n">
        <f aca="false">IF(I57="DEPTH",ROUND(-INDEX('Envelope Register'!$P$5:$P$22,MATCH(C57,'Envelope Register'!$A$5:$A$22,0))*(J57+K57),0),ROUND(INDEX('Envelope Register'!$N$5:$N$22,MATCH(C57,'Envelope Register'!$A$5:$A$22,0))*(J57-K57),0))</f>
        <v>3</v>
      </c>
      <c r="Q57" s="12" t="n">
        <f aca="false">IF(I57="DEPTH",ROUND(-INDEX('Envelope Register'!$P$5:$P$22,MATCH(C57,'Envelope Register'!$A$5:$A$22,0))*(J57-K57),0),ROUND(INDEX('Envelope Register'!$N$5:$N$22,MATCH(C57,'Envelope Register'!$A$5:$A$22,0))*(J57+K57),0))</f>
        <v>7</v>
      </c>
      <c r="R57" s="12" t="n">
        <f aca="false">COUNTIFS($C$5:$C$112,C57,$D$5:$D$112,D57)</f>
        <v>1</v>
      </c>
      <c r="S57" s="11" t="str">
        <f aca="false">IF(AND(L57&gt;=0,M57&lt;=INDEX('Envelope Register'!$J$5:$J$22,MATCH(C57,'Envelope Register'!$A$5:$A$22,0)),N57&gt;=0,O57&lt;=INDEX('Envelope Register'!$L$5:$L$22,MATCH(C57,'Envelope Register'!$A$5:$A$22,0)),P57&gt;=-INDEX('Envelope Register'!$P$5:$P$22,MATCH(C57,'Envelope Register'!$A$5:$A$22,0)),Q57&lt;=INDEX('Envelope Register'!$N$5:$N$22,MATCH(C57,'Envelope Register'!$A$5:$A$22,0)),L57&lt;M57,N57&lt;O57,P57&lt;Q57,R57=1,U57=1),"PASS","FAIL")</f>
        <v>PASS</v>
      </c>
      <c r="T57" s="11" t="s">
        <v>251</v>
      </c>
      <c r="U57" s="12" t="n">
        <f aca="false">COUNTIF($A$5:$A$112,A57)</f>
        <v>1</v>
      </c>
    </row>
    <row r="58" customFormat="false" ht="15" hidden="false" customHeight="false" outlineLevel="0" collapsed="false">
      <c r="A58" s="11" t="s">
        <v>321</v>
      </c>
      <c r="B58" s="11" t="s">
        <v>136</v>
      </c>
      <c r="C58" s="11" t="s">
        <v>30</v>
      </c>
      <c r="D58" s="11" t="s">
        <v>309</v>
      </c>
      <c r="E58" s="22" t="n">
        <v>0.85</v>
      </c>
      <c r="F58" s="22" t="n">
        <v>0.035</v>
      </c>
      <c r="G58" s="22" t="n">
        <v>0.8</v>
      </c>
      <c r="H58" s="22" t="n">
        <v>0.055</v>
      </c>
      <c r="I58" s="11" t="s">
        <v>250</v>
      </c>
      <c r="J58" s="22" t="n">
        <v>0.08</v>
      </c>
      <c r="K58" s="22" t="n">
        <v>0.045</v>
      </c>
      <c r="L58" s="12" t="n">
        <f aca="false">ROUND(INDEX('Envelope Register'!$J$5:$J$22,MATCH(C58,'Envelope Register'!$A$5:$A$22,0))*(E58-F58),0)</f>
        <v>815</v>
      </c>
      <c r="M58" s="12" t="n">
        <f aca="false">ROUND(INDEX('Envelope Register'!$J$5:$J$22,MATCH(C58,'Envelope Register'!$A$5:$A$22,0))*(E58+F58),0)</f>
        <v>885</v>
      </c>
      <c r="N58" s="12" t="n">
        <f aca="false">ROUND(INDEX('Envelope Register'!$L$5:$L$22,MATCH(C58,'Envelope Register'!$A$5:$A$22,0))*(G58-H58),0)</f>
        <v>3725</v>
      </c>
      <c r="O58" s="12" t="n">
        <f aca="false">ROUND(INDEX('Envelope Register'!$L$5:$L$22,MATCH(C58,'Envelope Register'!$A$5:$A$22,0))*(G58+H58),0)</f>
        <v>4275</v>
      </c>
      <c r="P58" s="12" t="n">
        <f aca="false">IF(I58="DEPTH",ROUND(-INDEX('Envelope Register'!$P$5:$P$22,MATCH(C58,'Envelope Register'!$A$5:$A$22,0))*(J58+K58),0),ROUND(INDEX('Envelope Register'!$N$5:$N$22,MATCH(C58,'Envelope Register'!$A$5:$A$22,0))*(J58-K58),0))</f>
        <v>2</v>
      </c>
      <c r="Q58" s="12" t="n">
        <f aca="false">IF(I58="DEPTH",ROUND(-INDEX('Envelope Register'!$P$5:$P$22,MATCH(C58,'Envelope Register'!$A$5:$A$22,0))*(J58-K58),0),ROUND(INDEX('Envelope Register'!$N$5:$N$22,MATCH(C58,'Envelope Register'!$A$5:$A$22,0))*(J58+K58),0))</f>
        <v>6</v>
      </c>
      <c r="R58" s="12" t="n">
        <f aca="false">COUNTIFS($C$5:$C$112,C58,$D$5:$D$112,D58)</f>
        <v>1</v>
      </c>
      <c r="S58" s="11" t="str">
        <f aca="false">IF(AND(L58&gt;=0,M58&lt;=INDEX('Envelope Register'!$J$5:$J$22,MATCH(C58,'Envelope Register'!$A$5:$A$22,0)),N58&gt;=0,O58&lt;=INDEX('Envelope Register'!$L$5:$L$22,MATCH(C58,'Envelope Register'!$A$5:$A$22,0)),P58&gt;=-INDEX('Envelope Register'!$P$5:$P$22,MATCH(C58,'Envelope Register'!$A$5:$A$22,0)),Q58&lt;=INDEX('Envelope Register'!$N$5:$N$22,MATCH(C58,'Envelope Register'!$A$5:$A$22,0)),L58&lt;M58,N58&lt;O58,P58&lt;Q58,R58=1,U58=1),"PASS","FAIL")</f>
        <v>PASS</v>
      </c>
      <c r="T58" s="11" t="s">
        <v>251</v>
      </c>
      <c r="U58" s="12" t="n">
        <f aca="false">COUNTIF($A$5:$A$112,A58)</f>
        <v>1</v>
      </c>
    </row>
    <row r="59" customFormat="false" ht="15" hidden="false" customHeight="false" outlineLevel="0" collapsed="false">
      <c r="A59" s="11" t="s">
        <v>322</v>
      </c>
      <c r="B59" s="11" t="s">
        <v>147</v>
      </c>
      <c r="C59" s="11" t="s">
        <v>32</v>
      </c>
      <c r="D59" s="11" t="s">
        <v>323</v>
      </c>
      <c r="E59" s="22" t="n">
        <v>0.08</v>
      </c>
      <c r="F59" s="22" t="n">
        <v>0.035</v>
      </c>
      <c r="G59" s="22" t="n">
        <v>0.18</v>
      </c>
      <c r="H59" s="22" t="n">
        <v>0.055</v>
      </c>
      <c r="I59" s="11" t="s">
        <v>324</v>
      </c>
      <c r="J59" s="22" t="n">
        <v>0.7</v>
      </c>
      <c r="K59" s="22" t="n">
        <v>0.1</v>
      </c>
      <c r="L59" s="12" t="n">
        <f aca="false">ROUND(INDEX('Envelope Register'!$J$5:$J$22,MATCH(C59,'Envelope Register'!$A$5:$A$22,0))*(E59-F59),0)</f>
        <v>23</v>
      </c>
      <c r="M59" s="12" t="n">
        <f aca="false">ROUND(INDEX('Envelope Register'!$J$5:$J$22,MATCH(C59,'Envelope Register'!$A$5:$A$22,0))*(E59+F59),0)</f>
        <v>58</v>
      </c>
      <c r="N59" s="12" t="n">
        <f aca="false">ROUND(INDEX('Envelope Register'!$L$5:$L$22,MATCH(C59,'Envelope Register'!$A$5:$A$22,0))*(G59-H59),0)</f>
        <v>63</v>
      </c>
      <c r="O59" s="12" t="n">
        <f aca="false">ROUND(INDEX('Envelope Register'!$L$5:$L$22,MATCH(C59,'Envelope Register'!$A$5:$A$22,0))*(G59+H59),0)</f>
        <v>118</v>
      </c>
      <c r="P59" s="12" t="n">
        <f aca="false">IF(I59="DEPTH",ROUND(-INDEX('Envelope Register'!$P$5:$P$22,MATCH(C59,'Envelope Register'!$A$5:$A$22,0))*(J59+K59),0),ROUND(INDEX('Envelope Register'!$N$5:$N$22,MATCH(C59,'Envelope Register'!$A$5:$A$22,0))*(J59-K59),0))</f>
        <v>-2000</v>
      </c>
      <c r="Q59" s="12" t="n">
        <f aca="false">IF(I59="DEPTH",ROUND(-INDEX('Envelope Register'!$P$5:$P$22,MATCH(C59,'Envelope Register'!$A$5:$A$22,0))*(J59-K59),0),ROUND(INDEX('Envelope Register'!$N$5:$N$22,MATCH(C59,'Envelope Register'!$A$5:$A$22,0))*(J59+K59),0))</f>
        <v>-1500</v>
      </c>
      <c r="R59" s="12" t="n">
        <f aca="false">COUNTIFS($C$5:$C$112,C59,$D$5:$D$112,D59)</f>
        <v>1</v>
      </c>
      <c r="S59" s="11" t="str">
        <f aca="false">IF(AND(L59&gt;=0,M59&lt;=INDEX('Envelope Register'!$J$5:$J$22,MATCH(C59,'Envelope Register'!$A$5:$A$22,0)),N59&gt;=0,O59&lt;=INDEX('Envelope Register'!$L$5:$L$22,MATCH(C59,'Envelope Register'!$A$5:$A$22,0)),P59&gt;=-INDEX('Envelope Register'!$P$5:$P$22,MATCH(C59,'Envelope Register'!$A$5:$A$22,0)),Q59&lt;=INDEX('Envelope Register'!$N$5:$N$22,MATCH(C59,'Envelope Register'!$A$5:$A$22,0)),L59&lt;M59,N59&lt;O59,P59&lt;Q59,R59=1,U59=1),"PASS","FAIL")</f>
        <v>PASS</v>
      </c>
      <c r="T59" s="11" t="s">
        <v>251</v>
      </c>
      <c r="U59" s="12" t="n">
        <f aca="false">COUNTIF($A$5:$A$112,A59)</f>
        <v>1</v>
      </c>
    </row>
    <row r="60" customFormat="false" ht="15" hidden="false" customHeight="false" outlineLevel="0" collapsed="false">
      <c r="A60" s="11" t="s">
        <v>325</v>
      </c>
      <c r="B60" s="11" t="s">
        <v>147</v>
      </c>
      <c r="C60" s="11" t="s">
        <v>32</v>
      </c>
      <c r="D60" s="11" t="s">
        <v>326</v>
      </c>
      <c r="E60" s="22" t="n">
        <v>0.25</v>
      </c>
      <c r="F60" s="22" t="n">
        <v>0.035</v>
      </c>
      <c r="G60" s="22" t="n">
        <v>0.18</v>
      </c>
      <c r="H60" s="22" t="n">
        <v>0.055</v>
      </c>
      <c r="I60" s="11" t="s">
        <v>324</v>
      </c>
      <c r="J60" s="22" t="n">
        <v>0.7</v>
      </c>
      <c r="K60" s="22" t="n">
        <v>0.1</v>
      </c>
      <c r="L60" s="12" t="n">
        <f aca="false">ROUND(INDEX('Envelope Register'!$J$5:$J$22,MATCH(C60,'Envelope Register'!$A$5:$A$22,0))*(E60-F60),0)</f>
        <v>108</v>
      </c>
      <c r="M60" s="12" t="n">
        <f aca="false">ROUND(INDEX('Envelope Register'!$J$5:$J$22,MATCH(C60,'Envelope Register'!$A$5:$A$22,0))*(E60+F60),0)</f>
        <v>143</v>
      </c>
      <c r="N60" s="12" t="n">
        <f aca="false">ROUND(INDEX('Envelope Register'!$L$5:$L$22,MATCH(C60,'Envelope Register'!$A$5:$A$22,0))*(G60-H60),0)</f>
        <v>63</v>
      </c>
      <c r="O60" s="12" t="n">
        <f aca="false">ROUND(INDEX('Envelope Register'!$L$5:$L$22,MATCH(C60,'Envelope Register'!$A$5:$A$22,0))*(G60+H60),0)</f>
        <v>118</v>
      </c>
      <c r="P60" s="12" t="n">
        <f aca="false">IF(I60="DEPTH",ROUND(-INDEX('Envelope Register'!$P$5:$P$22,MATCH(C60,'Envelope Register'!$A$5:$A$22,0))*(J60+K60),0),ROUND(INDEX('Envelope Register'!$N$5:$N$22,MATCH(C60,'Envelope Register'!$A$5:$A$22,0))*(J60-K60),0))</f>
        <v>-2000</v>
      </c>
      <c r="Q60" s="12" t="n">
        <f aca="false">IF(I60="DEPTH",ROUND(-INDEX('Envelope Register'!$P$5:$P$22,MATCH(C60,'Envelope Register'!$A$5:$A$22,0))*(J60-K60),0),ROUND(INDEX('Envelope Register'!$N$5:$N$22,MATCH(C60,'Envelope Register'!$A$5:$A$22,0))*(J60+K60),0))</f>
        <v>-1500</v>
      </c>
      <c r="R60" s="12" t="n">
        <f aca="false">COUNTIFS($C$5:$C$112,C60,$D$5:$D$112,D60)</f>
        <v>1</v>
      </c>
      <c r="S60" s="11" t="str">
        <f aca="false">IF(AND(L60&gt;=0,M60&lt;=INDEX('Envelope Register'!$J$5:$J$22,MATCH(C60,'Envelope Register'!$A$5:$A$22,0)),N60&gt;=0,O60&lt;=INDEX('Envelope Register'!$L$5:$L$22,MATCH(C60,'Envelope Register'!$A$5:$A$22,0)),P60&gt;=-INDEX('Envelope Register'!$P$5:$P$22,MATCH(C60,'Envelope Register'!$A$5:$A$22,0)),Q60&lt;=INDEX('Envelope Register'!$N$5:$N$22,MATCH(C60,'Envelope Register'!$A$5:$A$22,0)),L60&lt;M60,N60&lt;O60,P60&lt;Q60,R60=1,U60=1),"PASS","FAIL")</f>
        <v>PASS</v>
      </c>
      <c r="T60" s="11" t="s">
        <v>251</v>
      </c>
      <c r="U60" s="12" t="n">
        <f aca="false">COUNTIF($A$5:$A$112,A60)</f>
        <v>1</v>
      </c>
    </row>
    <row r="61" customFormat="false" ht="15" hidden="false" customHeight="false" outlineLevel="0" collapsed="false">
      <c r="A61" s="11" t="s">
        <v>327</v>
      </c>
      <c r="B61" s="11" t="s">
        <v>147</v>
      </c>
      <c r="C61" s="11" t="s">
        <v>32</v>
      </c>
      <c r="D61" s="11" t="s">
        <v>328</v>
      </c>
      <c r="E61" s="22" t="n">
        <v>0.42</v>
      </c>
      <c r="F61" s="22" t="n">
        <v>0.035</v>
      </c>
      <c r="G61" s="22" t="n">
        <v>0.82</v>
      </c>
      <c r="H61" s="22" t="n">
        <v>0.055</v>
      </c>
      <c r="I61" s="11" t="s">
        <v>250</v>
      </c>
      <c r="J61" s="22" t="n">
        <v>0.35</v>
      </c>
      <c r="K61" s="22" t="n">
        <v>0.045</v>
      </c>
      <c r="L61" s="12" t="n">
        <f aca="false">ROUND(INDEX('Envelope Register'!$J$5:$J$22,MATCH(C61,'Envelope Register'!$A$5:$A$22,0))*(E61-F61),0)</f>
        <v>193</v>
      </c>
      <c r="M61" s="12" t="n">
        <f aca="false">ROUND(INDEX('Envelope Register'!$J$5:$J$22,MATCH(C61,'Envelope Register'!$A$5:$A$22,0))*(E61+F61),0)</f>
        <v>227</v>
      </c>
      <c r="N61" s="12" t="n">
        <f aca="false">ROUND(INDEX('Envelope Register'!$L$5:$L$22,MATCH(C61,'Envelope Register'!$A$5:$A$22,0))*(G61-H61),0)</f>
        <v>382</v>
      </c>
      <c r="O61" s="12" t="n">
        <f aca="false">ROUND(INDEX('Envelope Register'!$L$5:$L$22,MATCH(C61,'Envelope Register'!$A$5:$A$22,0))*(G61+H61),0)</f>
        <v>438</v>
      </c>
      <c r="P61" s="12" t="n">
        <f aca="false">IF(I61="DEPTH",ROUND(-INDEX('Envelope Register'!$P$5:$P$22,MATCH(C61,'Envelope Register'!$A$5:$A$22,0))*(J61+K61),0),ROUND(INDEX('Envelope Register'!$N$5:$N$22,MATCH(C61,'Envelope Register'!$A$5:$A$22,0))*(J61-K61),0))</f>
        <v>6</v>
      </c>
      <c r="Q61" s="12" t="n">
        <f aca="false">IF(I61="DEPTH",ROUND(-INDEX('Envelope Register'!$P$5:$P$22,MATCH(C61,'Envelope Register'!$A$5:$A$22,0))*(J61-K61),0),ROUND(INDEX('Envelope Register'!$N$5:$N$22,MATCH(C61,'Envelope Register'!$A$5:$A$22,0))*(J61+K61),0))</f>
        <v>8</v>
      </c>
      <c r="R61" s="12" t="n">
        <f aca="false">COUNTIFS($C$5:$C$112,C61,$D$5:$D$112,D61)</f>
        <v>1</v>
      </c>
      <c r="S61" s="11" t="str">
        <f aca="false">IF(AND(L61&gt;=0,M61&lt;=INDEX('Envelope Register'!$J$5:$J$22,MATCH(C61,'Envelope Register'!$A$5:$A$22,0)),N61&gt;=0,O61&lt;=INDEX('Envelope Register'!$L$5:$L$22,MATCH(C61,'Envelope Register'!$A$5:$A$22,0)),P61&gt;=-INDEX('Envelope Register'!$P$5:$P$22,MATCH(C61,'Envelope Register'!$A$5:$A$22,0)),Q61&lt;=INDEX('Envelope Register'!$N$5:$N$22,MATCH(C61,'Envelope Register'!$A$5:$A$22,0)),L61&lt;M61,N61&lt;O61,P61&lt;Q61,R61=1,U61=1),"PASS","FAIL")</f>
        <v>PASS</v>
      </c>
      <c r="T61" s="11" t="s">
        <v>251</v>
      </c>
      <c r="U61" s="12" t="n">
        <f aca="false">COUNTIF($A$5:$A$112,A61)</f>
        <v>1</v>
      </c>
    </row>
    <row r="62" customFormat="false" ht="15" hidden="false" customHeight="false" outlineLevel="0" collapsed="false">
      <c r="A62" s="11" t="s">
        <v>329</v>
      </c>
      <c r="B62" s="11" t="s">
        <v>147</v>
      </c>
      <c r="C62" s="11" t="s">
        <v>32</v>
      </c>
      <c r="D62" s="11" t="s">
        <v>330</v>
      </c>
      <c r="E62" s="22" t="n">
        <v>0.58</v>
      </c>
      <c r="F62" s="22" t="n">
        <v>0.035</v>
      </c>
      <c r="G62" s="22" t="n">
        <v>0.82</v>
      </c>
      <c r="H62" s="22" t="n">
        <v>0.055</v>
      </c>
      <c r="I62" s="11" t="s">
        <v>250</v>
      </c>
      <c r="J62" s="22" t="n">
        <v>0.45</v>
      </c>
      <c r="K62" s="22" t="n">
        <v>0.045</v>
      </c>
      <c r="L62" s="12" t="n">
        <f aca="false">ROUND(INDEX('Envelope Register'!$J$5:$J$22,MATCH(C62,'Envelope Register'!$A$5:$A$22,0))*(E62-F62),0)</f>
        <v>272</v>
      </c>
      <c r="M62" s="12" t="n">
        <f aca="false">ROUND(INDEX('Envelope Register'!$J$5:$J$22,MATCH(C62,'Envelope Register'!$A$5:$A$22,0))*(E62+F62),0)</f>
        <v>308</v>
      </c>
      <c r="N62" s="12" t="n">
        <f aca="false">ROUND(INDEX('Envelope Register'!$L$5:$L$22,MATCH(C62,'Envelope Register'!$A$5:$A$22,0))*(G62-H62),0)</f>
        <v>382</v>
      </c>
      <c r="O62" s="12" t="n">
        <f aca="false">ROUND(INDEX('Envelope Register'!$L$5:$L$22,MATCH(C62,'Envelope Register'!$A$5:$A$22,0))*(G62+H62),0)</f>
        <v>438</v>
      </c>
      <c r="P62" s="12" t="n">
        <f aca="false">IF(I62="DEPTH",ROUND(-INDEX('Envelope Register'!$P$5:$P$22,MATCH(C62,'Envelope Register'!$A$5:$A$22,0))*(J62+K62),0),ROUND(INDEX('Envelope Register'!$N$5:$N$22,MATCH(C62,'Envelope Register'!$A$5:$A$22,0))*(J62-K62),0))</f>
        <v>8</v>
      </c>
      <c r="Q62" s="12" t="n">
        <f aca="false">IF(I62="DEPTH",ROUND(-INDEX('Envelope Register'!$P$5:$P$22,MATCH(C62,'Envelope Register'!$A$5:$A$22,0))*(J62-K62),0),ROUND(INDEX('Envelope Register'!$N$5:$N$22,MATCH(C62,'Envelope Register'!$A$5:$A$22,0))*(J62+K62),0))</f>
        <v>10</v>
      </c>
      <c r="R62" s="12" t="n">
        <f aca="false">COUNTIFS($C$5:$C$112,C62,$D$5:$D$112,D62)</f>
        <v>1</v>
      </c>
      <c r="S62" s="11" t="str">
        <f aca="false">IF(AND(L62&gt;=0,M62&lt;=INDEX('Envelope Register'!$J$5:$J$22,MATCH(C62,'Envelope Register'!$A$5:$A$22,0)),N62&gt;=0,O62&lt;=INDEX('Envelope Register'!$L$5:$L$22,MATCH(C62,'Envelope Register'!$A$5:$A$22,0)),P62&gt;=-INDEX('Envelope Register'!$P$5:$P$22,MATCH(C62,'Envelope Register'!$A$5:$A$22,0)),Q62&lt;=INDEX('Envelope Register'!$N$5:$N$22,MATCH(C62,'Envelope Register'!$A$5:$A$22,0)),L62&lt;M62,N62&lt;O62,P62&lt;Q62,R62=1,U62=1),"PASS","FAIL")</f>
        <v>PASS</v>
      </c>
      <c r="T62" s="11" t="s">
        <v>251</v>
      </c>
      <c r="U62" s="12" t="n">
        <f aca="false">COUNTIF($A$5:$A$112,A62)</f>
        <v>1</v>
      </c>
    </row>
    <row r="63" customFormat="false" ht="15" hidden="false" customHeight="false" outlineLevel="0" collapsed="false">
      <c r="A63" s="11" t="s">
        <v>331</v>
      </c>
      <c r="B63" s="11" t="s">
        <v>147</v>
      </c>
      <c r="C63" s="11" t="s">
        <v>32</v>
      </c>
      <c r="D63" s="11" t="s">
        <v>332</v>
      </c>
      <c r="E63" s="22" t="n">
        <v>0.76</v>
      </c>
      <c r="F63" s="22" t="n">
        <v>0.035</v>
      </c>
      <c r="G63" s="22" t="n">
        <v>0.25</v>
      </c>
      <c r="H63" s="22" t="n">
        <v>0.055</v>
      </c>
      <c r="I63" s="11" t="s">
        <v>250</v>
      </c>
      <c r="J63" s="22" t="n">
        <v>0.55</v>
      </c>
      <c r="K63" s="22" t="n">
        <v>0.045</v>
      </c>
      <c r="L63" s="12" t="n">
        <f aca="false">ROUND(INDEX('Envelope Register'!$J$5:$J$22,MATCH(C63,'Envelope Register'!$A$5:$A$22,0))*(E63-F63),0)</f>
        <v>363</v>
      </c>
      <c r="M63" s="12" t="n">
        <f aca="false">ROUND(INDEX('Envelope Register'!$J$5:$J$22,MATCH(C63,'Envelope Register'!$A$5:$A$22,0))*(E63+F63),0)</f>
        <v>398</v>
      </c>
      <c r="N63" s="12" t="n">
        <f aca="false">ROUND(INDEX('Envelope Register'!$L$5:$L$22,MATCH(C63,'Envelope Register'!$A$5:$A$22,0))*(G63-H63),0)</f>
        <v>98</v>
      </c>
      <c r="O63" s="12" t="n">
        <f aca="false">ROUND(INDEX('Envelope Register'!$L$5:$L$22,MATCH(C63,'Envelope Register'!$A$5:$A$22,0))*(G63+H63),0)</f>
        <v>153</v>
      </c>
      <c r="P63" s="12" t="n">
        <f aca="false">IF(I63="DEPTH",ROUND(-INDEX('Envelope Register'!$P$5:$P$22,MATCH(C63,'Envelope Register'!$A$5:$A$22,0))*(J63+K63),0),ROUND(INDEX('Envelope Register'!$N$5:$N$22,MATCH(C63,'Envelope Register'!$A$5:$A$22,0))*(J63-K63),0))</f>
        <v>10</v>
      </c>
      <c r="Q63" s="12" t="n">
        <f aca="false">IF(I63="DEPTH",ROUND(-INDEX('Envelope Register'!$P$5:$P$22,MATCH(C63,'Envelope Register'!$A$5:$A$22,0))*(J63-K63),0),ROUND(INDEX('Envelope Register'!$N$5:$N$22,MATCH(C63,'Envelope Register'!$A$5:$A$22,0))*(J63+K63),0))</f>
        <v>12</v>
      </c>
      <c r="R63" s="12" t="n">
        <f aca="false">COUNTIFS($C$5:$C$112,C63,$D$5:$D$112,D63)</f>
        <v>1</v>
      </c>
      <c r="S63" s="11" t="str">
        <f aca="false">IF(AND(L63&gt;=0,M63&lt;=INDEX('Envelope Register'!$J$5:$J$22,MATCH(C63,'Envelope Register'!$A$5:$A$22,0)),N63&gt;=0,O63&lt;=INDEX('Envelope Register'!$L$5:$L$22,MATCH(C63,'Envelope Register'!$A$5:$A$22,0)),P63&gt;=-INDEX('Envelope Register'!$P$5:$P$22,MATCH(C63,'Envelope Register'!$A$5:$A$22,0)),Q63&lt;=INDEX('Envelope Register'!$N$5:$N$22,MATCH(C63,'Envelope Register'!$A$5:$A$22,0)),L63&lt;M63,N63&lt;O63,P63&lt;Q63,R63=1,U63=1),"PASS","FAIL")</f>
        <v>PASS</v>
      </c>
      <c r="T63" s="11" t="s">
        <v>251</v>
      </c>
      <c r="U63" s="12" t="n">
        <f aca="false">COUNTIF($A$5:$A$112,A63)</f>
        <v>1</v>
      </c>
    </row>
    <row r="64" customFormat="false" ht="15" hidden="false" customHeight="false" outlineLevel="0" collapsed="false">
      <c r="A64" s="11" t="s">
        <v>333</v>
      </c>
      <c r="B64" s="11" t="s">
        <v>147</v>
      </c>
      <c r="C64" s="11" t="s">
        <v>32</v>
      </c>
      <c r="D64" s="11" t="s">
        <v>334</v>
      </c>
      <c r="E64" s="22" t="n">
        <v>0.92</v>
      </c>
      <c r="F64" s="22" t="n">
        <v>0.035</v>
      </c>
      <c r="G64" s="22" t="n">
        <v>0.75</v>
      </c>
      <c r="H64" s="22" t="n">
        <v>0.055</v>
      </c>
      <c r="I64" s="11" t="s">
        <v>250</v>
      </c>
      <c r="J64" s="22" t="n">
        <v>0.25</v>
      </c>
      <c r="K64" s="22" t="n">
        <v>0.045</v>
      </c>
      <c r="L64" s="12" t="n">
        <f aca="false">ROUND(INDEX('Envelope Register'!$J$5:$J$22,MATCH(C64,'Envelope Register'!$A$5:$A$22,0))*(E64-F64),0)</f>
        <v>443</v>
      </c>
      <c r="M64" s="12" t="n">
        <f aca="false">ROUND(INDEX('Envelope Register'!$J$5:$J$22,MATCH(C64,'Envelope Register'!$A$5:$A$22,0))*(E64+F64),0)</f>
        <v>478</v>
      </c>
      <c r="N64" s="12" t="n">
        <f aca="false">ROUND(INDEX('Envelope Register'!$L$5:$L$22,MATCH(C64,'Envelope Register'!$A$5:$A$22,0))*(G64-H64),0)</f>
        <v>348</v>
      </c>
      <c r="O64" s="12" t="n">
        <f aca="false">ROUND(INDEX('Envelope Register'!$L$5:$L$22,MATCH(C64,'Envelope Register'!$A$5:$A$22,0))*(G64+H64),0)</f>
        <v>403</v>
      </c>
      <c r="P64" s="12" t="n">
        <f aca="false">IF(I64="DEPTH",ROUND(-INDEX('Envelope Register'!$P$5:$P$22,MATCH(C64,'Envelope Register'!$A$5:$A$22,0))*(J64+K64),0),ROUND(INDEX('Envelope Register'!$N$5:$N$22,MATCH(C64,'Envelope Register'!$A$5:$A$22,0))*(J64-K64),0))</f>
        <v>4</v>
      </c>
      <c r="Q64" s="12" t="n">
        <f aca="false">IF(I64="DEPTH",ROUND(-INDEX('Envelope Register'!$P$5:$P$22,MATCH(C64,'Envelope Register'!$A$5:$A$22,0))*(J64-K64),0),ROUND(INDEX('Envelope Register'!$N$5:$N$22,MATCH(C64,'Envelope Register'!$A$5:$A$22,0))*(J64+K64),0))</f>
        <v>6</v>
      </c>
      <c r="R64" s="12" t="n">
        <f aca="false">COUNTIFS($C$5:$C$112,C64,$D$5:$D$112,D64)</f>
        <v>1</v>
      </c>
      <c r="S64" s="11" t="str">
        <f aca="false">IF(AND(L64&gt;=0,M64&lt;=INDEX('Envelope Register'!$J$5:$J$22,MATCH(C64,'Envelope Register'!$A$5:$A$22,0)),N64&gt;=0,O64&lt;=INDEX('Envelope Register'!$L$5:$L$22,MATCH(C64,'Envelope Register'!$A$5:$A$22,0)),P64&gt;=-INDEX('Envelope Register'!$P$5:$P$22,MATCH(C64,'Envelope Register'!$A$5:$A$22,0)),Q64&lt;=INDEX('Envelope Register'!$N$5:$N$22,MATCH(C64,'Envelope Register'!$A$5:$A$22,0)),L64&lt;M64,N64&lt;O64,P64&lt;Q64,R64=1,U64=1),"PASS","FAIL")</f>
        <v>PASS</v>
      </c>
      <c r="T64" s="11" t="s">
        <v>251</v>
      </c>
      <c r="U64" s="12" t="n">
        <f aca="false">COUNTIF($A$5:$A$112,A64)</f>
        <v>1</v>
      </c>
    </row>
    <row r="65" customFormat="false" ht="15" hidden="false" customHeight="false" outlineLevel="0" collapsed="false">
      <c r="A65" s="11" t="s">
        <v>335</v>
      </c>
      <c r="B65" s="11" t="s">
        <v>147</v>
      </c>
      <c r="C65" s="11" t="s">
        <v>34</v>
      </c>
      <c r="D65" s="11" t="s">
        <v>323</v>
      </c>
      <c r="E65" s="22" t="n">
        <v>0.06</v>
      </c>
      <c r="F65" s="22" t="n">
        <v>0.035</v>
      </c>
      <c r="G65" s="22" t="n">
        <v>0.5</v>
      </c>
      <c r="H65" s="22" t="n">
        <v>0.055</v>
      </c>
      <c r="I65" s="11" t="s">
        <v>324</v>
      </c>
      <c r="J65" s="22" t="n">
        <v>0.7</v>
      </c>
      <c r="K65" s="22" t="n">
        <v>0.1</v>
      </c>
      <c r="L65" s="12" t="n">
        <f aca="false">ROUND(INDEX('Envelope Register'!$J$5:$J$22,MATCH(C65,'Envelope Register'!$A$5:$A$22,0))*(E65-F65),0)</f>
        <v>50</v>
      </c>
      <c r="M65" s="12" t="n">
        <f aca="false">ROUND(INDEX('Envelope Register'!$J$5:$J$22,MATCH(C65,'Envelope Register'!$A$5:$A$22,0))*(E65+F65),0)</f>
        <v>190</v>
      </c>
      <c r="N65" s="12" t="n">
        <f aca="false">ROUND(INDEX('Envelope Register'!$L$5:$L$22,MATCH(C65,'Envelope Register'!$A$5:$A$22,0))*(G65-H65),0)</f>
        <v>223</v>
      </c>
      <c r="O65" s="12" t="n">
        <f aca="false">ROUND(INDEX('Envelope Register'!$L$5:$L$22,MATCH(C65,'Envelope Register'!$A$5:$A$22,0))*(G65+H65),0)</f>
        <v>278</v>
      </c>
      <c r="P65" s="12" t="n">
        <f aca="false">IF(I65="DEPTH",ROUND(-INDEX('Envelope Register'!$P$5:$P$22,MATCH(C65,'Envelope Register'!$A$5:$A$22,0))*(J65+K65),0),ROUND(INDEX('Envelope Register'!$N$5:$N$22,MATCH(C65,'Envelope Register'!$A$5:$A$22,0))*(J65-K65),0))</f>
        <v>-2000</v>
      </c>
      <c r="Q65" s="12" t="n">
        <f aca="false">IF(I65="DEPTH",ROUND(-INDEX('Envelope Register'!$P$5:$P$22,MATCH(C65,'Envelope Register'!$A$5:$A$22,0))*(J65-K65),0),ROUND(INDEX('Envelope Register'!$N$5:$N$22,MATCH(C65,'Envelope Register'!$A$5:$A$22,0))*(J65+K65),0))</f>
        <v>-1500</v>
      </c>
      <c r="R65" s="12" t="n">
        <f aca="false">COUNTIFS($C$5:$C$112,C65,$D$5:$D$112,D65)</f>
        <v>1</v>
      </c>
      <c r="S65" s="11" t="str">
        <f aca="false">IF(AND(L65&gt;=0,M65&lt;=INDEX('Envelope Register'!$J$5:$J$22,MATCH(C65,'Envelope Register'!$A$5:$A$22,0)),N65&gt;=0,O65&lt;=INDEX('Envelope Register'!$L$5:$L$22,MATCH(C65,'Envelope Register'!$A$5:$A$22,0)),P65&gt;=-INDEX('Envelope Register'!$P$5:$P$22,MATCH(C65,'Envelope Register'!$A$5:$A$22,0)),Q65&lt;=INDEX('Envelope Register'!$N$5:$N$22,MATCH(C65,'Envelope Register'!$A$5:$A$22,0)),L65&lt;M65,N65&lt;O65,P65&lt;Q65,R65=1,U65=1),"PASS","FAIL")</f>
        <v>PASS</v>
      </c>
      <c r="T65" s="11" t="s">
        <v>251</v>
      </c>
      <c r="U65" s="12" t="n">
        <f aca="false">COUNTIF($A$5:$A$112,A65)</f>
        <v>1</v>
      </c>
    </row>
    <row r="66" customFormat="false" ht="15" hidden="false" customHeight="false" outlineLevel="0" collapsed="false">
      <c r="A66" s="11" t="s">
        <v>336</v>
      </c>
      <c r="B66" s="11" t="s">
        <v>147</v>
      </c>
      <c r="C66" s="11" t="s">
        <v>34</v>
      </c>
      <c r="D66" s="11" t="s">
        <v>326</v>
      </c>
      <c r="E66" s="22" t="n">
        <v>0.22</v>
      </c>
      <c r="F66" s="22" t="n">
        <v>0.035</v>
      </c>
      <c r="G66" s="22" t="n">
        <v>0.28</v>
      </c>
      <c r="H66" s="22" t="n">
        <v>0.055</v>
      </c>
      <c r="I66" s="11" t="s">
        <v>324</v>
      </c>
      <c r="J66" s="22" t="n">
        <v>0.7</v>
      </c>
      <c r="K66" s="22" t="n">
        <v>0.1</v>
      </c>
      <c r="L66" s="12" t="n">
        <f aca="false">ROUND(INDEX('Envelope Register'!$J$5:$J$22,MATCH(C66,'Envelope Register'!$A$5:$A$22,0))*(E66-F66),0)</f>
        <v>370</v>
      </c>
      <c r="M66" s="12" t="n">
        <f aca="false">ROUND(INDEX('Envelope Register'!$J$5:$J$22,MATCH(C66,'Envelope Register'!$A$5:$A$22,0))*(E66+F66),0)</f>
        <v>510</v>
      </c>
      <c r="N66" s="12" t="n">
        <f aca="false">ROUND(INDEX('Envelope Register'!$L$5:$L$22,MATCH(C66,'Envelope Register'!$A$5:$A$22,0))*(G66-H66),0)</f>
        <v>113</v>
      </c>
      <c r="O66" s="12" t="n">
        <f aca="false">ROUND(INDEX('Envelope Register'!$L$5:$L$22,MATCH(C66,'Envelope Register'!$A$5:$A$22,0))*(G66+H66),0)</f>
        <v>168</v>
      </c>
      <c r="P66" s="12" t="n">
        <f aca="false">IF(I66="DEPTH",ROUND(-INDEX('Envelope Register'!$P$5:$P$22,MATCH(C66,'Envelope Register'!$A$5:$A$22,0))*(J66+K66),0),ROUND(INDEX('Envelope Register'!$N$5:$N$22,MATCH(C66,'Envelope Register'!$A$5:$A$22,0))*(J66-K66),0))</f>
        <v>-2000</v>
      </c>
      <c r="Q66" s="12" t="n">
        <f aca="false">IF(I66="DEPTH",ROUND(-INDEX('Envelope Register'!$P$5:$P$22,MATCH(C66,'Envelope Register'!$A$5:$A$22,0))*(J66-K66),0),ROUND(INDEX('Envelope Register'!$N$5:$N$22,MATCH(C66,'Envelope Register'!$A$5:$A$22,0))*(J66+K66),0))</f>
        <v>-1500</v>
      </c>
      <c r="R66" s="12" t="n">
        <f aca="false">COUNTIFS($C$5:$C$112,C66,$D$5:$D$112,D66)</f>
        <v>1</v>
      </c>
      <c r="S66" s="11" t="str">
        <f aca="false">IF(AND(L66&gt;=0,M66&lt;=INDEX('Envelope Register'!$J$5:$J$22,MATCH(C66,'Envelope Register'!$A$5:$A$22,0)),N66&gt;=0,O66&lt;=INDEX('Envelope Register'!$L$5:$L$22,MATCH(C66,'Envelope Register'!$A$5:$A$22,0)),P66&gt;=-INDEX('Envelope Register'!$P$5:$P$22,MATCH(C66,'Envelope Register'!$A$5:$A$22,0)),Q66&lt;=INDEX('Envelope Register'!$N$5:$N$22,MATCH(C66,'Envelope Register'!$A$5:$A$22,0)),L66&lt;M66,N66&lt;O66,P66&lt;Q66,R66=1,U66=1),"PASS","FAIL")</f>
        <v>PASS</v>
      </c>
      <c r="T66" s="11" t="s">
        <v>251</v>
      </c>
      <c r="U66" s="12" t="n">
        <f aca="false">COUNTIF($A$5:$A$112,A66)</f>
        <v>1</v>
      </c>
    </row>
    <row r="67" customFormat="false" ht="15" hidden="false" customHeight="false" outlineLevel="0" collapsed="false">
      <c r="A67" s="11" t="s">
        <v>337</v>
      </c>
      <c r="B67" s="11" t="s">
        <v>147</v>
      </c>
      <c r="C67" s="11" t="s">
        <v>34</v>
      </c>
      <c r="D67" s="11" t="s">
        <v>328</v>
      </c>
      <c r="E67" s="22" t="n">
        <v>0.4</v>
      </c>
      <c r="F67" s="22" t="n">
        <v>0.035</v>
      </c>
      <c r="G67" s="22" t="n">
        <v>0.72</v>
      </c>
      <c r="H67" s="22" t="n">
        <v>0.055</v>
      </c>
      <c r="I67" s="11" t="s">
        <v>250</v>
      </c>
      <c r="J67" s="22" t="n">
        <v>0.35</v>
      </c>
      <c r="K67" s="22" t="n">
        <v>0.045</v>
      </c>
      <c r="L67" s="12" t="n">
        <f aca="false">ROUND(INDEX('Envelope Register'!$J$5:$J$22,MATCH(C67,'Envelope Register'!$A$5:$A$22,0))*(E67-F67),0)</f>
        <v>730</v>
      </c>
      <c r="M67" s="12" t="n">
        <f aca="false">ROUND(INDEX('Envelope Register'!$J$5:$J$22,MATCH(C67,'Envelope Register'!$A$5:$A$22,0))*(E67+F67),0)</f>
        <v>870</v>
      </c>
      <c r="N67" s="12" t="n">
        <f aca="false">ROUND(INDEX('Envelope Register'!$L$5:$L$22,MATCH(C67,'Envelope Register'!$A$5:$A$22,0))*(G67-H67),0)</f>
        <v>332</v>
      </c>
      <c r="O67" s="12" t="n">
        <f aca="false">ROUND(INDEX('Envelope Register'!$L$5:$L$22,MATCH(C67,'Envelope Register'!$A$5:$A$22,0))*(G67+H67),0)</f>
        <v>388</v>
      </c>
      <c r="P67" s="12" t="n">
        <f aca="false">IF(I67="DEPTH",ROUND(-INDEX('Envelope Register'!$P$5:$P$22,MATCH(C67,'Envelope Register'!$A$5:$A$22,0))*(J67+K67),0),ROUND(INDEX('Envelope Register'!$N$5:$N$22,MATCH(C67,'Envelope Register'!$A$5:$A$22,0))*(J67-K67),0))</f>
        <v>6</v>
      </c>
      <c r="Q67" s="12" t="n">
        <f aca="false">IF(I67="DEPTH",ROUND(-INDEX('Envelope Register'!$P$5:$P$22,MATCH(C67,'Envelope Register'!$A$5:$A$22,0))*(J67-K67),0),ROUND(INDEX('Envelope Register'!$N$5:$N$22,MATCH(C67,'Envelope Register'!$A$5:$A$22,0))*(J67+K67),0))</f>
        <v>8</v>
      </c>
      <c r="R67" s="12" t="n">
        <f aca="false">COUNTIFS($C$5:$C$112,C67,$D$5:$D$112,D67)</f>
        <v>1</v>
      </c>
      <c r="S67" s="11" t="str">
        <f aca="false">IF(AND(L67&gt;=0,M67&lt;=INDEX('Envelope Register'!$J$5:$J$22,MATCH(C67,'Envelope Register'!$A$5:$A$22,0)),N67&gt;=0,O67&lt;=INDEX('Envelope Register'!$L$5:$L$22,MATCH(C67,'Envelope Register'!$A$5:$A$22,0)),P67&gt;=-INDEX('Envelope Register'!$P$5:$P$22,MATCH(C67,'Envelope Register'!$A$5:$A$22,0)),Q67&lt;=INDEX('Envelope Register'!$N$5:$N$22,MATCH(C67,'Envelope Register'!$A$5:$A$22,0)),L67&lt;M67,N67&lt;O67,P67&lt;Q67,R67=1,U67=1),"PASS","FAIL")</f>
        <v>PASS</v>
      </c>
      <c r="T67" s="11" t="s">
        <v>251</v>
      </c>
      <c r="U67" s="12" t="n">
        <f aca="false">COUNTIF($A$5:$A$112,A67)</f>
        <v>1</v>
      </c>
    </row>
    <row r="68" customFormat="false" ht="15" hidden="false" customHeight="false" outlineLevel="0" collapsed="false">
      <c r="A68" s="11" t="s">
        <v>338</v>
      </c>
      <c r="B68" s="11" t="s">
        <v>147</v>
      </c>
      <c r="C68" s="11" t="s">
        <v>34</v>
      </c>
      <c r="D68" s="11" t="s">
        <v>330</v>
      </c>
      <c r="E68" s="22" t="n">
        <v>0.6</v>
      </c>
      <c r="F68" s="22" t="n">
        <v>0.035</v>
      </c>
      <c r="G68" s="22" t="n">
        <v>0.28</v>
      </c>
      <c r="H68" s="22" t="n">
        <v>0.055</v>
      </c>
      <c r="I68" s="11" t="s">
        <v>250</v>
      </c>
      <c r="J68" s="22" t="n">
        <v>0.45</v>
      </c>
      <c r="K68" s="22" t="n">
        <v>0.045</v>
      </c>
      <c r="L68" s="12" t="n">
        <f aca="false">ROUND(INDEX('Envelope Register'!$J$5:$J$22,MATCH(C68,'Envelope Register'!$A$5:$A$22,0))*(E68-F68),0)</f>
        <v>1130</v>
      </c>
      <c r="M68" s="12" t="n">
        <f aca="false">ROUND(INDEX('Envelope Register'!$J$5:$J$22,MATCH(C68,'Envelope Register'!$A$5:$A$22,0))*(E68+F68),0)</f>
        <v>1270</v>
      </c>
      <c r="N68" s="12" t="n">
        <f aca="false">ROUND(INDEX('Envelope Register'!$L$5:$L$22,MATCH(C68,'Envelope Register'!$A$5:$A$22,0))*(G68-H68),0)</f>
        <v>113</v>
      </c>
      <c r="O68" s="12" t="n">
        <f aca="false">ROUND(INDEX('Envelope Register'!$L$5:$L$22,MATCH(C68,'Envelope Register'!$A$5:$A$22,0))*(G68+H68),0)</f>
        <v>168</v>
      </c>
      <c r="P68" s="12" t="n">
        <f aca="false">IF(I68="DEPTH",ROUND(-INDEX('Envelope Register'!$P$5:$P$22,MATCH(C68,'Envelope Register'!$A$5:$A$22,0))*(J68+K68),0),ROUND(INDEX('Envelope Register'!$N$5:$N$22,MATCH(C68,'Envelope Register'!$A$5:$A$22,0))*(J68-K68),0))</f>
        <v>8</v>
      </c>
      <c r="Q68" s="12" t="n">
        <f aca="false">IF(I68="DEPTH",ROUND(-INDEX('Envelope Register'!$P$5:$P$22,MATCH(C68,'Envelope Register'!$A$5:$A$22,0))*(J68-K68),0),ROUND(INDEX('Envelope Register'!$N$5:$N$22,MATCH(C68,'Envelope Register'!$A$5:$A$22,0))*(J68+K68),0))</f>
        <v>10</v>
      </c>
      <c r="R68" s="12" t="n">
        <f aca="false">COUNTIFS($C$5:$C$112,C68,$D$5:$D$112,D68)</f>
        <v>1</v>
      </c>
      <c r="S68" s="11" t="str">
        <f aca="false">IF(AND(L68&gt;=0,M68&lt;=INDEX('Envelope Register'!$J$5:$J$22,MATCH(C68,'Envelope Register'!$A$5:$A$22,0)),N68&gt;=0,O68&lt;=INDEX('Envelope Register'!$L$5:$L$22,MATCH(C68,'Envelope Register'!$A$5:$A$22,0)),P68&gt;=-INDEX('Envelope Register'!$P$5:$P$22,MATCH(C68,'Envelope Register'!$A$5:$A$22,0)),Q68&lt;=INDEX('Envelope Register'!$N$5:$N$22,MATCH(C68,'Envelope Register'!$A$5:$A$22,0)),L68&lt;M68,N68&lt;O68,P68&lt;Q68,R68=1,U68=1),"PASS","FAIL")</f>
        <v>PASS</v>
      </c>
      <c r="T68" s="11" t="s">
        <v>251</v>
      </c>
      <c r="U68" s="12" t="n">
        <f aca="false">COUNTIF($A$5:$A$112,A68)</f>
        <v>1</v>
      </c>
    </row>
    <row r="69" customFormat="false" ht="15" hidden="false" customHeight="false" outlineLevel="0" collapsed="false">
      <c r="A69" s="11" t="s">
        <v>339</v>
      </c>
      <c r="B69" s="11" t="s">
        <v>147</v>
      </c>
      <c r="C69" s="11" t="s">
        <v>34</v>
      </c>
      <c r="D69" s="11" t="s">
        <v>332</v>
      </c>
      <c r="E69" s="22" t="n">
        <v>0.78</v>
      </c>
      <c r="F69" s="22" t="n">
        <v>0.035</v>
      </c>
      <c r="G69" s="22" t="n">
        <v>0.72</v>
      </c>
      <c r="H69" s="22" t="n">
        <v>0.055</v>
      </c>
      <c r="I69" s="11" t="s">
        <v>250</v>
      </c>
      <c r="J69" s="22" t="n">
        <v>0.55</v>
      </c>
      <c r="K69" s="22" t="n">
        <v>0.045</v>
      </c>
      <c r="L69" s="12" t="n">
        <f aca="false">ROUND(INDEX('Envelope Register'!$J$5:$J$22,MATCH(C69,'Envelope Register'!$A$5:$A$22,0))*(E69-F69),0)</f>
        <v>1490</v>
      </c>
      <c r="M69" s="12" t="n">
        <f aca="false">ROUND(INDEX('Envelope Register'!$J$5:$J$22,MATCH(C69,'Envelope Register'!$A$5:$A$22,0))*(E69+F69),0)</f>
        <v>1630</v>
      </c>
      <c r="N69" s="12" t="n">
        <f aca="false">ROUND(INDEX('Envelope Register'!$L$5:$L$22,MATCH(C69,'Envelope Register'!$A$5:$A$22,0))*(G69-H69),0)</f>
        <v>332</v>
      </c>
      <c r="O69" s="12" t="n">
        <f aca="false">ROUND(INDEX('Envelope Register'!$L$5:$L$22,MATCH(C69,'Envelope Register'!$A$5:$A$22,0))*(G69+H69),0)</f>
        <v>388</v>
      </c>
      <c r="P69" s="12" t="n">
        <f aca="false">IF(I69="DEPTH",ROUND(-INDEX('Envelope Register'!$P$5:$P$22,MATCH(C69,'Envelope Register'!$A$5:$A$22,0))*(J69+K69),0),ROUND(INDEX('Envelope Register'!$N$5:$N$22,MATCH(C69,'Envelope Register'!$A$5:$A$22,0))*(J69-K69),0))</f>
        <v>10</v>
      </c>
      <c r="Q69" s="12" t="n">
        <f aca="false">IF(I69="DEPTH",ROUND(-INDEX('Envelope Register'!$P$5:$P$22,MATCH(C69,'Envelope Register'!$A$5:$A$22,0))*(J69-K69),0),ROUND(INDEX('Envelope Register'!$N$5:$N$22,MATCH(C69,'Envelope Register'!$A$5:$A$22,0))*(J69+K69),0))</f>
        <v>12</v>
      </c>
      <c r="R69" s="12" t="n">
        <f aca="false">COUNTIFS($C$5:$C$112,C69,$D$5:$D$112,D69)</f>
        <v>1</v>
      </c>
      <c r="S69" s="11" t="str">
        <f aca="false">IF(AND(L69&gt;=0,M69&lt;=INDEX('Envelope Register'!$J$5:$J$22,MATCH(C69,'Envelope Register'!$A$5:$A$22,0)),N69&gt;=0,O69&lt;=INDEX('Envelope Register'!$L$5:$L$22,MATCH(C69,'Envelope Register'!$A$5:$A$22,0)),P69&gt;=-INDEX('Envelope Register'!$P$5:$P$22,MATCH(C69,'Envelope Register'!$A$5:$A$22,0)),Q69&lt;=INDEX('Envelope Register'!$N$5:$N$22,MATCH(C69,'Envelope Register'!$A$5:$A$22,0)),L69&lt;M69,N69&lt;O69,P69&lt;Q69,R69=1,U69=1),"PASS","FAIL")</f>
        <v>PASS</v>
      </c>
      <c r="T69" s="11" t="s">
        <v>251</v>
      </c>
      <c r="U69" s="12" t="n">
        <f aca="false">COUNTIF($A$5:$A$112,A69)</f>
        <v>1</v>
      </c>
    </row>
    <row r="70" customFormat="false" ht="15" hidden="false" customHeight="false" outlineLevel="0" collapsed="false">
      <c r="A70" s="11" t="s">
        <v>340</v>
      </c>
      <c r="B70" s="11" t="s">
        <v>147</v>
      </c>
      <c r="C70" s="11" t="s">
        <v>34</v>
      </c>
      <c r="D70" s="11" t="s">
        <v>334</v>
      </c>
      <c r="E70" s="22" t="n">
        <v>0.94</v>
      </c>
      <c r="F70" s="22" t="n">
        <v>0.035</v>
      </c>
      <c r="G70" s="22" t="n">
        <v>0.5</v>
      </c>
      <c r="H70" s="22" t="n">
        <v>0.055</v>
      </c>
      <c r="I70" s="11" t="s">
        <v>250</v>
      </c>
      <c r="J70" s="22" t="n">
        <v>0.25</v>
      </c>
      <c r="K70" s="22" t="n">
        <v>0.045</v>
      </c>
      <c r="L70" s="12" t="n">
        <f aca="false">ROUND(INDEX('Envelope Register'!$J$5:$J$22,MATCH(C70,'Envelope Register'!$A$5:$A$22,0))*(E70-F70),0)</f>
        <v>1810</v>
      </c>
      <c r="M70" s="12" t="n">
        <f aca="false">ROUND(INDEX('Envelope Register'!$J$5:$J$22,MATCH(C70,'Envelope Register'!$A$5:$A$22,0))*(E70+F70),0)</f>
        <v>1950</v>
      </c>
      <c r="N70" s="12" t="n">
        <f aca="false">ROUND(INDEX('Envelope Register'!$L$5:$L$22,MATCH(C70,'Envelope Register'!$A$5:$A$22,0))*(G70-H70),0)</f>
        <v>223</v>
      </c>
      <c r="O70" s="12" t="n">
        <f aca="false">ROUND(INDEX('Envelope Register'!$L$5:$L$22,MATCH(C70,'Envelope Register'!$A$5:$A$22,0))*(G70+H70),0)</f>
        <v>278</v>
      </c>
      <c r="P70" s="12" t="n">
        <f aca="false">IF(I70="DEPTH",ROUND(-INDEX('Envelope Register'!$P$5:$P$22,MATCH(C70,'Envelope Register'!$A$5:$A$22,0))*(J70+K70),0),ROUND(INDEX('Envelope Register'!$N$5:$N$22,MATCH(C70,'Envelope Register'!$A$5:$A$22,0))*(J70-K70),0))</f>
        <v>4</v>
      </c>
      <c r="Q70" s="12" t="n">
        <f aca="false">IF(I70="DEPTH",ROUND(-INDEX('Envelope Register'!$P$5:$P$22,MATCH(C70,'Envelope Register'!$A$5:$A$22,0))*(J70-K70),0),ROUND(INDEX('Envelope Register'!$N$5:$N$22,MATCH(C70,'Envelope Register'!$A$5:$A$22,0))*(J70+K70),0))</f>
        <v>6</v>
      </c>
      <c r="R70" s="12" t="n">
        <f aca="false">COUNTIFS($C$5:$C$112,C70,$D$5:$D$112,D70)</f>
        <v>1</v>
      </c>
      <c r="S70" s="11" t="str">
        <f aca="false">IF(AND(L70&gt;=0,M70&lt;=INDEX('Envelope Register'!$J$5:$J$22,MATCH(C70,'Envelope Register'!$A$5:$A$22,0)),N70&gt;=0,O70&lt;=INDEX('Envelope Register'!$L$5:$L$22,MATCH(C70,'Envelope Register'!$A$5:$A$22,0)),P70&gt;=-INDEX('Envelope Register'!$P$5:$P$22,MATCH(C70,'Envelope Register'!$A$5:$A$22,0)),Q70&lt;=INDEX('Envelope Register'!$N$5:$N$22,MATCH(C70,'Envelope Register'!$A$5:$A$22,0)),L70&lt;M70,N70&lt;O70,P70&lt;Q70,R70=1,U70=1),"PASS","FAIL")</f>
        <v>PASS</v>
      </c>
      <c r="T70" s="11" t="s">
        <v>251</v>
      </c>
      <c r="U70" s="12" t="n">
        <f aca="false">COUNTIF($A$5:$A$112,A70)</f>
        <v>1</v>
      </c>
    </row>
    <row r="71" customFormat="false" ht="15" hidden="false" customHeight="false" outlineLevel="0" collapsed="false">
      <c r="A71" s="11" t="s">
        <v>341</v>
      </c>
      <c r="B71" s="11" t="s">
        <v>147</v>
      </c>
      <c r="C71" s="11" t="s">
        <v>36</v>
      </c>
      <c r="D71" s="11" t="s">
        <v>323</v>
      </c>
      <c r="E71" s="22" t="n">
        <v>0.15</v>
      </c>
      <c r="F71" s="22" t="n">
        <v>0.035</v>
      </c>
      <c r="G71" s="22" t="n">
        <v>0.2</v>
      </c>
      <c r="H71" s="22" t="n">
        <v>0.055</v>
      </c>
      <c r="I71" s="11" t="s">
        <v>324</v>
      </c>
      <c r="J71" s="22" t="n">
        <v>0.7</v>
      </c>
      <c r="K71" s="22" t="n">
        <v>0.1</v>
      </c>
      <c r="L71" s="12" t="n">
        <f aca="false">ROUND(INDEX('Envelope Register'!$J$5:$J$22,MATCH(C71,'Envelope Register'!$A$5:$A$22,0))*(E71-F71),0)</f>
        <v>69</v>
      </c>
      <c r="M71" s="12" t="n">
        <f aca="false">ROUND(INDEX('Envelope Register'!$J$5:$J$22,MATCH(C71,'Envelope Register'!$A$5:$A$22,0))*(E71+F71),0)</f>
        <v>111</v>
      </c>
      <c r="N71" s="12" t="n">
        <f aca="false">ROUND(INDEX('Envelope Register'!$L$5:$L$22,MATCH(C71,'Envelope Register'!$A$5:$A$22,0))*(G71-H71),0)</f>
        <v>87</v>
      </c>
      <c r="O71" s="12" t="n">
        <f aca="false">ROUND(INDEX('Envelope Register'!$L$5:$L$22,MATCH(C71,'Envelope Register'!$A$5:$A$22,0))*(G71+H71),0)</f>
        <v>153</v>
      </c>
      <c r="P71" s="12" t="n">
        <f aca="false">IF(I71="DEPTH",ROUND(-INDEX('Envelope Register'!$P$5:$P$22,MATCH(C71,'Envelope Register'!$A$5:$A$22,0))*(J71+K71),0),ROUND(INDEX('Envelope Register'!$N$5:$N$22,MATCH(C71,'Envelope Register'!$A$5:$A$22,0))*(J71-K71),0))</f>
        <v>-2000</v>
      </c>
      <c r="Q71" s="12" t="n">
        <f aca="false">IF(I71="DEPTH",ROUND(-INDEX('Envelope Register'!$P$5:$P$22,MATCH(C71,'Envelope Register'!$A$5:$A$22,0))*(J71-K71),0),ROUND(INDEX('Envelope Register'!$N$5:$N$22,MATCH(C71,'Envelope Register'!$A$5:$A$22,0))*(J71+K71),0))</f>
        <v>-1500</v>
      </c>
      <c r="R71" s="12" t="n">
        <f aca="false">COUNTIFS($C$5:$C$112,C71,$D$5:$D$112,D71)</f>
        <v>1</v>
      </c>
      <c r="S71" s="11" t="str">
        <f aca="false">IF(AND(L71&gt;=0,M71&lt;=INDEX('Envelope Register'!$J$5:$J$22,MATCH(C71,'Envelope Register'!$A$5:$A$22,0)),N71&gt;=0,O71&lt;=INDEX('Envelope Register'!$L$5:$L$22,MATCH(C71,'Envelope Register'!$A$5:$A$22,0)),P71&gt;=-INDEX('Envelope Register'!$P$5:$P$22,MATCH(C71,'Envelope Register'!$A$5:$A$22,0)),Q71&lt;=INDEX('Envelope Register'!$N$5:$N$22,MATCH(C71,'Envelope Register'!$A$5:$A$22,0)),L71&lt;M71,N71&lt;O71,P71&lt;Q71,R71=1,U71=1),"PASS","FAIL")</f>
        <v>PASS</v>
      </c>
      <c r="T71" s="11" t="s">
        <v>251</v>
      </c>
      <c r="U71" s="12" t="n">
        <f aca="false">COUNTIF($A$5:$A$112,A71)</f>
        <v>1</v>
      </c>
    </row>
    <row r="72" customFormat="false" ht="15" hidden="false" customHeight="false" outlineLevel="0" collapsed="false">
      <c r="A72" s="11" t="s">
        <v>342</v>
      </c>
      <c r="B72" s="11" t="s">
        <v>147</v>
      </c>
      <c r="C72" s="11" t="s">
        <v>36</v>
      </c>
      <c r="D72" s="11" t="s">
        <v>326</v>
      </c>
      <c r="E72" s="22" t="n">
        <v>0.15</v>
      </c>
      <c r="F72" s="22" t="n">
        <v>0.035</v>
      </c>
      <c r="G72" s="22" t="n">
        <v>0.8</v>
      </c>
      <c r="H72" s="22" t="n">
        <v>0.055</v>
      </c>
      <c r="I72" s="11" t="s">
        <v>324</v>
      </c>
      <c r="J72" s="22" t="n">
        <v>0.7</v>
      </c>
      <c r="K72" s="22" t="n">
        <v>0.1</v>
      </c>
      <c r="L72" s="12" t="n">
        <f aca="false">ROUND(INDEX('Envelope Register'!$J$5:$J$22,MATCH(C72,'Envelope Register'!$A$5:$A$22,0))*(E72-F72),0)</f>
        <v>69</v>
      </c>
      <c r="M72" s="12" t="n">
        <f aca="false">ROUND(INDEX('Envelope Register'!$J$5:$J$22,MATCH(C72,'Envelope Register'!$A$5:$A$22,0))*(E72+F72),0)</f>
        <v>111</v>
      </c>
      <c r="N72" s="12" t="n">
        <f aca="false">ROUND(INDEX('Envelope Register'!$L$5:$L$22,MATCH(C72,'Envelope Register'!$A$5:$A$22,0))*(G72-H72),0)</f>
        <v>447</v>
      </c>
      <c r="O72" s="12" t="n">
        <f aca="false">ROUND(INDEX('Envelope Register'!$L$5:$L$22,MATCH(C72,'Envelope Register'!$A$5:$A$22,0))*(G72+H72),0)</f>
        <v>513</v>
      </c>
      <c r="P72" s="12" t="n">
        <f aca="false">IF(I72="DEPTH",ROUND(-INDEX('Envelope Register'!$P$5:$P$22,MATCH(C72,'Envelope Register'!$A$5:$A$22,0))*(J72+K72),0),ROUND(INDEX('Envelope Register'!$N$5:$N$22,MATCH(C72,'Envelope Register'!$A$5:$A$22,0))*(J72-K72),0))</f>
        <v>-2000</v>
      </c>
      <c r="Q72" s="12" t="n">
        <f aca="false">IF(I72="DEPTH",ROUND(-INDEX('Envelope Register'!$P$5:$P$22,MATCH(C72,'Envelope Register'!$A$5:$A$22,0))*(J72-K72),0),ROUND(INDEX('Envelope Register'!$N$5:$N$22,MATCH(C72,'Envelope Register'!$A$5:$A$22,0))*(J72+K72),0))</f>
        <v>-1500</v>
      </c>
      <c r="R72" s="12" t="n">
        <f aca="false">COUNTIFS($C$5:$C$112,C72,$D$5:$D$112,D72)</f>
        <v>1</v>
      </c>
      <c r="S72" s="11" t="str">
        <f aca="false">IF(AND(L72&gt;=0,M72&lt;=INDEX('Envelope Register'!$J$5:$J$22,MATCH(C72,'Envelope Register'!$A$5:$A$22,0)),N72&gt;=0,O72&lt;=INDEX('Envelope Register'!$L$5:$L$22,MATCH(C72,'Envelope Register'!$A$5:$A$22,0)),P72&gt;=-INDEX('Envelope Register'!$P$5:$P$22,MATCH(C72,'Envelope Register'!$A$5:$A$22,0)),Q72&lt;=INDEX('Envelope Register'!$N$5:$N$22,MATCH(C72,'Envelope Register'!$A$5:$A$22,0)),L72&lt;M72,N72&lt;O72,P72&lt;Q72,R72=1,U72=1),"PASS","FAIL")</f>
        <v>PASS</v>
      </c>
      <c r="T72" s="11" t="s">
        <v>251</v>
      </c>
      <c r="U72" s="12" t="n">
        <f aca="false">COUNTIF($A$5:$A$112,A72)</f>
        <v>1</v>
      </c>
    </row>
    <row r="73" customFormat="false" ht="15" hidden="false" customHeight="false" outlineLevel="0" collapsed="false">
      <c r="A73" s="11" t="s">
        <v>343</v>
      </c>
      <c r="B73" s="11" t="s">
        <v>147</v>
      </c>
      <c r="C73" s="11" t="s">
        <v>36</v>
      </c>
      <c r="D73" s="11" t="s">
        <v>328</v>
      </c>
      <c r="E73" s="22" t="n">
        <v>0.5</v>
      </c>
      <c r="F73" s="22" t="n">
        <v>0.035</v>
      </c>
      <c r="G73" s="22" t="n">
        <v>0.2</v>
      </c>
      <c r="H73" s="22" t="n">
        <v>0.055</v>
      </c>
      <c r="I73" s="11" t="s">
        <v>250</v>
      </c>
      <c r="J73" s="22" t="n">
        <v>0.35</v>
      </c>
      <c r="K73" s="22" t="n">
        <v>0.045</v>
      </c>
      <c r="L73" s="12" t="n">
        <f aca="false">ROUND(INDEX('Envelope Register'!$J$5:$J$22,MATCH(C73,'Envelope Register'!$A$5:$A$22,0))*(E73-F73),0)</f>
        <v>279</v>
      </c>
      <c r="M73" s="12" t="n">
        <f aca="false">ROUND(INDEX('Envelope Register'!$J$5:$J$22,MATCH(C73,'Envelope Register'!$A$5:$A$22,0))*(E73+F73),0)</f>
        <v>321</v>
      </c>
      <c r="N73" s="12" t="n">
        <f aca="false">ROUND(INDEX('Envelope Register'!$L$5:$L$22,MATCH(C73,'Envelope Register'!$A$5:$A$22,0))*(G73-H73),0)</f>
        <v>87</v>
      </c>
      <c r="O73" s="12" t="n">
        <f aca="false">ROUND(INDEX('Envelope Register'!$L$5:$L$22,MATCH(C73,'Envelope Register'!$A$5:$A$22,0))*(G73+H73),0)</f>
        <v>153</v>
      </c>
      <c r="P73" s="12" t="n">
        <f aca="false">IF(I73="DEPTH",ROUND(-INDEX('Envelope Register'!$P$5:$P$22,MATCH(C73,'Envelope Register'!$A$5:$A$22,0))*(J73+K73),0),ROUND(INDEX('Envelope Register'!$N$5:$N$22,MATCH(C73,'Envelope Register'!$A$5:$A$22,0))*(J73-K73),0))</f>
        <v>11</v>
      </c>
      <c r="Q73" s="12" t="n">
        <f aca="false">IF(I73="DEPTH",ROUND(-INDEX('Envelope Register'!$P$5:$P$22,MATCH(C73,'Envelope Register'!$A$5:$A$22,0))*(J73-K73),0),ROUND(INDEX('Envelope Register'!$N$5:$N$22,MATCH(C73,'Envelope Register'!$A$5:$A$22,0))*(J73+K73),0))</f>
        <v>14</v>
      </c>
      <c r="R73" s="12" t="n">
        <f aca="false">COUNTIFS($C$5:$C$112,C73,$D$5:$D$112,D73)</f>
        <v>1</v>
      </c>
      <c r="S73" s="11" t="str">
        <f aca="false">IF(AND(L73&gt;=0,M73&lt;=INDEX('Envelope Register'!$J$5:$J$22,MATCH(C73,'Envelope Register'!$A$5:$A$22,0)),N73&gt;=0,O73&lt;=INDEX('Envelope Register'!$L$5:$L$22,MATCH(C73,'Envelope Register'!$A$5:$A$22,0)),P73&gt;=-INDEX('Envelope Register'!$P$5:$P$22,MATCH(C73,'Envelope Register'!$A$5:$A$22,0)),Q73&lt;=INDEX('Envelope Register'!$N$5:$N$22,MATCH(C73,'Envelope Register'!$A$5:$A$22,0)),L73&lt;M73,N73&lt;O73,P73&lt;Q73,R73=1,U73=1),"PASS","FAIL")</f>
        <v>PASS</v>
      </c>
      <c r="T73" s="11" t="s">
        <v>251</v>
      </c>
      <c r="U73" s="12" t="n">
        <f aca="false">COUNTIF($A$5:$A$112,A73)</f>
        <v>1</v>
      </c>
    </row>
    <row r="74" customFormat="false" ht="15" hidden="false" customHeight="false" outlineLevel="0" collapsed="false">
      <c r="A74" s="11" t="s">
        <v>344</v>
      </c>
      <c r="B74" s="11" t="s">
        <v>147</v>
      </c>
      <c r="C74" s="11" t="s">
        <v>36</v>
      </c>
      <c r="D74" s="11" t="s">
        <v>330</v>
      </c>
      <c r="E74" s="22" t="n">
        <v>0.5</v>
      </c>
      <c r="F74" s="22" t="n">
        <v>0.035</v>
      </c>
      <c r="G74" s="22" t="n">
        <v>0.8</v>
      </c>
      <c r="H74" s="22" t="n">
        <v>0.055</v>
      </c>
      <c r="I74" s="11" t="s">
        <v>250</v>
      </c>
      <c r="J74" s="22" t="n">
        <v>0.45</v>
      </c>
      <c r="K74" s="22" t="n">
        <v>0.045</v>
      </c>
      <c r="L74" s="12" t="n">
        <f aca="false">ROUND(INDEX('Envelope Register'!$J$5:$J$22,MATCH(C74,'Envelope Register'!$A$5:$A$22,0))*(E74-F74),0)</f>
        <v>279</v>
      </c>
      <c r="M74" s="12" t="n">
        <f aca="false">ROUND(INDEX('Envelope Register'!$J$5:$J$22,MATCH(C74,'Envelope Register'!$A$5:$A$22,0))*(E74+F74),0)</f>
        <v>321</v>
      </c>
      <c r="N74" s="12" t="n">
        <f aca="false">ROUND(INDEX('Envelope Register'!$L$5:$L$22,MATCH(C74,'Envelope Register'!$A$5:$A$22,0))*(G74-H74),0)</f>
        <v>447</v>
      </c>
      <c r="O74" s="12" t="n">
        <f aca="false">ROUND(INDEX('Envelope Register'!$L$5:$L$22,MATCH(C74,'Envelope Register'!$A$5:$A$22,0))*(G74+H74),0)</f>
        <v>513</v>
      </c>
      <c r="P74" s="12" t="n">
        <f aca="false">IF(I74="DEPTH",ROUND(-INDEX('Envelope Register'!$P$5:$P$22,MATCH(C74,'Envelope Register'!$A$5:$A$22,0))*(J74+K74),0),ROUND(INDEX('Envelope Register'!$N$5:$N$22,MATCH(C74,'Envelope Register'!$A$5:$A$22,0))*(J74-K74),0))</f>
        <v>14</v>
      </c>
      <c r="Q74" s="12" t="n">
        <f aca="false">IF(I74="DEPTH",ROUND(-INDEX('Envelope Register'!$P$5:$P$22,MATCH(C74,'Envelope Register'!$A$5:$A$22,0))*(J74-K74),0),ROUND(INDEX('Envelope Register'!$N$5:$N$22,MATCH(C74,'Envelope Register'!$A$5:$A$22,0))*(J74+K74),0))</f>
        <v>17</v>
      </c>
      <c r="R74" s="12" t="n">
        <f aca="false">COUNTIFS($C$5:$C$112,C74,$D$5:$D$112,D74)</f>
        <v>1</v>
      </c>
      <c r="S74" s="11" t="str">
        <f aca="false">IF(AND(L74&gt;=0,M74&lt;=INDEX('Envelope Register'!$J$5:$J$22,MATCH(C74,'Envelope Register'!$A$5:$A$22,0)),N74&gt;=0,O74&lt;=INDEX('Envelope Register'!$L$5:$L$22,MATCH(C74,'Envelope Register'!$A$5:$A$22,0)),P74&gt;=-INDEX('Envelope Register'!$P$5:$P$22,MATCH(C74,'Envelope Register'!$A$5:$A$22,0)),Q74&lt;=INDEX('Envelope Register'!$N$5:$N$22,MATCH(C74,'Envelope Register'!$A$5:$A$22,0)),L74&lt;M74,N74&lt;O74,P74&lt;Q74,R74=1,U74=1),"PASS","FAIL")</f>
        <v>PASS</v>
      </c>
      <c r="T74" s="11" t="s">
        <v>251</v>
      </c>
      <c r="U74" s="12" t="n">
        <f aca="false">COUNTIF($A$5:$A$112,A74)</f>
        <v>1</v>
      </c>
    </row>
    <row r="75" customFormat="false" ht="15" hidden="false" customHeight="false" outlineLevel="0" collapsed="false">
      <c r="A75" s="11" t="s">
        <v>345</v>
      </c>
      <c r="B75" s="11" t="s">
        <v>147</v>
      </c>
      <c r="C75" s="11" t="s">
        <v>36</v>
      </c>
      <c r="D75" s="11" t="s">
        <v>332</v>
      </c>
      <c r="E75" s="22" t="n">
        <v>0.85</v>
      </c>
      <c r="F75" s="22" t="n">
        <v>0.035</v>
      </c>
      <c r="G75" s="22" t="n">
        <v>0.2</v>
      </c>
      <c r="H75" s="22" t="n">
        <v>0.055</v>
      </c>
      <c r="I75" s="11" t="s">
        <v>250</v>
      </c>
      <c r="J75" s="22" t="n">
        <v>0.55</v>
      </c>
      <c r="K75" s="22" t="n">
        <v>0.045</v>
      </c>
      <c r="L75" s="12" t="n">
        <f aca="false">ROUND(INDEX('Envelope Register'!$J$5:$J$22,MATCH(C75,'Envelope Register'!$A$5:$A$22,0))*(E75-F75),0)</f>
        <v>489</v>
      </c>
      <c r="M75" s="12" t="n">
        <f aca="false">ROUND(INDEX('Envelope Register'!$J$5:$J$22,MATCH(C75,'Envelope Register'!$A$5:$A$22,0))*(E75+F75),0)</f>
        <v>531</v>
      </c>
      <c r="N75" s="12" t="n">
        <f aca="false">ROUND(INDEX('Envelope Register'!$L$5:$L$22,MATCH(C75,'Envelope Register'!$A$5:$A$22,0))*(G75-H75),0)</f>
        <v>87</v>
      </c>
      <c r="O75" s="12" t="n">
        <f aca="false">ROUND(INDEX('Envelope Register'!$L$5:$L$22,MATCH(C75,'Envelope Register'!$A$5:$A$22,0))*(G75+H75),0)</f>
        <v>153</v>
      </c>
      <c r="P75" s="12" t="n">
        <f aca="false">IF(I75="DEPTH",ROUND(-INDEX('Envelope Register'!$P$5:$P$22,MATCH(C75,'Envelope Register'!$A$5:$A$22,0))*(J75+K75),0),ROUND(INDEX('Envelope Register'!$N$5:$N$22,MATCH(C75,'Envelope Register'!$A$5:$A$22,0))*(J75-K75),0))</f>
        <v>18</v>
      </c>
      <c r="Q75" s="12" t="n">
        <f aca="false">IF(I75="DEPTH",ROUND(-INDEX('Envelope Register'!$P$5:$P$22,MATCH(C75,'Envelope Register'!$A$5:$A$22,0))*(J75-K75),0),ROUND(INDEX('Envelope Register'!$N$5:$N$22,MATCH(C75,'Envelope Register'!$A$5:$A$22,0))*(J75+K75),0))</f>
        <v>21</v>
      </c>
      <c r="R75" s="12" t="n">
        <f aca="false">COUNTIFS($C$5:$C$112,C75,$D$5:$D$112,D75)</f>
        <v>1</v>
      </c>
      <c r="S75" s="11" t="str">
        <f aca="false">IF(AND(L75&gt;=0,M75&lt;=INDEX('Envelope Register'!$J$5:$J$22,MATCH(C75,'Envelope Register'!$A$5:$A$22,0)),N75&gt;=0,O75&lt;=INDEX('Envelope Register'!$L$5:$L$22,MATCH(C75,'Envelope Register'!$A$5:$A$22,0)),P75&gt;=-INDEX('Envelope Register'!$P$5:$P$22,MATCH(C75,'Envelope Register'!$A$5:$A$22,0)),Q75&lt;=INDEX('Envelope Register'!$N$5:$N$22,MATCH(C75,'Envelope Register'!$A$5:$A$22,0)),L75&lt;M75,N75&lt;O75,P75&lt;Q75,R75=1,U75=1),"PASS","FAIL")</f>
        <v>PASS</v>
      </c>
      <c r="T75" s="11" t="s">
        <v>251</v>
      </c>
      <c r="U75" s="12" t="n">
        <f aca="false">COUNTIF($A$5:$A$112,A75)</f>
        <v>1</v>
      </c>
    </row>
    <row r="76" customFormat="false" ht="15" hidden="false" customHeight="false" outlineLevel="0" collapsed="false">
      <c r="A76" s="11" t="s">
        <v>346</v>
      </c>
      <c r="B76" s="11" t="s">
        <v>147</v>
      </c>
      <c r="C76" s="11" t="s">
        <v>36</v>
      </c>
      <c r="D76" s="11" t="s">
        <v>334</v>
      </c>
      <c r="E76" s="22" t="n">
        <v>0.85</v>
      </c>
      <c r="F76" s="22" t="n">
        <v>0.035</v>
      </c>
      <c r="G76" s="22" t="n">
        <v>0.8</v>
      </c>
      <c r="H76" s="22" t="n">
        <v>0.055</v>
      </c>
      <c r="I76" s="11" t="s">
        <v>250</v>
      </c>
      <c r="J76" s="22" t="n">
        <v>0.25</v>
      </c>
      <c r="K76" s="22" t="n">
        <v>0.045</v>
      </c>
      <c r="L76" s="12" t="n">
        <f aca="false">ROUND(INDEX('Envelope Register'!$J$5:$J$22,MATCH(C76,'Envelope Register'!$A$5:$A$22,0))*(E76-F76),0)</f>
        <v>489</v>
      </c>
      <c r="M76" s="12" t="n">
        <f aca="false">ROUND(INDEX('Envelope Register'!$J$5:$J$22,MATCH(C76,'Envelope Register'!$A$5:$A$22,0))*(E76+F76),0)</f>
        <v>531</v>
      </c>
      <c r="N76" s="12" t="n">
        <f aca="false">ROUND(INDEX('Envelope Register'!$L$5:$L$22,MATCH(C76,'Envelope Register'!$A$5:$A$22,0))*(G76-H76),0)</f>
        <v>447</v>
      </c>
      <c r="O76" s="12" t="n">
        <f aca="false">ROUND(INDEX('Envelope Register'!$L$5:$L$22,MATCH(C76,'Envelope Register'!$A$5:$A$22,0))*(G76+H76),0)</f>
        <v>513</v>
      </c>
      <c r="P76" s="12" t="n">
        <f aca="false">IF(I76="DEPTH",ROUND(-INDEX('Envelope Register'!$P$5:$P$22,MATCH(C76,'Envelope Register'!$A$5:$A$22,0))*(J76+K76),0),ROUND(INDEX('Envelope Register'!$N$5:$N$22,MATCH(C76,'Envelope Register'!$A$5:$A$22,0))*(J76-K76),0))</f>
        <v>7</v>
      </c>
      <c r="Q76" s="12" t="n">
        <f aca="false">IF(I76="DEPTH",ROUND(-INDEX('Envelope Register'!$P$5:$P$22,MATCH(C76,'Envelope Register'!$A$5:$A$22,0))*(J76-K76),0),ROUND(INDEX('Envelope Register'!$N$5:$N$22,MATCH(C76,'Envelope Register'!$A$5:$A$22,0))*(J76+K76),0))</f>
        <v>10</v>
      </c>
      <c r="R76" s="12" t="n">
        <f aca="false">COUNTIFS($C$5:$C$112,C76,$D$5:$D$112,D76)</f>
        <v>1</v>
      </c>
      <c r="S76" s="11" t="str">
        <f aca="false">IF(AND(L76&gt;=0,M76&lt;=INDEX('Envelope Register'!$J$5:$J$22,MATCH(C76,'Envelope Register'!$A$5:$A$22,0)),N76&gt;=0,O76&lt;=INDEX('Envelope Register'!$L$5:$L$22,MATCH(C76,'Envelope Register'!$A$5:$A$22,0)),P76&gt;=-INDEX('Envelope Register'!$P$5:$P$22,MATCH(C76,'Envelope Register'!$A$5:$A$22,0)),Q76&lt;=INDEX('Envelope Register'!$N$5:$N$22,MATCH(C76,'Envelope Register'!$A$5:$A$22,0)),L76&lt;M76,N76&lt;O76,P76&lt;Q76,R76=1,U76=1),"PASS","FAIL")</f>
        <v>PASS</v>
      </c>
      <c r="T76" s="11" t="s">
        <v>251</v>
      </c>
      <c r="U76" s="12" t="n">
        <f aca="false">COUNTIF($A$5:$A$112,A76)</f>
        <v>1</v>
      </c>
    </row>
    <row r="77" customFormat="false" ht="15" hidden="false" customHeight="false" outlineLevel="0" collapsed="false">
      <c r="A77" s="11" t="s">
        <v>347</v>
      </c>
      <c r="B77" s="11" t="s">
        <v>160</v>
      </c>
      <c r="C77" s="11" t="s">
        <v>37</v>
      </c>
      <c r="D77" s="11" t="s">
        <v>348</v>
      </c>
      <c r="E77" s="22" t="n">
        <v>0.08</v>
      </c>
      <c r="F77" s="22" t="n">
        <v>0.035</v>
      </c>
      <c r="G77" s="22" t="n">
        <v>0.18</v>
      </c>
      <c r="H77" s="22" t="n">
        <v>0.055</v>
      </c>
      <c r="I77" s="11" t="s">
        <v>250</v>
      </c>
      <c r="J77" s="22" t="n">
        <v>0.1</v>
      </c>
      <c r="K77" s="22" t="n">
        <v>0.045</v>
      </c>
      <c r="L77" s="12" t="n">
        <f aca="false">ROUND(INDEX('Envelope Register'!$J$5:$J$22,MATCH(C77,'Envelope Register'!$A$5:$A$22,0))*(E77-F77),0)</f>
        <v>9</v>
      </c>
      <c r="M77" s="12" t="n">
        <f aca="false">ROUND(INDEX('Envelope Register'!$J$5:$J$22,MATCH(C77,'Envelope Register'!$A$5:$A$22,0))*(E77+F77),0)</f>
        <v>23</v>
      </c>
      <c r="N77" s="12" t="n">
        <f aca="false">ROUND(INDEX('Envelope Register'!$L$5:$L$22,MATCH(C77,'Envelope Register'!$A$5:$A$22,0))*(G77-H77),0)</f>
        <v>25</v>
      </c>
      <c r="O77" s="12" t="n">
        <f aca="false">ROUND(INDEX('Envelope Register'!$L$5:$L$22,MATCH(C77,'Envelope Register'!$A$5:$A$22,0))*(G77+H77),0)</f>
        <v>47</v>
      </c>
      <c r="P77" s="12" t="n">
        <f aca="false">IF(I77="DEPTH",ROUND(-INDEX('Envelope Register'!$P$5:$P$22,MATCH(C77,'Envelope Register'!$A$5:$A$22,0))*(J77+K77),0),ROUND(INDEX('Envelope Register'!$N$5:$N$22,MATCH(C77,'Envelope Register'!$A$5:$A$22,0))*(J77-K77),0))</f>
        <v>1</v>
      </c>
      <c r="Q77" s="12" t="n">
        <f aca="false">IF(I77="DEPTH",ROUND(-INDEX('Envelope Register'!$P$5:$P$22,MATCH(C77,'Envelope Register'!$A$5:$A$22,0))*(J77-K77),0),ROUND(INDEX('Envelope Register'!$N$5:$N$22,MATCH(C77,'Envelope Register'!$A$5:$A$22,0))*(J77+K77),0))</f>
        <v>2</v>
      </c>
      <c r="R77" s="12" t="n">
        <f aca="false">COUNTIFS($C$5:$C$112,C77,$D$5:$D$112,D77)</f>
        <v>1</v>
      </c>
      <c r="S77" s="11" t="str">
        <f aca="false">IF(AND(L77&gt;=0,M77&lt;=INDEX('Envelope Register'!$J$5:$J$22,MATCH(C77,'Envelope Register'!$A$5:$A$22,0)),N77&gt;=0,O77&lt;=INDEX('Envelope Register'!$L$5:$L$22,MATCH(C77,'Envelope Register'!$A$5:$A$22,0)),P77&gt;=-INDEX('Envelope Register'!$P$5:$P$22,MATCH(C77,'Envelope Register'!$A$5:$A$22,0)),Q77&lt;=INDEX('Envelope Register'!$N$5:$N$22,MATCH(C77,'Envelope Register'!$A$5:$A$22,0)),L77&lt;M77,N77&lt;O77,P77&lt;Q77,R77=1,U77=1),"PASS","FAIL")</f>
        <v>PASS</v>
      </c>
      <c r="T77" s="11" t="s">
        <v>251</v>
      </c>
      <c r="U77" s="12" t="n">
        <f aca="false">COUNTIF($A$5:$A$112,A77)</f>
        <v>1</v>
      </c>
    </row>
    <row r="78" customFormat="false" ht="15" hidden="false" customHeight="false" outlineLevel="0" collapsed="false">
      <c r="A78" s="11" t="s">
        <v>349</v>
      </c>
      <c r="B78" s="11" t="s">
        <v>160</v>
      </c>
      <c r="C78" s="11" t="s">
        <v>37</v>
      </c>
      <c r="D78" s="11" t="s">
        <v>350</v>
      </c>
      <c r="E78" s="22" t="n">
        <v>0.25</v>
      </c>
      <c r="F78" s="22" t="n">
        <v>0.035</v>
      </c>
      <c r="G78" s="22" t="n">
        <v>0.18</v>
      </c>
      <c r="H78" s="22" t="n">
        <v>0.055</v>
      </c>
      <c r="I78" s="11" t="s">
        <v>250</v>
      </c>
      <c r="J78" s="22" t="n">
        <v>0.42</v>
      </c>
      <c r="K78" s="22" t="n">
        <v>0.045</v>
      </c>
      <c r="L78" s="12" t="n">
        <f aca="false">ROUND(INDEX('Envelope Register'!$J$5:$J$22,MATCH(C78,'Envelope Register'!$A$5:$A$22,0))*(E78-F78),0)</f>
        <v>43</v>
      </c>
      <c r="M78" s="12" t="n">
        <f aca="false">ROUND(INDEX('Envelope Register'!$J$5:$J$22,MATCH(C78,'Envelope Register'!$A$5:$A$22,0))*(E78+F78),0)</f>
        <v>57</v>
      </c>
      <c r="N78" s="12" t="n">
        <f aca="false">ROUND(INDEX('Envelope Register'!$L$5:$L$22,MATCH(C78,'Envelope Register'!$A$5:$A$22,0))*(G78-H78),0)</f>
        <v>25</v>
      </c>
      <c r="O78" s="12" t="n">
        <f aca="false">ROUND(INDEX('Envelope Register'!$L$5:$L$22,MATCH(C78,'Envelope Register'!$A$5:$A$22,0))*(G78+H78),0)</f>
        <v>47</v>
      </c>
      <c r="P78" s="12" t="n">
        <f aca="false">IF(I78="DEPTH",ROUND(-INDEX('Envelope Register'!$P$5:$P$22,MATCH(C78,'Envelope Register'!$A$5:$A$22,0))*(J78+K78),0),ROUND(INDEX('Envelope Register'!$N$5:$N$22,MATCH(C78,'Envelope Register'!$A$5:$A$22,0))*(J78-K78),0))</f>
        <v>5</v>
      </c>
      <c r="Q78" s="12" t="n">
        <f aca="false">IF(I78="DEPTH",ROUND(-INDEX('Envelope Register'!$P$5:$P$22,MATCH(C78,'Envelope Register'!$A$5:$A$22,0))*(J78-K78),0),ROUND(INDEX('Envelope Register'!$N$5:$N$22,MATCH(C78,'Envelope Register'!$A$5:$A$22,0))*(J78+K78),0))</f>
        <v>6</v>
      </c>
      <c r="R78" s="12" t="n">
        <f aca="false">COUNTIFS($C$5:$C$112,C78,$D$5:$D$112,D78)</f>
        <v>1</v>
      </c>
      <c r="S78" s="11" t="str">
        <f aca="false">IF(AND(L78&gt;=0,M78&lt;=INDEX('Envelope Register'!$J$5:$J$22,MATCH(C78,'Envelope Register'!$A$5:$A$22,0)),N78&gt;=0,O78&lt;=INDEX('Envelope Register'!$L$5:$L$22,MATCH(C78,'Envelope Register'!$A$5:$A$22,0)),P78&gt;=-INDEX('Envelope Register'!$P$5:$P$22,MATCH(C78,'Envelope Register'!$A$5:$A$22,0)),Q78&lt;=INDEX('Envelope Register'!$N$5:$N$22,MATCH(C78,'Envelope Register'!$A$5:$A$22,0)),L78&lt;M78,N78&lt;O78,P78&lt;Q78,R78=1,U78=1),"PASS","FAIL")</f>
        <v>PASS</v>
      </c>
      <c r="T78" s="11" t="s">
        <v>251</v>
      </c>
      <c r="U78" s="12" t="n">
        <f aca="false">COUNTIF($A$5:$A$112,A78)</f>
        <v>1</v>
      </c>
    </row>
    <row r="79" customFormat="false" ht="15" hidden="false" customHeight="false" outlineLevel="0" collapsed="false">
      <c r="A79" s="11" t="s">
        <v>351</v>
      </c>
      <c r="B79" s="11" t="s">
        <v>160</v>
      </c>
      <c r="C79" s="11" t="s">
        <v>37</v>
      </c>
      <c r="D79" s="11" t="s">
        <v>352</v>
      </c>
      <c r="E79" s="22" t="n">
        <v>0.42</v>
      </c>
      <c r="F79" s="22" t="n">
        <v>0.035</v>
      </c>
      <c r="G79" s="22" t="n">
        <v>0.82</v>
      </c>
      <c r="H79" s="22" t="n">
        <v>0.055</v>
      </c>
      <c r="I79" s="11" t="s">
        <v>250</v>
      </c>
      <c r="J79" s="22" t="n">
        <v>0.55</v>
      </c>
      <c r="K79" s="22" t="n">
        <v>0.045</v>
      </c>
      <c r="L79" s="12" t="n">
        <f aca="false">ROUND(INDEX('Envelope Register'!$J$5:$J$22,MATCH(C79,'Envelope Register'!$A$5:$A$22,0))*(E79-F79),0)</f>
        <v>77</v>
      </c>
      <c r="M79" s="12" t="n">
        <f aca="false">ROUND(INDEX('Envelope Register'!$J$5:$J$22,MATCH(C79,'Envelope Register'!$A$5:$A$22,0))*(E79+F79),0)</f>
        <v>91</v>
      </c>
      <c r="N79" s="12" t="n">
        <f aca="false">ROUND(INDEX('Envelope Register'!$L$5:$L$22,MATCH(C79,'Envelope Register'!$A$5:$A$22,0))*(G79-H79),0)</f>
        <v>153</v>
      </c>
      <c r="O79" s="12" t="n">
        <f aca="false">ROUND(INDEX('Envelope Register'!$L$5:$L$22,MATCH(C79,'Envelope Register'!$A$5:$A$22,0))*(G79+H79),0)</f>
        <v>175</v>
      </c>
      <c r="P79" s="12" t="n">
        <f aca="false">IF(I79="DEPTH",ROUND(-INDEX('Envelope Register'!$P$5:$P$22,MATCH(C79,'Envelope Register'!$A$5:$A$22,0))*(J79+K79),0),ROUND(INDEX('Envelope Register'!$N$5:$N$22,MATCH(C79,'Envelope Register'!$A$5:$A$22,0))*(J79-K79),0))</f>
        <v>6</v>
      </c>
      <c r="Q79" s="12" t="n">
        <f aca="false">IF(I79="DEPTH",ROUND(-INDEX('Envelope Register'!$P$5:$P$22,MATCH(C79,'Envelope Register'!$A$5:$A$22,0))*(J79-K79),0),ROUND(INDEX('Envelope Register'!$N$5:$N$22,MATCH(C79,'Envelope Register'!$A$5:$A$22,0))*(J79+K79),0))</f>
        <v>7</v>
      </c>
      <c r="R79" s="12" t="n">
        <f aca="false">COUNTIFS($C$5:$C$112,C79,$D$5:$D$112,D79)</f>
        <v>1</v>
      </c>
      <c r="S79" s="11" t="str">
        <f aca="false">IF(AND(L79&gt;=0,M79&lt;=INDEX('Envelope Register'!$J$5:$J$22,MATCH(C79,'Envelope Register'!$A$5:$A$22,0)),N79&gt;=0,O79&lt;=INDEX('Envelope Register'!$L$5:$L$22,MATCH(C79,'Envelope Register'!$A$5:$A$22,0)),P79&gt;=-INDEX('Envelope Register'!$P$5:$P$22,MATCH(C79,'Envelope Register'!$A$5:$A$22,0)),Q79&lt;=INDEX('Envelope Register'!$N$5:$N$22,MATCH(C79,'Envelope Register'!$A$5:$A$22,0)),L79&lt;M79,N79&lt;O79,P79&lt;Q79,R79=1,U79=1),"PASS","FAIL")</f>
        <v>PASS</v>
      </c>
      <c r="T79" s="11" t="s">
        <v>251</v>
      </c>
      <c r="U79" s="12" t="n">
        <f aca="false">COUNTIF($A$5:$A$112,A79)</f>
        <v>1</v>
      </c>
    </row>
    <row r="80" customFormat="false" ht="15" hidden="false" customHeight="false" outlineLevel="0" collapsed="false">
      <c r="A80" s="11" t="s">
        <v>353</v>
      </c>
      <c r="B80" s="11" t="s">
        <v>160</v>
      </c>
      <c r="C80" s="11" t="s">
        <v>37</v>
      </c>
      <c r="D80" s="11" t="s">
        <v>354</v>
      </c>
      <c r="E80" s="22" t="n">
        <v>0.58</v>
      </c>
      <c r="F80" s="22" t="n">
        <v>0.035</v>
      </c>
      <c r="G80" s="22" t="n">
        <v>0.82</v>
      </c>
      <c r="H80" s="22" t="n">
        <v>0.055</v>
      </c>
      <c r="I80" s="11" t="s">
        <v>250</v>
      </c>
      <c r="J80" s="22" t="n">
        <v>0.28</v>
      </c>
      <c r="K80" s="22" t="n">
        <v>0.045</v>
      </c>
      <c r="L80" s="12" t="n">
        <f aca="false">ROUND(INDEX('Envelope Register'!$J$5:$J$22,MATCH(C80,'Envelope Register'!$A$5:$A$22,0))*(E80-F80),0)</f>
        <v>109</v>
      </c>
      <c r="M80" s="12" t="n">
        <f aca="false">ROUND(INDEX('Envelope Register'!$J$5:$J$22,MATCH(C80,'Envelope Register'!$A$5:$A$22,0))*(E80+F80),0)</f>
        <v>123</v>
      </c>
      <c r="N80" s="12" t="n">
        <f aca="false">ROUND(INDEX('Envelope Register'!$L$5:$L$22,MATCH(C80,'Envelope Register'!$A$5:$A$22,0))*(G80-H80),0)</f>
        <v>153</v>
      </c>
      <c r="O80" s="12" t="n">
        <f aca="false">ROUND(INDEX('Envelope Register'!$L$5:$L$22,MATCH(C80,'Envelope Register'!$A$5:$A$22,0))*(G80+H80),0)</f>
        <v>175</v>
      </c>
      <c r="P80" s="12" t="n">
        <f aca="false">IF(I80="DEPTH",ROUND(-INDEX('Envelope Register'!$P$5:$P$22,MATCH(C80,'Envelope Register'!$A$5:$A$22,0))*(J80+K80),0),ROUND(INDEX('Envelope Register'!$N$5:$N$22,MATCH(C80,'Envelope Register'!$A$5:$A$22,0))*(J80-K80),0))</f>
        <v>3</v>
      </c>
      <c r="Q80" s="12" t="n">
        <f aca="false">IF(I80="DEPTH",ROUND(-INDEX('Envelope Register'!$P$5:$P$22,MATCH(C80,'Envelope Register'!$A$5:$A$22,0))*(J80-K80),0),ROUND(INDEX('Envelope Register'!$N$5:$N$22,MATCH(C80,'Envelope Register'!$A$5:$A$22,0))*(J80+K80),0))</f>
        <v>4</v>
      </c>
      <c r="R80" s="12" t="n">
        <f aca="false">COUNTIFS($C$5:$C$112,C80,$D$5:$D$112,D80)</f>
        <v>1</v>
      </c>
      <c r="S80" s="11" t="str">
        <f aca="false">IF(AND(L80&gt;=0,M80&lt;=INDEX('Envelope Register'!$J$5:$J$22,MATCH(C80,'Envelope Register'!$A$5:$A$22,0)),N80&gt;=0,O80&lt;=INDEX('Envelope Register'!$L$5:$L$22,MATCH(C80,'Envelope Register'!$A$5:$A$22,0)),P80&gt;=-INDEX('Envelope Register'!$P$5:$P$22,MATCH(C80,'Envelope Register'!$A$5:$A$22,0)),Q80&lt;=INDEX('Envelope Register'!$N$5:$N$22,MATCH(C80,'Envelope Register'!$A$5:$A$22,0)),L80&lt;M80,N80&lt;O80,P80&lt;Q80,R80=1,U80=1),"PASS","FAIL")</f>
        <v>PASS</v>
      </c>
      <c r="T80" s="11" t="s">
        <v>251</v>
      </c>
      <c r="U80" s="12" t="n">
        <f aca="false">COUNTIF($A$5:$A$112,A80)</f>
        <v>1</v>
      </c>
    </row>
    <row r="81" customFormat="false" ht="15" hidden="false" customHeight="false" outlineLevel="0" collapsed="false">
      <c r="A81" s="11" t="s">
        <v>355</v>
      </c>
      <c r="B81" s="11" t="s">
        <v>160</v>
      </c>
      <c r="C81" s="11" t="s">
        <v>37</v>
      </c>
      <c r="D81" s="11" t="s">
        <v>356</v>
      </c>
      <c r="E81" s="22" t="n">
        <v>0.76</v>
      </c>
      <c r="F81" s="22" t="n">
        <v>0.035</v>
      </c>
      <c r="G81" s="22" t="n">
        <v>0.25</v>
      </c>
      <c r="H81" s="22" t="n">
        <v>0.055</v>
      </c>
      <c r="I81" s="11" t="s">
        <v>250</v>
      </c>
      <c r="J81" s="22" t="n">
        <v>0.18</v>
      </c>
      <c r="K81" s="22" t="n">
        <v>0.045</v>
      </c>
      <c r="L81" s="12" t="n">
        <f aca="false">ROUND(INDEX('Envelope Register'!$J$5:$J$22,MATCH(C81,'Envelope Register'!$A$5:$A$22,0))*(E81-F81),0)</f>
        <v>145</v>
      </c>
      <c r="M81" s="12" t="n">
        <f aca="false">ROUND(INDEX('Envelope Register'!$J$5:$J$22,MATCH(C81,'Envelope Register'!$A$5:$A$22,0))*(E81+F81),0)</f>
        <v>159</v>
      </c>
      <c r="N81" s="12" t="n">
        <f aca="false">ROUND(INDEX('Envelope Register'!$L$5:$L$22,MATCH(C81,'Envelope Register'!$A$5:$A$22,0))*(G81-H81),0)</f>
        <v>39</v>
      </c>
      <c r="O81" s="12" t="n">
        <f aca="false">ROUND(INDEX('Envelope Register'!$L$5:$L$22,MATCH(C81,'Envelope Register'!$A$5:$A$22,0))*(G81+H81),0)</f>
        <v>61</v>
      </c>
      <c r="P81" s="12" t="n">
        <f aca="false">IF(I81="DEPTH",ROUND(-INDEX('Envelope Register'!$P$5:$P$22,MATCH(C81,'Envelope Register'!$A$5:$A$22,0))*(J81+K81),0),ROUND(INDEX('Envelope Register'!$N$5:$N$22,MATCH(C81,'Envelope Register'!$A$5:$A$22,0))*(J81-K81),0))</f>
        <v>2</v>
      </c>
      <c r="Q81" s="12" t="n">
        <f aca="false">IF(I81="DEPTH",ROUND(-INDEX('Envelope Register'!$P$5:$P$22,MATCH(C81,'Envelope Register'!$A$5:$A$22,0))*(J81-K81),0),ROUND(INDEX('Envelope Register'!$N$5:$N$22,MATCH(C81,'Envelope Register'!$A$5:$A$22,0))*(J81+K81),0))</f>
        <v>3</v>
      </c>
      <c r="R81" s="12" t="n">
        <f aca="false">COUNTIFS($C$5:$C$112,C81,$D$5:$D$112,D81)</f>
        <v>1</v>
      </c>
      <c r="S81" s="11" t="str">
        <f aca="false">IF(AND(L81&gt;=0,M81&lt;=INDEX('Envelope Register'!$J$5:$J$22,MATCH(C81,'Envelope Register'!$A$5:$A$22,0)),N81&gt;=0,O81&lt;=INDEX('Envelope Register'!$L$5:$L$22,MATCH(C81,'Envelope Register'!$A$5:$A$22,0)),P81&gt;=-INDEX('Envelope Register'!$P$5:$P$22,MATCH(C81,'Envelope Register'!$A$5:$A$22,0)),Q81&lt;=INDEX('Envelope Register'!$N$5:$N$22,MATCH(C81,'Envelope Register'!$A$5:$A$22,0)),L81&lt;M81,N81&lt;O81,P81&lt;Q81,R81=1,U81=1),"PASS","FAIL")</f>
        <v>PASS</v>
      </c>
      <c r="T81" s="11" t="s">
        <v>251</v>
      </c>
      <c r="U81" s="12" t="n">
        <f aca="false">COUNTIF($A$5:$A$112,A81)</f>
        <v>1</v>
      </c>
    </row>
    <row r="82" customFormat="false" ht="15" hidden="false" customHeight="false" outlineLevel="0" collapsed="false">
      <c r="A82" s="11" t="s">
        <v>357</v>
      </c>
      <c r="B82" s="11" t="s">
        <v>160</v>
      </c>
      <c r="C82" s="11" t="s">
        <v>37</v>
      </c>
      <c r="D82" s="11" t="s">
        <v>358</v>
      </c>
      <c r="E82" s="22" t="n">
        <v>0.92</v>
      </c>
      <c r="F82" s="22" t="n">
        <v>0.035</v>
      </c>
      <c r="G82" s="22" t="n">
        <v>0.75</v>
      </c>
      <c r="H82" s="22" t="n">
        <v>0.055</v>
      </c>
      <c r="I82" s="11" t="s">
        <v>250</v>
      </c>
      <c r="J82" s="22" t="n">
        <v>0.08</v>
      </c>
      <c r="K82" s="22" t="n">
        <v>0.045</v>
      </c>
      <c r="L82" s="12" t="n">
        <f aca="false">ROUND(INDEX('Envelope Register'!$J$5:$J$22,MATCH(C82,'Envelope Register'!$A$5:$A$22,0))*(E82-F82),0)</f>
        <v>177</v>
      </c>
      <c r="M82" s="12" t="n">
        <f aca="false">ROUND(INDEX('Envelope Register'!$J$5:$J$22,MATCH(C82,'Envelope Register'!$A$5:$A$22,0))*(E82+F82),0)</f>
        <v>191</v>
      </c>
      <c r="N82" s="12" t="n">
        <f aca="false">ROUND(INDEX('Envelope Register'!$L$5:$L$22,MATCH(C82,'Envelope Register'!$A$5:$A$22,0))*(G82-H82),0)</f>
        <v>139</v>
      </c>
      <c r="O82" s="12" t="n">
        <f aca="false">ROUND(INDEX('Envelope Register'!$L$5:$L$22,MATCH(C82,'Envelope Register'!$A$5:$A$22,0))*(G82+H82),0)</f>
        <v>161</v>
      </c>
      <c r="P82" s="12" t="n">
        <f aca="false">IF(I82="DEPTH",ROUND(-INDEX('Envelope Register'!$P$5:$P$22,MATCH(C82,'Envelope Register'!$A$5:$A$22,0))*(J82+K82),0),ROUND(INDEX('Envelope Register'!$N$5:$N$22,MATCH(C82,'Envelope Register'!$A$5:$A$22,0))*(J82-K82),0))</f>
        <v>0</v>
      </c>
      <c r="Q82" s="12" t="n">
        <f aca="false">IF(I82="DEPTH",ROUND(-INDEX('Envelope Register'!$P$5:$P$22,MATCH(C82,'Envelope Register'!$A$5:$A$22,0))*(J82-K82),0),ROUND(INDEX('Envelope Register'!$N$5:$N$22,MATCH(C82,'Envelope Register'!$A$5:$A$22,0))*(J82+K82),0))</f>
        <v>2</v>
      </c>
      <c r="R82" s="12" t="n">
        <f aca="false">COUNTIFS($C$5:$C$112,C82,$D$5:$D$112,D82)</f>
        <v>1</v>
      </c>
      <c r="S82" s="11" t="str">
        <f aca="false">IF(AND(L82&gt;=0,M82&lt;=INDEX('Envelope Register'!$J$5:$J$22,MATCH(C82,'Envelope Register'!$A$5:$A$22,0)),N82&gt;=0,O82&lt;=INDEX('Envelope Register'!$L$5:$L$22,MATCH(C82,'Envelope Register'!$A$5:$A$22,0)),P82&gt;=-INDEX('Envelope Register'!$P$5:$P$22,MATCH(C82,'Envelope Register'!$A$5:$A$22,0)),Q82&lt;=INDEX('Envelope Register'!$N$5:$N$22,MATCH(C82,'Envelope Register'!$A$5:$A$22,0)),L82&lt;M82,N82&lt;O82,P82&lt;Q82,R82=1,U82=1),"PASS","FAIL")</f>
        <v>PASS</v>
      </c>
      <c r="T82" s="11" t="s">
        <v>251</v>
      </c>
      <c r="U82" s="12" t="n">
        <f aca="false">COUNTIF($A$5:$A$112,A82)</f>
        <v>1</v>
      </c>
    </row>
    <row r="83" customFormat="false" ht="15" hidden="false" customHeight="false" outlineLevel="0" collapsed="false">
      <c r="A83" s="11" t="s">
        <v>359</v>
      </c>
      <c r="B83" s="11" t="s">
        <v>160</v>
      </c>
      <c r="C83" s="11" t="s">
        <v>38</v>
      </c>
      <c r="D83" s="11" t="s">
        <v>348</v>
      </c>
      <c r="E83" s="22" t="n">
        <v>0.06</v>
      </c>
      <c r="F83" s="22" t="n">
        <v>0.035</v>
      </c>
      <c r="G83" s="22" t="n">
        <v>0.5</v>
      </c>
      <c r="H83" s="22" t="n">
        <v>0.055</v>
      </c>
      <c r="I83" s="11" t="s">
        <v>250</v>
      </c>
      <c r="J83" s="22" t="n">
        <v>0.1</v>
      </c>
      <c r="K83" s="22" t="n">
        <v>0.045</v>
      </c>
      <c r="L83" s="12" t="n">
        <f aca="false">ROUND(INDEX('Envelope Register'!$J$5:$J$22,MATCH(C83,'Envelope Register'!$A$5:$A$22,0))*(E83-F83),0)</f>
        <v>9</v>
      </c>
      <c r="M83" s="12" t="n">
        <f aca="false">ROUND(INDEX('Envelope Register'!$J$5:$J$22,MATCH(C83,'Envelope Register'!$A$5:$A$22,0))*(E83+F83),0)</f>
        <v>33</v>
      </c>
      <c r="N83" s="12" t="n">
        <f aca="false">ROUND(INDEX('Envelope Register'!$L$5:$L$22,MATCH(C83,'Envelope Register'!$A$5:$A$22,0))*(G83-H83),0)</f>
        <v>36</v>
      </c>
      <c r="O83" s="12" t="n">
        <f aca="false">ROUND(INDEX('Envelope Register'!$L$5:$L$22,MATCH(C83,'Envelope Register'!$A$5:$A$22,0))*(G83+H83),0)</f>
        <v>44</v>
      </c>
      <c r="P83" s="12" t="n">
        <f aca="false">IF(I83="DEPTH",ROUND(-INDEX('Envelope Register'!$P$5:$P$22,MATCH(C83,'Envelope Register'!$A$5:$A$22,0))*(J83+K83),0),ROUND(INDEX('Envelope Register'!$N$5:$N$22,MATCH(C83,'Envelope Register'!$A$5:$A$22,0))*(J83-K83),0))</f>
        <v>1</v>
      </c>
      <c r="Q83" s="12" t="n">
        <f aca="false">IF(I83="DEPTH",ROUND(-INDEX('Envelope Register'!$P$5:$P$22,MATCH(C83,'Envelope Register'!$A$5:$A$22,0))*(J83-K83),0),ROUND(INDEX('Envelope Register'!$N$5:$N$22,MATCH(C83,'Envelope Register'!$A$5:$A$22,0))*(J83+K83),0))</f>
        <v>2</v>
      </c>
      <c r="R83" s="12" t="n">
        <f aca="false">COUNTIFS($C$5:$C$112,C83,$D$5:$D$112,D83)</f>
        <v>1</v>
      </c>
      <c r="S83" s="11" t="str">
        <f aca="false">IF(AND(L83&gt;=0,M83&lt;=INDEX('Envelope Register'!$J$5:$J$22,MATCH(C83,'Envelope Register'!$A$5:$A$22,0)),N83&gt;=0,O83&lt;=INDEX('Envelope Register'!$L$5:$L$22,MATCH(C83,'Envelope Register'!$A$5:$A$22,0)),P83&gt;=-INDEX('Envelope Register'!$P$5:$P$22,MATCH(C83,'Envelope Register'!$A$5:$A$22,0)),Q83&lt;=INDEX('Envelope Register'!$N$5:$N$22,MATCH(C83,'Envelope Register'!$A$5:$A$22,0)),L83&lt;M83,N83&lt;O83,P83&lt;Q83,R83=1,U83=1),"PASS","FAIL")</f>
        <v>PASS</v>
      </c>
      <c r="T83" s="11" t="s">
        <v>251</v>
      </c>
      <c r="U83" s="12" t="n">
        <f aca="false">COUNTIF($A$5:$A$112,A83)</f>
        <v>1</v>
      </c>
    </row>
    <row r="84" customFormat="false" ht="15" hidden="false" customHeight="false" outlineLevel="0" collapsed="false">
      <c r="A84" s="11" t="s">
        <v>360</v>
      </c>
      <c r="B84" s="11" t="s">
        <v>160</v>
      </c>
      <c r="C84" s="11" t="s">
        <v>38</v>
      </c>
      <c r="D84" s="11" t="s">
        <v>350</v>
      </c>
      <c r="E84" s="22" t="n">
        <v>0.22</v>
      </c>
      <c r="F84" s="22" t="n">
        <v>0.035</v>
      </c>
      <c r="G84" s="22" t="n">
        <v>0.28</v>
      </c>
      <c r="H84" s="22" t="n">
        <v>0.055</v>
      </c>
      <c r="I84" s="11" t="s">
        <v>250</v>
      </c>
      <c r="J84" s="22" t="n">
        <v>0.42</v>
      </c>
      <c r="K84" s="22" t="n">
        <v>0.045</v>
      </c>
      <c r="L84" s="12" t="n">
        <f aca="false">ROUND(INDEX('Envelope Register'!$J$5:$J$22,MATCH(C84,'Envelope Register'!$A$5:$A$22,0))*(E84-F84),0)</f>
        <v>65</v>
      </c>
      <c r="M84" s="12" t="n">
        <f aca="false">ROUND(INDEX('Envelope Register'!$J$5:$J$22,MATCH(C84,'Envelope Register'!$A$5:$A$22,0))*(E84+F84),0)</f>
        <v>89</v>
      </c>
      <c r="N84" s="12" t="n">
        <f aca="false">ROUND(INDEX('Envelope Register'!$L$5:$L$22,MATCH(C84,'Envelope Register'!$A$5:$A$22,0))*(G84-H84),0)</f>
        <v>18</v>
      </c>
      <c r="O84" s="12" t="n">
        <f aca="false">ROUND(INDEX('Envelope Register'!$L$5:$L$22,MATCH(C84,'Envelope Register'!$A$5:$A$22,0))*(G84+H84),0)</f>
        <v>27</v>
      </c>
      <c r="P84" s="12" t="n">
        <f aca="false">IF(I84="DEPTH",ROUND(-INDEX('Envelope Register'!$P$5:$P$22,MATCH(C84,'Envelope Register'!$A$5:$A$22,0))*(J84+K84),0),ROUND(INDEX('Envelope Register'!$N$5:$N$22,MATCH(C84,'Envelope Register'!$A$5:$A$22,0))*(J84-K84),0))</f>
        <v>5</v>
      </c>
      <c r="Q84" s="12" t="n">
        <f aca="false">IF(I84="DEPTH",ROUND(-INDEX('Envelope Register'!$P$5:$P$22,MATCH(C84,'Envelope Register'!$A$5:$A$22,0))*(J84-K84),0),ROUND(INDEX('Envelope Register'!$N$5:$N$22,MATCH(C84,'Envelope Register'!$A$5:$A$22,0))*(J84+K84),0))</f>
        <v>6</v>
      </c>
      <c r="R84" s="12" t="n">
        <f aca="false">COUNTIFS($C$5:$C$112,C84,$D$5:$D$112,D84)</f>
        <v>1</v>
      </c>
      <c r="S84" s="11" t="str">
        <f aca="false">IF(AND(L84&gt;=0,M84&lt;=INDEX('Envelope Register'!$J$5:$J$22,MATCH(C84,'Envelope Register'!$A$5:$A$22,0)),N84&gt;=0,O84&lt;=INDEX('Envelope Register'!$L$5:$L$22,MATCH(C84,'Envelope Register'!$A$5:$A$22,0)),P84&gt;=-INDEX('Envelope Register'!$P$5:$P$22,MATCH(C84,'Envelope Register'!$A$5:$A$22,0)),Q84&lt;=INDEX('Envelope Register'!$N$5:$N$22,MATCH(C84,'Envelope Register'!$A$5:$A$22,0)),L84&lt;M84,N84&lt;O84,P84&lt;Q84,R84=1,U84=1),"PASS","FAIL")</f>
        <v>PASS</v>
      </c>
      <c r="T84" s="11" t="s">
        <v>251</v>
      </c>
      <c r="U84" s="12" t="n">
        <f aca="false">COUNTIF($A$5:$A$112,A84)</f>
        <v>1</v>
      </c>
    </row>
    <row r="85" customFormat="false" ht="15" hidden="false" customHeight="false" outlineLevel="0" collapsed="false">
      <c r="A85" s="11" t="s">
        <v>361</v>
      </c>
      <c r="B85" s="11" t="s">
        <v>160</v>
      </c>
      <c r="C85" s="11" t="s">
        <v>38</v>
      </c>
      <c r="D85" s="11" t="s">
        <v>352</v>
      </c>
      <c r="E85" s="22" t="n">
        <v>0.4</v>
      </c>
      <c r="F85" s="22" t="n">
        <v>0.035</v>
      </c>
      <c r="G85" s="22" t="n">
        <v>0.72</v>
      </c>
      <c r="H85" s="22" t="n">
        <v>0.055</v>
      </c>
      <c r="I85" s="11" t="s">
        <v>250</v>
      </c>
      <c r="J85" s="22" t="n">
        <v>0.55</v>
      </c>
      <c r="K85" s="22" t="n">
        <v>0.045</v>
      </c>
      <c r="L85" s="12" t="n">
        <f aca="false">ROUND(INDEX('Envelope Register'!$J$5:$J$22,MATCH(C85,'Envelope Register'!$A$5:$A$22,0))*(E85-F85),0)</f>
        <v>128</v>
      </c>
      <c r="M85" s="12" t="n">
        <f aca="false">ROUND(INDEX('Envelope Register'!$J$5:$J$22,MATCH(C85,'Envelope Register'!$A$5:$A$22,0))*(E85+F85),0)</f>
        <v>152</v>
      </c>
      <c r="N85" s="12" t="n">
        <f aca="false">ROUND(INDEX('Envelope Register'!$L$5:$L$22,MATCH(C85,'Envelope Register'!$A$5:$A$22,0))*(G85-H85),0)</f>
        <v>53</v>
      </c>
      <c r="O85" s="12" t="n">
        <f aca="false">ROUND(INDEX('Envelope Register'!$L$5:$L$22,MATCH(C85,'Envelope Register'!$A$5:$A$22,0))*(G85+H85),0)</f>
        <v>62</v>
      </c>
      <c r="P85" s="12" t="n">
        <f aca="false">IF(I85="DEPTH",ROUND(-INDEX('Envelope Register'!$P$5:$P$22,MATCH(C85,'Envelope Register'!$A$5:$A$22,0))*(J85+K85),0),ROUND(INDEX('Envelope Register'!$N$5:$N$22,MATCH(C85,'Envelope Register'!$A$5:$A$22,0))*(J85-K85),0))</f>
        <v>6</v>
      </c>
      <c r="Q85" s="12" t="n">
        <f aca="false">IF(I85="DEPTH",ROUND(-INDEX('Envelope Register'!$P$5:$P$22,MATCH(C85,'Envelope Register'!$A$5:$A$22,0))*(J85-K85),0),ROUND(INDEX('Envelope Register'!$N$5:$N$22,MATCH(C85,'Envelope Register'!$A$5:$A$22,0))*(J85+K85),0))</f>
        <v>7</v>
      </c>
      <c r="R85" s="12" t="n">
        <f aca="false">COUNTIFS($C$5:$C$112,C85,$D$5:$D$112,D85)</f>
        <v>1</v>
      </c>
      <c r="S85" s="11" t="str">
        <f aca="false">IF(AND(L85&gt;=0,M85&lt;=INDEX('Envelope Register'!$J$5:$J$22,MATCH(C85,'Envelope Register'!$A$5:$A$22,0)),N85&gt;=0,O85&lt;=INDEX('Envelope Register'!$L$5:$L$22,MATCH(C85,'Envelope Register'!$A$5:$A$22,0)),P85&gt;=-INDEX('Envelope Register'!$P$5:$P$22,MATCH(C85,'Envelope Register'!$A$5:$A$22,0)),Q85&lt;=INDEX('Envelope Register'!$N$5:$N$22,MATCH(C85,'Envelope Register'!$A$5:$A$22,0)),L85&lt;M85,N85&lt;O85,P85&lt;Q85,R85=1,U85=1),"PASS","FAIL")</f>
        <v>PASS</v>
      </c>
      <c r="T85" s="11" t="s">
        <v>251</v>
      </c>
      <c r="U85" s="12" t="n">
        <f aca="false">COUNTIF($A$5:$A$112,A85)</f>
        <v>1</v>
      </c>
    </row>
    <row r="86" customFormat="false" ht="15" hidden="false" customHeight="false" outlineLevel="0" collapsed="false">
      <c r="A86" s="11" t="s">
        <v>362</v>
      </c>
      <c r="B86" s="11" t="s">
        <v>160</v>
      </c>
      <c r="C86" s="11" t="s">
        <v>38</v>
      </c>
      <c r="D86" s="11" t="s">
        <v>354</v>
      </c>
      <c r="E86" s="22" t="n">
        <v>0.6</v>
      </c>
      <c r="F86" s="22" t="n">
        <v>0.035</v>
      </c>
      <c r="G86" s="22" t="n">
        <v>0.28</v>
      </c>
      <c r="H86" s="22" t="n">
        <v>0.055</v>
      </c>
      <c r="I86" s="11" t="s">
        <v>250</v>
      </c>
      <c r="J86" s="22" t="n">
        <v>0.28</v>
      </c>
      <c r="K86" s="22" t="n">
        <v>0.045</v>
      </c>
      <c r="L86" s="12" t="n">
        <f aca="false">ROUND(INDEX('Envelope Register'!$J$5:$J$22,MATCH(C86,'Envelope Register'!$A$5:$A$22,0))*(E86-F86),0)</f>
        <v>198</v>
      </c>
      <c r="M86" s="12" t="n">
        <f aca="false">ROUND(INDEX('Envelope Register'!$J$5:$J$22,MATCH(C86,'Envelope Register'!$A$5:$A$22,0))*(E86+F86),0)</f>
        <v>222</v>
      </c>
      <c r="N86" s="12" t="n">
        <f aca="false">ROUND(INDEX('Envelope Register'!$L$5:$L$22,MATCH(C86,'Envelope Register'!$A$5:$A$22,0))*(G86-H86),0)</f>
        <v>18</v>
      </c>
      <c r="O86" s="12" t="n">
        <f aca="false">ROUND(INDEX('Envelope Register'!$L$5:$L$22,MATCH(C86,'Envelope Register'!$A$5:$A$22,0))*(G86+H86),0)</f>
        <v>27</v>
      </c>
      <c r="P86" s="12" t="n">
        <f aca="false">IF(I86="DEPTH",ROUND(-INDEX('Envelope Register'!$P$5:$P$22,MATCH(C86,'Envelope Register'!$A$5:$A$22,0))*(J86+K86),0),ROUND(INDEX('Envelope Register'!$N$5:$N$22,MATCH(C86,'Envelope Register'!$A$5:$A$22,0))*(J86-K86),0))</f>
        <v>3</v>
      </c>
      <c r="Q86" s="12" t="n">
        <f aca="false">IF(I86="DEPTH",ROUND(-INDEX('Envelope Register'!$P$5:$P$22,MATCH(C86,'Envelope Register'!$A$5:$A$22,0))*(J86-K86),0),ROUND(INDEX('Envelope Register'!$N$5:$N$22,MATCH(C86,'Envelope Register'!$A$5:$A$22,0))*(J86+K86),0))</f>
        <v>4</v>
      </c>
      <c r="R86" s="12" t="n">
        <f aca="false">COUNTIFS($C$5:$C$112,C86,$D$5:$D$112,D86)</f>
        <v>1</v>
      </c>
      <c r="S86" s="11" t="str">
        <f aca="false">IF(AND(L86&gt;=0,M86&lt;=INDEX('Envelope Register'!$J$5:$J$22,MATCH(C86,'Envelope Register'!$A$5:$A$22,0)),N86&gt;=0,O86&lt;=INDEX('Envelope Register'!$L$5:$L$22,MATCH(C86,'Envelope Register'!$A$5:$A$22,0)),P86&gt;=-INDEX('Envelope Register'!$P$5:$P$22,MATCH(C86,'Envelope Register'!$A$5:$A$22,0)),Q86&lt;=INDEX('Envelope Register'!$N$5:$N$22,MATCH(C86,'Envelope Register'!$A$5:$A$22,0)),L86&lt;M86,N86&lt;O86,P86&lt;Q86,R86=1,U86=1),"PASS","FAIL")</f>
        <v>PASS</v>
      </c>
      <c r="T86" s="11" t="s">
        <v>251</v>
      </c>
      <c r="U86" s="12" t="n">
        <f aca="false">COUNTIF($A$5:$A$112,A86)</f>
        <v>1</v>
      </c>
    </row>
    <row r="87" customFormat="false" ht="15" hidden="false" customHeight="false" outlineLevel="0" collapsed="false">
      <c r="A87" s="11" t="s">
        <v>363</v>
      </c>
      <c r="B87" s="11" t="s">
        <v>160</v>
      </c>
      <c r="C87" s="11" t="s">
        <v>38</v>
      </c>
      <c r="D87" s="11" t="s">
        <v>356</v>
      </c>
      <c r="E87" s="22" t="n">
        <v>0.78</v>
      </c>
      <c r="F87" s="22" t="n">
        <v>0.035</v>
      </c>
      <c r="G87" s="22" t="n">
        <v>0.72</v>
      </c>
      <c r="H87" s="22" t="n">
        <v>0.055</v>
      </c>
      <c r="I87" s="11" t="s">
        <v>250</v>
      </c>
      <c r="J87" s="22" t="n">
        <v>0.18</v>
      </c>
      <c r="K87" s="22" t="n">
        <v>0.045</v>
      </c>
      <c r="L87" s="12" t="n">
        <f aca="false">ROUND(INDEX('Envelope Register'!$J$5:$J$22,MATCH(C87,'Envelope Register'!$A$5:$A$22,0))*(E87-F87),0)</f>
        <v>261</v>
      </c>
      <c r="M87" s="12" t="n">
        <f aca="false">ROUND(INDEX('Envelope Register'!$J$5:$J$22,MATCH(C87,'Envelope Register'!$A$5:$A$22,0))*(E87+F87),0)</f>
        <v>285</v>
      </c>
      <c r="N87" s="12" t="n">
        <f aca="false">ROUND(INDEX('Envelope Register'!$L$5:$L$22,MATCH(C87,'Envelope Register'!$A$5:$A$22,0))*(G87-H87),0)</f>
        <v>53</v>
      </c>
      <c r="O87" s="12" t="n">
        <f aca="false">ROUND(INDEX('Envelope Register'!$L$5:$L$22,MATCH(C87,'Envelope Register'!$A$5:$A$22,0))*(G87+H87),0)</f>
        <v>62</v>
      </c>
      <c r="P87" s="12" t="n">
        <f aca="false">IF(I87="DEPTH",ROUND(-INDEX('Envelope Register'!$P$5:$P$22,MATCH(C87,'Envelope Register'!$A$5:$A$22,0))*(J87+K87),0),ROUND(INDEX('Envelope Register'!$N$5:$N$22,MATCH(C87,'Envelope Register'!$A$5:$A$22,0))*(J87-K87),0))</f>
        <v>2</v>
      </c>
      <c r="Q87" s="12" t="n">
        <f aca="false">IF(I87="DEPTH",ROUND(-INDEX('Envelope Register'!$P$5:$P$22,MATCH(C87,'Envelope Register'!$A$5:$A$22,0))*(J87-K87),0),ROUND(INDEX('Envelope Register'!$N$5:$N$22,MATCH(C87,'Envelope Register'!$A$5:$A$22,0))*(J87+K87),0))</f>
        <v>3</v>
      </c>
      <c r="R87" s="12" t="n">
        <f aca="false">COUNTIFS($C$5:$C$112,C87,$D$5:$D$112,D87)</f>
        <v>1</v>
      </c>
      <c r="S87" s="11" t="str">
        <f aca="false">IF(AND(L87&gt;=0,M87&lt;=INDEX('Envelope Register'!$J$5:$J$22,MATCH(C87,'Envelope Register'!$A$5:$A$22,0)),N87&gt;=0,O87&lt;=INDEX('Envelope Register'!$L$5:$L$22,MATCH(C87,'Envelope Register'!$A$5:$A$22,0)),P87&gt;=-INDEX('Envelope Register'!$P$5:$P$22,MATCH(C87,'Envelope Register'!$A$5:$A$22,0)),Q87&lt;=INDEX('Envelope Register'!$N$5:$N$22,MATCH(C87,'Envelope Register'!$A$5:$A$22,0)),L87&lt;M87,N87&lt;O87,P87&lt;Q87,R87=1,U87=1),"PASS","FAIL")</f>
        <v>PASS</v>
      </c>
      <c r="T87" s="11" t="s">
        <v>251</v>
      </c>
      <c r="U87" s="12" t="n">
        <f aca="false">COUNTIF($A$5:$A$112,A87)</f>
        <v>1</v>
      </c>
    </row>
    <row r="88" customFormat="false" ht="15" hidden="false" customHeight="false" outlineLevel="0" collapsed="false">
      <c r="A88" s="11" t="s">
        <v>364</v>
      </c>
      <c r="B88" s="11" t="s">
        <v>160</v>
      </c>
      <c r="C88" s="11" t="s">
        <v>38</v>
      </c>
      <c r="D88" s="11" t="s">
        <v>358</v>
      </c>
      <c r="E88" s="22" t="n">
        <v>0.94</v>
      </c>
      <c r="F88" s="22" t="n">
        <v>0.035</v>
      </c>
      <c r="G88" s="22" t="n">
        <v>0.5</v>
      </c>
      <c r="H88" s="22" t="n">
        <v>0.055</v>
      </c>
      <c r="I88" s="11" t="s">
        <v>250</v>
      </c>
      <c r="J88" s="22" t="n">
        <v>0.08</v>
      </c>
      <c r="K88" s="22" t="n">
        <v>0.045</v>
      </c>
      <c r="L88" s="12" t="n">
        <f aca="false">ROUND(INDEX('Envelope Register'!$J$5:$J$22,MATCH(C88,'Envelope Register'!$A$5:$A$22,0))*(E88-F88),0)</f>
        <v>317</v>
      </c>
      <c r="M88" s="12" t="n">
        <f aca="false">ROUND(INDEX('Envelope Register'!$J$5:$J$22,MATCH(C88,'Envelope Register'!$A$5:$A$22,0))*(E88+F88),0)</f>
        <v>341</v>
      </c>
      <c r="N88" s="12" t="n">
        <f aca="false">ROUND(INDEX('Envelope Register'!$L$5:$L$22,MATCH(C88,'Envelope Register'!$A$5:$A$22,0))*(G88-H88),0)</f>
        <v>36</v>
      </c>
      <c r="O88" s="12" t="n">
        <f aca="false">ROUND(INDEX('Envelope Register'!$L$5:$L$22,MATCH(C88,'Envelope Register'!$A$5:$A$22,0))*(G88+H88),0)</f>
        <v>44</v>
      </c>
      <c r="P88" s="12" t="n">
        <f aca="false">IF(I88="DEPTH",ROUND(-INDEX('Envelope Register'!$P$5:$P$22,MATCH(C88,'Envelope Register'!$A$5:$A$22,0))*(J88+K88),0),ROUND(INDEX('Envelope Register'!$N$5:$N$22,MATCH(C88,'Envelope Register'!$A$5:$A$22,0))*(J88-K88),0))</f>
        <v>0</v>
      </c>
      <c r="Q88" s="12" t="n">
        <f aca="false">IF(I88="DEPTH",ROUND(-INDEX('Envelope Register'!$P$5:$P$22,MATCH(C88,'Envelope Register'!$A$5:$A$22,0))*(J88-K88),0),ROUND(INDEX('Envelope Register'!$N$5:$N$22,MATCH(C88,'Envelope Register'!$A$5:$A$22,0))*(J88+K88),0))</f>
        <v>2</v>
      </c>
      <c r="R88" s="12" t="n">
        <f aca="false">COUNTIFS($C$5:$C$112,C88,$D$5:$D$112,D88)</f>
        <v>1</v>
      </c>
      <c r="S88" s="11" t="str">
        <f aca="false">IF(AND(L88&gt;=0,M88&lt;=INDEX('Envelope Register'!$J$5:$J$22,MATCH(C88,'Envelope Register'!$A$5:$A$22,0)),N88&gt;=0,O88&lt;=INDEX('Envelope Register'!$L$5:$L$22,MATCH(C88,'Envelope Register'!$A$5:$A$22,0)),P88&gt;=-INDEX('Envelope Register'!$P$5:$P$22,MATCH(C88,'Envelope Register'!$A$5:$A$22,0)),Q88&lt;=INDEX('Envelope Register'!$N$5:$N$22,MATCH(C88,'Envelope Register'!$A$5:$A$22,0)),L88&lt;M88,N88&lt;O88,P88&lt;Q88,R88=1,U88=1),"PASS","FAIL")</f>
        <v>PASS</v>
      </c>
      <c r="T88" s="11" t="s">
        <v>251</v>
      </c>
      <c r="U88" s="12" t="n">
        <f aca="false">COUNTIF($A$5:$A$112,A88)</f>
        <v>1</v>
      </c>
    </row>
    <row r="89" customFormat="false" ht="15" hidden="false" customHeight="false" outlineLevel="0" collapsed="false">
      <c r="A89" s="11" t="s">
        <v>365</v>
      </c>
      <c r="B89" s="11" t="s">
        <v>160</v>
      </c>
      <c r="C89" s="11" t="s">
        <v>39</v>
      </c>
      <c r="D89" s="11" t="s">
        <v>348</v>
      </c>
      <c r="E89" s="22" t="n">
        <v>0.15</v>
      </c>
      <c r="F89" s="22" t="n">
        <v>0.035</v>
      </c>
      <c r="G89" s="22" t="n">
        <v>0.2</v>
      </c>
      <c r="H89" s="22" t="n">
        <v>0.055</v>
      </c>
      <c r="I89" s="11" t="s">
        <v>250</v>
      </c>
      <c r="J89" s="22" t="n">
        <v>0.1</v>
      </c>
      <c r="K89" s="22" t="n">
        <v>0.045</v>
      </c>
      <c r="L89" s="12" t="n">
        <f aca="false">ROUND(INDEX('Envelope Register'!$J$5:$J$22,MATCH(C89,'Envelope Register'!$A$5:$A$22,0))*(E89-F89),0)</f>
        <v>21</v>
      </c>
      <c r="M89" s="12" t="n">
        <f aca="false">ROUND(INDEX('Envelope Register'!$J$5:$J$22,MATCH(C89,'Envelope Register'!$A$5:$A$22,0))*(E89+F89),0)</f>
        <v>33</v>
      </c>
      <c r="N89" s="12" t="n">
        <f aca="false">ROUND(INDEX('Envelope Register'!$L$5:$L$22,MATCH(C89,'Envelope Register'!$A$5:$A$22,0))*(G89-H89),0)</f>
        <v>12</v>
      </c>
      <c r="O89" s="12" t="n">
        <f aca="false">ROUND(INDEX('Envelope Register'!$L$5:$L$22,MATCH(C89,'Envelope Register'!$A$5:$A$22,0))*(G89+H89),0)</f>
        <v>20</v>
      </c>
      <c r="P89" s="12" t="n">
        <f aca="false">IF(I89="DEPTH",ROUND(-INDEX('Envelope Register'!$P$5:$P$22,MATCH(C89,'Envelope Register'!$A$5:$A$22,0))*(J89+K89),0),ROUND(INDEX('Envelope Register'!$N$5:$N$22,MATCH(C89,'Envelope Register'!$A$5:$A$22,0))*(J89-K89),0))</f>
        <v>3</v>
      </c>
      <c r="Q89" s="12" t="n">
        <f aca="false">IF(I89="DEPTH",ROUND(-INDEX('Envelope Register'!$P$5:$P$22,MATCH(C89,'Envelope Register'!$A$5:$A$22,0))*(J89-K89),0),ROUND(INDEX('Envelope Register'!$N$5:$N$22,MATCH(C89,'Envelope Register'!$A$5:$A$22,0))*(J89+K89),0))</f>
        <v>9</v>
      </c>
      <c r="R89" s="12" t="n">
        <f aca="false">COUNTIFS($C$5:$C$112,C89,$D$5:$D$112,D89)</f>
        <v>1</v>
      </c>
      <c r="S89" s="11" t="str">
        <f aca="false">IF(AND(L89&gt;=0,M89&lt;=INDEX('Envelope Register'!$J$5:$J$22,MATCH(C89,'Envelope Register'!$A$5:$A$22,0)),N89&gt;=0,O89&lt;=INDEX('Envelope Register'!$L$5:$L$22,MATCH(C89,'Envelope Register'!$A$5:$A$22,0)),P89&gt;=-INDEX('Envelope Register'!$P$5:$P$22,MATCH(C89,'Envelope Register'!$A$5:$A$22,0)),Q89&lt;=INDEX('Envelope Register'!$N$5:$N$22,MATCH(C89,'Envelope Register'!$A$5:$A$22,0)),L89&lt;M89,N89&lt;O89,P89&lt;Q89,R89=1,U89=1),"PASS","FAIL")</f>
        <v>PASS</v>
      </c>
      <c r="T89" s="11" t="s">
        <v>251</v>
      </c>
      <c r="U89" s="12" t="n">
        <f aca="false">COUNTIF($A$5:$A$112,A89)</f>
        <v>1</v>
      </c>
    </row>
    <row r="90" customFormat="false" ht="15" hidden="false" customHeight="false" outlineLevel="0" collapsed="false">
      <c r="A90" s="11" t="s">
        <v>366</v>
      </c>
      <c r="B90" s="11" t="s">
        <v>160</v>
      </c>
      <c r="C90" s="11" t="s">
        <v>39</v>
      </c>
      <c r="D90" s="11" t="s">
        <v>350</v>
      </c>
      <c r="E90" s="22" t="n">
        <v>0.15</v>
      </c>
      <c r="F90" s="22" t="n">
        <v>0.035</v>
      </c>
      <c r="G90" s="22" t="n">
        <v>0.8</v>
      </c>
      <c r="H90" s="22" t="n">
        <v>0.055</v>
      </c>
      <c r="I90" s="11" t="s">
        <v>250</v>
      </c>
      <c r="J90" s="22" t="n">
        <v>0.42</v>
      </c>
      <c r="K90" s="22" t="n">
        <v>0.045</v>
      </c>
      <c r="L90" s="12" t="n">
        <f aca="false">ROUND(INDEX('Envelope Register'!$J$5:$J$22,MATCH(C90,'Envelope Register'!$A$5:$A$22,0))*(E90-F90),0)</f>
        <v>21</v>
      </c>
      <c r="M90" s="12" t="n">
        <f aca="false">ROUND(INDEX('Envelope Register'!$J$5:$J$22,MATCH(C90,'Envelope Register'!$A$5:$A$22,0))*(E90+F90),0)</f>
        <v>33</v>
      </c>
      <c r="N90" s="12" t="n">
        <f aca="false">ROUND(INDEX('Envelope Register'!$L$5:$L$22,MATCH(C90,'Envelope Register'!$A$5:$A$22,0))*(G90-H90),0)</f>
        <v>60</v>
      </c>
      <c r="O90" s="12" t="n">
        <f aca="false">ROUND(INDEX('Envelope Register'!$L$5:$L$22,MATCH(C90,'Envelope Register'!$A$5:$A$22,0))*(G90+H90),0)</f>
        <v>68</v>
      </c>
      <c r="P90" s="12" t="n">
        <f aca="false">IF(I90="DEPTH",ROUND(-INDEX('Envelope Register'!$P$5:$P$22,MATCH(C90,'Envelope Register'!$A$5:$A$22,0))*(J90+K90),0),ROUND(INDEX('Envelope Register'!$N$5:$N$22,MATCH(C90,'Envelope Register'!$A$5:$A$22,0))*(J90-K90),0))</f>
        <v>23</v>
      </c>
      <c r="Q90" s="12" t="n">
        <f aca="false">IF(I90="DEPTH",ROUND(-INDEX('Envelope Register'!$P$5:$P$22,MATCH(C90,'Envelope Register'!$A$5:$A$22,0))*(J90-K90),0),ROUND(INDEX('Envelope Register'!$N$5:$N$22,MATCH(C90,'Envelope Register'!$A$5:$A$22,0))*(J90+K90),0))</f>
        <v>28</v>
      </c>
      <c r="R90" s="12" t="n">
        <f aca="false">COUNTIFS($C$5:$C$112,C90,$D$5:$D$112,D90)</f>
        <v>1</v>
      </c>
      <c r="S90" s="11" t="str">
        <f aca="false">IF(AND(L90&gt;=0,M90&lt;=INDEX('Envelope Register'!$J$5:$J$22,MATCH(C90,'Envelope Register'!$A$5:$A$22,0)),N90&gt;=0,O90&lt;=INDEX('Envelope Register'!$L$5:$L$22,MATCH(C90,'Envelope Register'!$A$5:$A$22,0)),P90&gt;=-INDEX('Envelope Register'!$P$5:$P$22,MATCH(C90,'Envelope Register'!$A$5:$A$22,0)),Q90&lt;=INDEX('Envelope Register'!$N$5:$N$22,MATCH(C90,'Envelope Register'!$A$5:$A$22,0)),L90&lt;M90,N90&lt;O90,P90&lt;Q90,R90=1,U90=1),"PASS","FAIL")</f>
        <v>PASS</v>
      </c>
      <c r="T90" s="11" t="s">
        <v>251</v>
      </c>
      <c r="U90" s="12" t="n">
        <f aca="false">COUNTIF($A$5:$A$112,A90)</f>
        <v>1</v>
      </c>
    </row>
    <row r="91" customFormat="false" ht="15" hidden="false" customHeight="false" outlineLevel="0" collapsed="false">
      <c r="A91" s="11" t="s">
        <v>367</v>
      </c>
      <c r="B91" s="11" t="s">
        <v>160</v>
      </c>
      <c r="C91" s="11" t="s">
        <v>39</v>
      </c>
      <c r="D91" s="11" t="s">
        <v>352</v>
      </c>
      <c r="E91" s="22" t="n">
        <v>0.5</v>
      </c>
      <c r="F91" s="22" t="n">
        <v>0.035</v>
      </c>
      <c r="G91" s="22" t="n">
        <v>0.2</v>
      </c>
      <c r="H91" s="22" t="n">
        <v>0.055</v>
      </c>
      <c r="I91" s="11" t="s">
        <v>250</v>
      </c>
      <c r="J91" s="22" t="n">
        <v>0.55</v>
      </c>
      <c r="K91" s="22" t="n">
        <v>0.045</v>
      </c>
      <c r="L91" s="12" t="n">
        <f aca="false">ROUND(INDEX('Envelope Register'!$J$5:$J$22,MATCH(C91,'Envelope Register'!$A$5:$A$22,0))*(E91-F91),0)</f>
        <v>84</v>
      </c>
      <c r="M91" s="12" t="n">
        <f aca="false">ROUND(INDEX('Envelope Register'!$J$5:$J$22,MATCH(C91,'Envelope Register'!$A$5:$A$22,0))*(E91+F91),0)</f>
        <v>96</v>
      </c>
      <c r="N91" s="12" t="n">
        <f aca="false">ROUND(INDEX('Envelope Register'!$L$5:$L$22,MATCH(C91,'Envelope Register'!$A$5:$A$22,0))*(G91-H91),0)</f>
        <v>12</v>
      </c>
      <c r="O91" s="12" t="n">
        <f aca="false">ROUND(INDEX('Envelope Register'!$L$5:$L$22,MATCH(C91,'Envelope Register'!$A$5:$A$22,0))*(G91+H91),0)</f>
        <v>20</v>
      </c>
      <c r="P91" s="12" t="n">
        <f aca="false">IF(I91="DEPTH",ROUND(-INDEX('Envelope Register'!$P$5:$P$22,MATCH(C91,'Envelope Register'!$A$5:$A$22,0))*(J91+K91),0),ROUND(INDEX('Envelope Register'!$N$5:$N$22,MATCH(C91,'Envelope Register'!$A$5:$A$22,0))*(J91-K91),0))</f>
        <v>30</v>
      </c>
      <c r="Q91" s="12" t="n">
        <f aca="false">IF(I91="DEPTH",ROUND(-INDEX('Envelope Register'!$P$5:$P$22,MATCH(C91,'Envelope Register'!$A$5:$A$22,0))*(J91-K91),0),ROUND(INDEX('Envelope Register'!$N$5:$N$22,MATCH(C91,'Envelope Register'!$A$5:$A$22,0))*(J91+K91),0))</f>
        <v>36</v>
      </c>
      <c r="R91" s="12" t="n">
        <f aca="false">COUNTIFS($C$5:$C$112,C91,$D$5:$D$112,D91)</f>
        <v>1</v>
      </c>
      <c r="S91" s="11" t="str">
        <f aca="false">IF(AND(L91&gt;=0,M91&lt;=INDEX('Envelope Register'!$J$5:$J$22,MATCH(C91,'Envelope Register'!$A$5:$A$22,0)),N91&gt;=0,O91&lt;=INDEX('Envelope Register'!$L$5:$L$22,MATCH(C91,'Envelope Register'!$A$5:$A$22,0)),P91&gt;=-INDEX('Envelope Register'!$P$5:$P$22,MATCH(C91,'Envelope Register'!$A$5:$A$22,0)),Q91&lt;=INDEX('Envelope Register'!$N$5:$N$22,MATCH(C91,'Envelope Register'!$A$5:$A$22,0)),L91&lt;M91,N91&lt;O91,P91&lt;Q91,R91=1,U91=1),"PASS","FAIL")</f>
        <v>PASS</v>
      </c>
      <c r="T91" s="11" t="s">
        <v>251</v>
      </c>
      <c r="U91" s="12" t="n">
        <f aca="false">COUNTIF($A$5:$A$112,A91)</f>
        <v>1</v>
      </c>
    </row>
    <row r="92" customFormat="false" ht="15" hidden="false" customHeight="false" outlineLevel="0" collapsed="false">
      <c r="A92" s="11" t="s">
        <v>368</v>
      </c>
      <c r="B92" s="11" t="s">
        <v>160</v>
      </c>
      <c r="C92" s="11" t="s">
        <v>39</v>
      </c>
      <c r="D92" s="11" t="s">
        <v>354</v>
      </c>
      <c r="E92" s="22" t="n">
        <v>0.5</v>
      </c>
      <c r="F92" s="22" t="n">
        <v>0.035</v>
      </c>
      <c r="G92" s="22" t="n">
        <v>0.8</v>
      </c>
      <c r="H92" s="22" t="n">
        <v>0.055</v>
      </c>
      <c r="I92" s="11" t="s">
        <v>250</v>
      </c>
      <c r="J92" s="22" t="n">
        <v>0.28</v>
      </c>
      <c r="K92" s="22" t="n">
        <v>0.045</v>
      </c>
      <c r="L92" s="12" t="n">
        <f aca="false">ROUND(INDEX('Envelope Register'!$J$5:$J$22,MATCH(C92,'Envelope Register'!$A$5:$A$22,0))*(E92-F92),0)</f>
        <v>84</v>
      </c>
      <c r="M92" s="12" t="n">
        <f aca="false">ROUND(INDEX('Envelope Register'!$J$5:$J$22,MATCH(C92,'Envelope Register'!$A$5:$A$22,0))*(E92+F92),0)</f>
        <v>96</v>
      </c>
      <c r="N92" s="12" t="n">
        <f aca="false">ROUND(INDEX('Envelope Register'!$L$5:$L$22,MATCH(C92,'Envelope Register'!$A$5:$A$22,0))*(G92-H92),0)</f>
        <v>60</v>
      </c>
      <c r="O92" s="12" t="n">
        <f aca="false">ROUND(INDEX('Envelope Register'!$L$5:$L$22,MATCH(C92,'Envelope Register'!$A$5:$A$22,0))*(G92+H92),0)</f>
        <v>68</v>
      </c>
      <c r="P92" s="12" t="n">
        <f aca="false">IF(I92="DEPTH",ROUND(-INDEX('Envelope Register'!$P$5:$P$22,MATCH(C92,'Envelope Register'!$A$5:$A$22,0))*(J92+K92),0),ROUND(INDEX('Envelope Register'!$N$5:$N$22,MATCH(C92,'Envelope Register'!$A$5:$A$22,0))*(J92-K92),0))</f>
        <v>14</v>
      </c>
      <c r="Q92" s="12" t="n">
        <f aca="false">IF(I92="DEPTH",ROUND(-INDEX('Envelope Register'!$P$5:$P$22,MATCH(C92,'Envelope Register'!$A$5:$A$22,0))*(J92-K92),0),ROUND(INDEX('Envelope Register'!$N$5:$N$22,MATCH(C92,'Envelope Register'!$A$5:$A$22,0))*(J92+K92),0))</f>
        <v>20</v>
      </c>
      <c r="R92" s="12" t="n">
        <f aca="false">COUNTIFS($C$5:$C$112,C92,$D$5:$D$112,D92)</f>
        <v>1</v>
      </c>
      <c r="S92" s="11" t="str">
        <f aca="false">IF(AND(L92&gt;=0,M92&lt;=INDEX('Envelope Register'!$J$5:$J$22,MATCH(C92,'Envelope Register'!$A$5:$A$22,0)),N92&gt;=0,O92&lt;=INDEX('Envelope Register'!$L$5:$L$22,MATCH(C92,'Envelope Register'!$A$5:$A$22,0)),P92&gt;=-INDEX('Envelope Register'!$P$5:$P$22,MATCH(C92,'Envelope Register'!$A$5:$A$22,0)),Q92&lt;=INDEX('Envelope Register'!$N$5:$N$22,MATCH(C92,'Envelope Register'!$A$5:$A$22,0)),L92&lt;M92,N92&lt;O92,P92&lt;Q92,R92=1,U92=1),"PASS","FAIL")</f>
        <v>PASS</v>
      </c>
      <c r="T92" s="11" t="s">
        <v>251</v>
      </c>
      <c r="U92" s="12" t="n">
        <f aca="false">COUNTIF($A$5:$A$112,A92)</f>
        <v>1</v>
      </c>
    </row>
    <row r="93" customFormat="false" ht="15" hidden="false" customHeight="false" outlineLevel="0" collapsed="false">
      <c r="A93" s="11" t="s">
        <v>369</v>
      </c>
      <c r="B93" s="11" t="s">
        <v>160</v>
      </c>
      <c r="C93" s="11" t="s">
        <v>39</v>
      </c>
      <c r="D93" s="11" t="s">
        <v>356</v>
      </c>
      <c r="E93" s="22" t="n">
        <v>0.85</v>
      </c>
      <c r="F93" s="22" t="n">
        <v>0.035</v>
      </c>
      <c r="G93" s="22" t="n">
        <v>0.2</v>
      </c>
      <c r="H93" s="22" t="n">
        <v>0.055</v>
      </c>
      <c r="I93" s="11" t="s">
        <v>250</v>
      </c>
      <c r="J93" s="22" t="n">
        <v>0.18</v>
      </c>
      <c r="K93" s="22" t="n">
        <v>0.045</v>
      </c>
      <c r="L93" s="12" t="n">
        <f aca="false">ROUND(INDEX('Envelope Register'!$J$5:$J$22,MATCH(C93,'Envelope Register'!$A$5:$A$22,0))*(E93-F93),0)</f>
        <v>147</v>
      </c>
      <c r="M93" s="12" t="n">
        <f aca="false">ROUND(INDEX('Envelope Register'!$J$5:$J$22,MATCH(C93,'Envelope Register'!$A$5:$A$22,0))*(E93+F93),0)</f>
        <v>159</v>
      </c>
      <c r="N93" s="12" t="n">
        <f aca="false">ROUND(INDEX('Envelope Register'!$L$5:$L$22,MATCH(C93,'Envelope Register'!$A$5:$A$22,0))*(G93-H93),0)</f>
        <v>12</v>
      </c>
      <c r="O93" s="12" t="n">
        <f aca="false">ROUND(INDEX('Envelope Register'!$L$5:$L$22,MATCH(C93,'Envelope Register'!$A$5:$A$22,0))*(G93+H93),0)</f>
        <v>20</v>
      </c>
      <c r="P93" s="12" t="n">
        <f aca="false">IF(I93="DEPTH",ROUND(-INDEX('Envelope Register'!$P$5:$P$22,MATCH(C93,'Envelope Register'!$A$5:$A$22,0))*(J93+K93),0),ROUND(INDEX('Envelope Register'!$N$5:$N$22,MATCH(C93,'Envelope Register'!$A$5:$A$22,0))*(J93-K93),0))</f>
        <v>8</v>
      </c>
      <c r="Q93" s="12" t="n">
        <f aca="false">IF(I93="DEPTH",ROUND(-INDEX('Envelope Register'!$P$5:$P$22,MATCH(C93,'Envelope Register'!$A$5:$A$22,0))*(J93-K93),0),ROUND(INDEX('Envelope Register'!$N$5:$N$22,MATCH(C93,'Envelope Register'!$A$5:$A$22,0))*(J93+K93),0))</f>
        <v>13</v>
      </c>
      <c r="R93" s="12" t="n">
        <f aca="false">COUNTIFS($C$5:$C$112,C93,$D$5:$D$112,D93)</f>
        <v>1</v>
      </c>
      <c r="S93" s="11" t="str">
        <f aca="false">IF(AND(L93&gt;=0,M93&lt;=INDEX('Envelope Register'!$J$5:$J$22,MATCH(C93,'Envelope Register'!$A$5:$A$22,0)),N93&gt;=0,O93&lt;=INDEX('Envelope Register'!$L$5:$L$22,MATCH(C93,'Envelope Register'!$A$5:$A$22,0)),P93&gt;=-INDEX('Envelope Register'!$P$5:$P$22,MATCH(C93,'Envelope Register'!$A$5:$A$22,0)),Q93&lt;=INDEX('Envelope Register'!$N$5:$N$22,MATCH(C93,'Envelope Register'!$A$5:$A$22,0)),L93&lt;M93,N93&lt;O93,P93&lt;Q93,R93=1,U93=1),"PASS","FAIL")</f>
        <v>PASS</v>
      </c>
      <c r="T93" s="11" t="s">
        <v>251</v>
      </c>
      <c r="U93" s="12" t="n">
        <f aca="false">COUNTIF($A$5:$A$112,A93)</f>
        <v>1</v>
      </c>
    </row>
    <row r="94" customFormat="false" ht="15" hidden="false" customHeight="false" outlineLevel="0" collapsed="false">
      <c r="A94" s="11" t="s">
        <v>370</v>
      </c>
      <c r="B94" s="11" t="s">
        <v>160</v>
      </c>
      <c r="C94" s="11" t="s">
        <v>39</v>
      </c>
      <c r="D94" s="11" t="s">
        <v>358</v>
      </c>
      <c r="E94" s="22" t="n">
        <v>0.85</v>
      </c>
      <c r="F94" s="22" t="n">
        <v>0.035</v>
      </c>
      <c r="G94" s="22" t="n">
        <v>0.8</v>
      </c>
      <c r="H94" s="22" t="n">
        <v>0.055</v>
      </c>
      <c r="I94" s="11" t="s">
        <v>250</v>
      </c>
      <c r="J94" s="22" t="n">
        <v>0.08</v>
      </c>
      <c r="K94" s="22" t="n">
        <v>0.045</v>
      </c>
      <c r="L94" s="12" t="n">
        <f aca="false">ROUND(INDEX('Envelope Register'!$J$5:$J$22,MATCH(C94,'Envelope Register'!$A$5:$A$22,0))*(E94-F94),0)</f>
        <v>147</v>
      </c>
      <c r="M94" s="12" t="n">
        <f aca="false">ROUND(INDEX('Envelope Register'!$J$5:$J$22,MATCH(C94,'Envelope Register'!$A$5:$A$22,0))*(E94+F94),0)</f>
        <v>159</v>
      </c>
      <c r="N94" s="12" t="n">
        <f aca="false">ROUND(INDEX('Envelope Register'!$L$5:$L$22,MATCH(C94,'Envelope Register'!$A$5:$A$22,0))*(G94-H94),0)</f>
        <v>60</v>
      </c>
      <c r="O94" s="12" t="n">
        <f aca="false">ROUND(INDEX('Envelope Register'!$L$5:$L$22,MATCH(C94,'Envelope Register'!$A$5:$A$22,0))*(G94+H94),0)</f>
        <v>68</v>
      </c>
      <c r="P94" s="12" t="n">
        <f aca="false">IF(I94="DEPTH",ROUND(-INDEX('Envelope Register'!$P$5:$P$22,MATCH(C94,'Envelope Register'!$A$5:$A$22,0))*(J94+K94),0),ROUND(INDEX('Envelope Register'!$N$5:$N$22,MATCH(C94,'Envelope Register'!$A$5:$A$22,0))*(J94-K94),0))</f>
        <v>2</v>
      </c>
      <c r="Q94" s="12" t="n">
        <f aca="false">IF(I94="DEPTH",ROUND(-INDEX('Envelope Register'!$P$5:$P$22,MATCH(C94,'Envelope Register'!$A$5:$A$22,0))*(J94-K94),0),ROUND(INDEX('Envelope Register'!$N$5:$N$22,MATCH(C94,'Envelope Register'!$A$5:$A$22,0))*(J94+K94),0))</f>
        <v>8</v>
      </c>
      <c r="R94" s="12" t="n">
        <f aca="false">COUNTIFS($C$5:$C$112,C94,$D$5:$D$112,D94)</f>
        <v>1</v>
      </c>
      <c r="S94" s="11" t="str">
        <f aca="false">IF(AND(L94&gt;=0,M94&lt;=INDEX('Envelope Register'!$J$5:$J$22,MATCH(C94,'Envelope Register'!$A$5:$A$22,0)),N94&gt;=0,O94&lt;=INDEX('Envelope Register'!$L$5:$L$22,MATCH(C94,'Envelope Register'!$A$5:$A$22,0)),P94&gt;=-INDEX('Envelope Register'!$P$5:$P$22,MATCH(C94,'Envelope Register'!$A$5:$A$22,0)),Q94&lt;=INDEX('Envelope Register'!$N$5:$N$22,MATCH(C94,'Envelope Register'!$A$5:$A$22,0)),L94&lt;M94,N94&lt;O94,P94&lt;Q94,R94=1,U94=1),"PASS","FAIL")</f>
        <v>PASS</v>
      </c>
      <c r="T94" s="11" t="s">
        <v>251</v>
      </c>
      <c r="U94" s="12" t="n">
        <f aca="false">COUNTIF($A$5:$A$112,A94)</f>
        <v>1</v>
      </c>
    </row>
    <row r="95" customFormat="false" ht="15" hidden="false" customHeight="false" outlineLevel="0" collapsed="false">
      <c r="A95" s="11" t="s">
        <v>371</v>
      </c>
      <c r="B95" s="11" t="s">
        <v>171</v>
      </c>
      <c r="C95" s="11" t="s">
        <v>40</v>
      </c>
      <c r="D95" s="11" t="s">
        <v>372</v>
      </c>
      <c r="E95" s="22" t="n">
        <v>0.08</v>
      </c>
      <c r="F95" s="22" t="n">
        <v>0.035</v>
      </c>
      <c r="G95" s="22" t="n">
        <v>0.18</v>
      </c>
      <c r="H95" s="22" t="n">
        <v>0.055</v>
      </c>
      <c r="I95" s="11" t="s">
        <v>250</v>
      </c>
      <c r="J95" s="22" t="n">
        <v>0.08</v>
      </c>
      <c r="K95" s="22" t="n">
        <v>0.07</v>
      </c>
      <c r="L95" s="12" t="n">
        <f aca="false">ROUND(INDEX('Envelope Register'!$J$5:$J$22,MATCH(C95,'Envelope Register'!$A$5:$A$22,0))*(E95-F95),0)</f>
        <v>14</v>
      </c>
      <c r="M95" s="12" t="n">
        <f aca="false">ROUND(INDEX('Envelope Register'!$J$5:$J$22,MATCH(C95,'Envelope Register'!$A$5:$A$22,0))*(E95+F95),0)</f>
        <v>35</v>
      </c>
      <c r="N95" s="12" t="n">
        <f aca="false">ROUND(INDEX('Envelope Register'!$L$5:$L$22,MATCH(C95,'Envelope Register'!$A$5:$A$22,0))*(G95-H95),0)</f>
        <v>38</v>
      </c>
      <c r="O95" s="12" t="n">
        <f aca="false">ROUND(INDEX('Envelope Register'!$L$5:$L$22,MATCH(C95,'Envelope Register'!$A$5:$A$22,0))*(G95+H95),0)</f>
        <v>71</v>
      </c>
      <c r="P95" s="12" t="n">
        <f aca="false">IF(I95="DEPTH",ROUND(-INDEX('Envelope Register'!$P$5:$P$22,MATCH(C95,'Envelope Register'!$A$5:$A$22,0))*(J95+K95),0),ROUND(INDEX('Envelope Register'!$N$5:$N$22,MATCH(C95,'Envelope Register'!$A$5:$A$22,0))*(J95-K95),0))</f>
        <v>0</v>
      </c>
      <c r="Q95" s="12" t="n">
        <f aca="false">IF(I95="DEPTH",ROUND(-INDEX('Envelope Register'!$P$5:$P$22,MATCH(C95,'Envelope Register'!$A$5:$A$22,0))*(J95-K95),0),ROUND(INDEX('Envelope Register'!$N$5:$N$22,MATCH(C95,'Envelope Register'!$A$5:$A$22,0))*(J95+K95),0))</f>
        <v>2</v>
      </c>
      <c r="R95" s="12" t="n">
        <f aca="false">COUNTIFS($C$5:$C$112,C95,$D$5:$D$112,D95)</f>
        <v>1</v>
      </c>
      <c r="S95" s="11" t="str">
        <f aca="false">IF(AND(L95&gt;=0,M95&lt;=INDEX('Envelope Register'!$J$5:$J$22,MATCH(C95,'Envelope Register'!$A$5:$A$22,0)),N95&gt;=0,O95&lt;=INDEX('Envelope Register'!$L$5:$L$22,MATCH(C95,'Envelope Register'!$A$5:$A$22,0)),P95&gt;=-INDEX('Envelope Register'!$P$5:$P$22,MATCH(C95,'Envelope Register'!$A$5:$A$22,0)),Q95&lt;=INDEX('Envelope Register'!$N$5:$N$22,MATCH(C95,'Envelope Register'!$A$5:$A$22,0)),L95&lt;M95,N95&lt;O95,P95&lt;Q95,R95=1,U95=1),"PASS","FAIL")</f>
        <v>PASS</v>
      </c>
      <c r="T95" s="11" t="s">
        <v>251</v>
      </c>
      <c r="U95" s="12" t="n">
        <f aca="false">COUNTIF($A$5:$A$112,A95)</f>
        <v>1</v>
      </c>
    </row>
    <row r="96" customFormat="false" ht="15" hidden="false" customHeight="false" outlineLevel="0" collapsed="false">
      <c r="A96" s="11" t="s">
        <v>373</v>
      </c>
      <c r="B96" s="11" t="s">
        <v>171</v>
      </c>
      <c r="C96" s="11" t="s">
        <v>40</v>
      </c>
      <c r="D96" s="11" t="s">
        <v>374</v>
      </c>
      <c r="E96" s="22" t="n">
        <v>0.25</v>
      </c>
      <c r="F96" s="22" t="n">
        <v>0.035</v>
      </c>
      <c r="G96" s="22" t="n">
        <v>0.18</v>
      </c>
      <c r="H96" s="22" t="n">
        <v>0.055</v>
      </c>
      <c r="I96" s="11" t="s">
        <v>250</v>
      </c>
      <c r="J96" s="22" t="n">
        <v>0.22</v>
      </c>
      <c r="K96" s="22" t="n">
        <v>0.07</v>
      </c>
      <c r="L96" s="12" t="n">
        <f aca="false">ROUND(INDEX('Envelope Register'!$J$5:$J$22,MATCH(C96,'Envelope Register'!$A$5:$A$22,0))*(E96-F96),0)</f>
        <v>65</v>
      </c>
      <c r="M96" s="12" t="n">
        <f aca="false">ROUND(INDEX('Envelope Register'!$J$5:$J$22,MATCH(C96,'Envelope Register'!$A$5:$A$22,0))*(E96+F96),0)</f>
        <v>86</v>
      </c>
      <c r="N96" s="12" t="n">
        <f aca="false">ROUND(INDEX('Envelope Register'!$L$5:$L$22,MATCH(C96,'Envelope Register'!$A$5:$A$22,0))*(G96-H96),0)</f>
        <v>38</v>
      </c>
      <c r="O96" s="12" t="n">
        <f aca="false">ROUND(INDEX('Envelope Register'!$L$5:$L$22,MATCH(C96,'Envelope Register'!$A$5:$A$22,0))*(G96+H96),0)</f>
        <v>71</v>
      </c>
      <c r="P96" s="12" t="n">
        <f aca="false">IF(I96="DEPTH",ROUND(-INDEX('Envelope Register'!$P$5:$P$22,MATCH(C96,'Envelope Register'!$A$5:$A$22,0))*(J96+K96),0),ROUND(INDEX('Envelope Register'!$N$5:$N$22,MATCH(C96,'Envelope Register'!$A$5:$A$22,0))*(J96-K96),0))</f>
        <v>2</v>
      </c>
      <c r="Q96" s="12" t="n">
        <f aca="false">IF(I96="DEPTH",ROUND(-INDEX('Envelope Register'!$P$5:$P$22,MATCH(C96,'Envelope Register'!$A$5:$A$22,0))*(J96-K96),0),ROUND(INDEX('Envelope Register'!$N$5:$N$22,MATCH(C96,'Envelope Register'!$A$5:$A$22,0))*(J96+K96),0))</f>
        <v>3</v>
      </c>
      <c r="R96" s="12" t="n">
        <f aca="false">COUNTIFS($C$5:$C$112,C96,$D$5:$D$112,D96)</f>
        <v>1</v>
      </c>
      <c r="S96" s="11" t="str">
        <f aca="false">IF(AND(L96&gt;=0,M96&lt;=INDEX('Envelope Register'!$J$5:$J$22,MATCH(C96,'Envelope Register'!$A$5:$A$22,0)),N96&gt;=0,O96&lt;=INDEX('Envelope Register'!$L$5:$L$22,MATCH(C96,'Envelope Register'!$A$5:$A$22,0)),P96&gt;=-INDEX('Envelope Register'!$P$5:$P$22,MATCH(C96,'Envelope Register'!$A$5:$A$22,0)),Q96&lt;=INDEX('Envelope Register'!$N$5:$N$22,MATCH(C96,'Envelope Register'!$A$5:$A$22,0)),L96&lt;M96,N96&lt;O96,P96&lt;Q96,R96=1,U96=1),"PASS","FAIL")</f>
        <v>PASS</v>
      </c>
      <c r="T96" s="11" t="s">
        <v>251</v>
      </c>
      <c r="U96" s="12" t="n">
        <f aca="false">COUNTIF($A$5:$A$112,A96)</f>
        <v>1</v>
      </c>
    </row>
    <row r="97" customFormat="false" ht="15" hidden="false" customHeight="false" outlineLevel="0" collapsed="false">
      <c r="A97" s="11" t="s">
        <v>375</v>
      </c>
      <c r="B97" s="11" t="s">
        <v>171</v>
      </c>
      <c r="C97" s="11" t="s">
        <v>40</v>
      </c>
      <c r="D97" s="11" t="s">
        <v>376</v>
      </c>
      <c r="E97" s="22" t="n">
        <v>0.42</v>
      </c>
      <c r="F97" s="22" t="n">
        <v>0.035</v>
      </c>
      <c r="G97" s="22" t="n">
        <v>0.82</v>
      </c>
      <c r="H97" s="22" t="n">
        <v>0.055</v>
      </c>
      <c r="I97" s="11" t="s">
        <v>250</v>
      </c>
      <c r="J97" s="22" t="n">
        <v>0.35</v>
      </c>
      <c r="K97" s="22" t="n">
        <v>0.07</v>
      </c>
      <c r="L97" s="12" t="n">
        <f aca="false">ROUND(INDEX('Envelope Register'!$J$5:$J$22,MATCH(C97,'Envelope Register'!$A$5:$A$22,0))*(E97-F97),0)</f>
        <v>116</v>
      </c>
      <c r="M97" s="12" t="n">
        <f aca="false">ROUND(INDEX('Envelope Register'!$J$5:$J$22,MATCH(C97,'Envelope Register'!$A$5:$A$22,0))*(E97+F97),0)</f>
        <v>137</v>
      </c>
      <c r="N97" s="12" t="n">
        <f aca="false">ROUND(INDEX('Envelope Register'!$L$5:$L$22,MATCH(C97,'Envelope Register'!$A$5:$A$22,0))*(G97-H97),0)</f>
        <v>229</v>
      </c>
      <c r="O97" s="12" t="n">
        <f aca="false">ROUND(INDEX('Envelope Register'!$L$5:$L$22,MATCH(C97,'Envelope Register'!$A$5:$A$22,0))*(G97+H97),0)</f>
        <v>263</v>
      </c>
      <c r="P97" s="12" t="n">
        <f aca="false">IF(I97="DEPTH",ROUND(-INDEX('Envelope Register'!$P$5:$P$22,MATCH(C97,'Envelope Register'!$A$5:$A$22,0))*(J97+K97),0),ROUND(INDEX('Envelope Register'!$N$5:$N$22,MATCH(C97,'Envelope Register'!$A$5:$A$22,0))*(J97-K97),0))</f>
        <v>3</v>
      </c>
      <c r="Q97" s="12" t="n">
        <f aca="false">IF(I97="DEPTH",ROUND(-INDEX('Envelope Register'!$P$5:$P$22,MATCH(C97,'Envelope Register'!$A$5:$A$22,0))*(J97-K97),0),ROUND(INDEX('Envelope Register'!$N$5:$N$22,MATCH(C97,'Envelope Register'!$A$5:$A$22,0))*(J97+K97),0))</f>
        <v>5</v>
      </c>
      <c r="R97" s="12" t="n">
        <f aca="false">COUNTIFS($C$5:$C$112,C97,$D$5:$D$112,D97)</f>
        <v>1</v>
      </c>
      <c r="S97" s="11" t="str">
        <f aca="false">IF(AND(L97&gt;=0,M97&lt;=INDEX('Envelope Register'!$J$5:$J$22,MATCH(C97,'Envelope Register'!$A$5:$A$22,0)),N97&gt;=0,O97&lt;=INDEX('Envelope Register'!$L$5:$L$22,MATCH(C97,'Envelope Register'!$A$5:$A$22,0)),P97&gt;=-INDEX('Envelope Register'!$P$5:$P$22,MATCH(C97,'Envelope Register'!$A$5:$A$22,0)),Q97&lt;=INDEX('Envelope Register'!$N$5:$N$22,MATCH(C97,'Envelope Register'!$A$5:$A$22,0)),L97&lt;M97,N97&lt;O97,P97&lt;Q97,R97=1,U97=1),"PASS","FAIL")</f>
        <v>PASS</v>
      </c>
      <c r="T97" s="11" t="s">
        <v>251</v>
      </c>
      <c r="U97" s="12" t="n">
        <f aca="false">COUNTIF($A$5:$A$112,A97)</f>
        <v>1</v>
      </c>
    </row>
    <row r="98" customFormat="false" ht="15" hidden="false" customHeight="false" outlineLevel="0" collapsed="false">
      <c r="A98" s="11" t="s">
        <v>377</v>
      </c>
      <c r="B98" s="11" t="s">
        <v>171</v>
      </c>
      <c r="C98" s="11" t="s">
        <v>40</v>
      </c>
      <c r="D98" s="11" t="s">
        <v>378</v>
      </c>
      <c r="E98" s="22" t="n">
        <v>0.58</v>
      </c>
      <c r="F98" s="22" t="n">
        <v>0.035</v>
      </c>
      <c r="G98" s="22" t="n">
        <v>0.82</v>
      </c>
      <c r="H98" s="22" t="n">
        <v>0.055</v>
      </c>
      <c r="I98" s="11" t="s">
        <v>250</v>
      </c>
      <c r="J98" s="22" t="n">
        <v>0.48</v>
      </c>
      <c r="K98" s="22" t="n">
        <v>0.07</v>
      </c>
      <c r="L98" s="12" t="n">
        <f aca="false">ROUND(INDEX('Envelope Register'!$J$5:$J$22,MATCH(C98,'Envelope Register'!$A$5:$A$22,0))*(E98-F98),0)</f>
        <v>163</v>
      </c>
      <c r="M98" s="12" t="n">
        <f aca="false">ROUND(INDEX('Envelope Register'!$J$5:$J$22,MATCH(C98,'Envelope Register'!$A$5:$A$22,0))*(E98+F98),0)</f>
        <v>185</v>
      </c>
      <c r="N98" s="12" t="n">
        <f aca="false">ROUND(INDEX('Envelope Register'!$L$5:$L$22,MATCH(C98,'Envelope Register'!$A$5:$A$22,0))*(G98-H98),0)</f>
        <v>229</v>
      </c>
      <c r="O98" s="12" t="n">
        <f aca="false">ROUND(INDEX('Envelope Register'!$L$5:$L$22,MATCH(C98,'Envelope Register'!$A$5:$A$22,0))*(G98+H98),0)</f>
        <v>263</v>
      </c>
      <c r="P98" s="12" t="n">
        <f aca="false">IF(I98="DEPTH",ROUND(-INDEX('Envelope Register'!$P$5:$P$22,MATCH(C98,'Envelope Register'!$A$5:$A$22,0))*(J98+K98),0),ROUND(INDEX('Envelope Register'!$N$5:$N$22,MATCH(C98,'Envelope Register'!$A$5:$A$22,0))*(J98-K98),0))</f>
        <v>5</v>
      </c>
      <c r="Q98" s="12" t="n">
        <f aca="false">IF(I98="DEPTH",ROUND(-INDEX('Envelope Register'!$P$5:$P$22,MATCH(C98,'Envelope Register'!$A$5:$A$22,0))*(J98-K98),0),ROUND(INDEX('Envelope Register'!$N$5:$N$22,MATCH(C98,'Envelope Register'!$A$5:$A$22,0))*(J98+K98),0))</f>
        <v>7</v>
      </c>
      <c r="R98" s="12" t="n">
        <f aca="false">COUNTIFS($C$5:$C$112,C98,$D$5:$D$112,D98)</f>
        <v>1</v>
      </c>
      <c r="S98" s="11" t="str">
        <f aca="false">IF(AND(L98&gt;=0,M98&lt;=INDEX('Envelope Register'!$J$5:$J$22,MATCH(C98,'Envelope Register'!$A$5:$A$22,0)),N98&gt;=0,O98&lt;=INDEX('Envelope Register'!$L$5:$L$22,MATCH(C98,'Envelope Register'!$A$5:$A$22,0)),P98&gt;=-INDEX('Envelope Register'!$P$5:$P$22,MATCH(C98,'Envelope Register'!$A$5:$A$22,0)),Q98&lt;=INDEX('Envelope Register'!$N$5:$N$22,MATCH(C98,'Envelope Register'!$A$5:$A$22,0)),L98&lt;M98,N98&lt;O98,P98&lt;Q98,R98=1,U98=1),"PASS","FAIL")</f>
        <v>PASS</v>
      </c>
      <c r="T98" s="11" t="s">
        <v>251</v>
      </c>
      <c r="U98" s="12" t="n">
        <f aca="false">COUNTIF($A$5:$A$112,A98)</f>
        <v>1</v>
      </c>
    </row>
    <row r="99" customFormat="false" ht="15" hidden="false" customHeight="false" outlineLevel="0" collapsed="false">
      <c r="A99" s="11" t="s">
        <v>379</v>
      </c>
      <c r="B99" s="11" t="s">
        <v>171</v>
      </c>
      <c r="C99" s="11" t="s">
        <v>40</v>
      </c>
      <c r="D99" s="11" t="s">
        <v>380</v>
      </c>
      <c r="E99" s="22" t="n">
        <v>0.76</v>
      </c>
      <c r="F99" s="22" t="n">
        <v>0.035</v>
      </c>
      <c r="G99" s="22" t="n">
        <v>0.25</v>
      </c>
      <c r="H99" s="22" t="n">
        <v>0.055</v>
      </c>
      <c r="I99" s="11" t="s">
        <v>250</v>
      </c>
      <c r="J99" s="22" t="n">
        <v>0.62</v>
      </c>
      <c r="K99" s="22" t="n">
        <v>0.07</v>
      </c>
      <c r="L99" s="12" t="n">
        <f aca="false">ROUND(INDEX('Envelope Register'!$J$5:$J$22,MATCH(C99,'Envelope Register'!$A$5:$A$22,0))*(E99-F99),0)</f>
        <v>218</v>
      </c>
      <c r="M99" s="12" t="n">
        <f aca="false">ROUND(INDEX('Envelope Register'!$J$5:$J$22,MATCH(C99,'Envelope Register'!$A$5:$A$22,0))*(E99+F99),0)</f>
        <v>239</v>
      </c>
      <c r="N99" s="12" t="n">
        <f aca="false">ROUND(INDEX('Envelope Register'!$L$5:$L$22,MATCH(C99,'Envelope Register'!$A$5:$A$22,0))*(G99-H99),0)</f>
        <v>59</v>
      </c>
      <c r="O99" s="12" t="n">
        <f aca="false">ROUND(INDEX('Envelope Register'!$L$5:$L$22,MATCH(C99,'Envelope Register'!$A$5:$A$22,0))*(G99+H99),0)</f>
        <v>92</v>
      </c>
      <c r="P99" s="12" t="n">
        <f aca="false">IF(I99="DEPTH",ROUND(-INDEX('Envelope Register'!$P$5:$P$22,MATCH(C99,'Envelope Register'!$A$5:$A$22,0))*(J99+K99),0),ROUND(INDEX('Envelope Register'!$N$5:$N$22,MATCH(C99,'Envelope Register'!$A$5:$A$22,0))*(J99-K99),0))</f>
        <v>7</v>
      </c>
      <c r="Q99" s="12" t="n">
        <f aca="false">IF(I99="DEPTH",ROUND(-INDEX('Envelope Register'!$P$5:$P$22,MATCH(C99,'Envelope Register'!$A$5:$A$22,0))*(J99-K99),0),ROUND(INDEX('Envelope Register'!$N$5:$N$22,MATCH(C99,'Envelope Register'!$A$5:$A$22,0))*(J99+K99),0))</f>
        <v>8</v>
      </c>
      <c r="R99" s="12" t="n">
        <f aca="false">COUNTIFS($C$5:$C$112,C99,$D$5:$D$112,D99)</f>
        <v>1</v>
      </c>
      <c r="S99" s="11" t="str">
        <f aca="false">IF(AND(L99&gt;=0,M99&lt;=INDEX('Envelope Register'!$J$5:$J$22,MATCH(C99,'Envelope Register'!$A$5:$A$22,0)),N99&gt;=0,O99&lt;=INDEX('Envelope Register'!$L$5:$L$22,MATCH(C99,'Envelope Register'!$A$5:$A$22,0)),P99&gt;=-INDEX('Envelope Register'!$P$5:$P$22,MATCH(C99,'Envelope Register'!$A$5:$A$22,0)),Q99&lt;=INDEX('Envelope Register'!$N$5:$N$22,MATCH(C99,'Envelope Register'!$A$5:$A$22,0)),L99&lt;M99,N99&lt;O99,P99&lt;Q99,R99=1,U99=1),"PASS","FAIL")</f>
        <v>PASS</v>
      </c>
      <c r="T99" s="11" t="s">
        <v>251</v>
      </c>
      <c r="U99" s="12" t="n">
        <f aca="false">COUNTIF($A$5:$A$112,A99)</f>
        <v>1</v>
      </c>
    </row>
    <row r="100" customFormat="false" ht="15" hidden="false" customHeight="false" outlineLevel="0" collapsed="false">
      <c r="A100" s="11" t="s">
        <v>381</v>
      </c>
      <c r="B100" s="11" t="s">
        <v>171</v>
      </c>
      <c r="C100" s="11" t="s">
        <v>40</v>
      </c>
      <c r="D100" s="11" t="s">
        <v>382</v>
      </c>
      <c r="E100" s="22" t="n">
        <v>0.92</v>
      </c>
      <c r="F100" s="22" t="n">
        <v>0.035</v>
      </c>
      <c r="G100" s="22" t="n">
        <v>0.75</v>
      </c>
      <c r="H100" s="22" t="n">
        <v>0.055</v>
      </c>
      <c r="I100" s="11" t="s">
        <v>250</v>
      </c>
      <c r="J100" s="22" t="n">
        <v>0.75</v>
      </c>
      <c r="K100" s="22" t="n">
        <v>0.07</v>
      </c>
      <c r="L100" s="12" t="n">
        <f aca="false">ROUND(INDEX('Envelope Register'!$J$5:$J$22,MATCH(C100,'Envelope Register'!$A$5:$A$22,0))*(E100-F100),0)</f>
        <v>266</v>
      </c>
      <c r="M100" s="12" t="n">
        <f aca="false">ROUND(INDEX('Envelope Register'!$J$5:$J$22,MATCH(C100,'Envelope Register'!$A$5:$A$22,0))*(E100+F100),0)</f>
        <v>287</v>
      </c>
      <c r="N100" s="12" t="n">
        <f aca="false">ROUND(INDEX('Envelope Register'!$L$5:$L$22,MATCH(C100,'Envelope Register'!$A$5:$A$22,0))*(G100-H100),0)</f>
        <v>208</v>
      </c>
      <c r="O100" s="12" t="n">
        <f aca="false">ROUND(INDEX('Envelope Register'!$L$5:$L$22,MATCH(C100,'Envelope Register'!$A$5:$A$22,0))*(G100+H100),0)</f>
        <v>242</v>
      </c>
      <c r="P100" s="12" t="n">
        <f aca="false">IF(I100="DEPTH",ROUND(-INDEX('Envelope Register'!$P$5:$P$22,MATCH(C100,'Envelope Register'!$A$5:$A$22,0))*(J100+K100),0),ROUND(INDEX('Envelope Register'!$N$5:$N$22,MATCH(C100,'Envelope Register'!$A$5:$A$22,0))*(J100-K100),0))</f>
        <v>8</v>
      </c>
      <c r="Q100" s="12" t="n">
        <f aca="false">IF(I100="DEPTH",ROUND(-INDEX('Envelope Register'!$P$5:$P$22,MATCH(C100,'Envelope Register'!$A$5:$A$22,0))*(J100-K100),0),ROUND(INDEX('Envelope Register'!$N$5:$N$22,MATCH(C100,'Envelope Register'!$A$5:$A$22,0))*(J100+K100),0))</f>
        <v>10</v>
      </c>
      <c r="R100" s="12" t="n">
        <f aca="false">COUNTIFS($C$5:$C$112,C100,$D$5:$D$112,D100)</f>
        <v>1</v>
      </c>
      <c r="S100" s="11" t="str">
        <f aca="false">IF(AND(L100&gt;=0,M100&lt;=INDEX('Envelope Register'!$J$5:$J$22,MATCH(C100,'Envelope Register'!$A$5:$A$22,0)),N100&gt;=0,O100&lt;=INDEX('Envelope Register'!$L$5:$L$22,MATCH(C100,'Envelope Register'!$A$5:$A$22,0)),P100&gt;=-INDEX('Envelope Register'!$P$5:$P$22,MATCH(C100,'Envelope Register'!$A$5:$A$22,0)),Q100&lt;=INDEX('Envelope Register'!$N$5:$N$22,MATCH(C100,'Envelope Register'!$A$5:$A$22,0)),L100&lt;M100,N100&lt;O100,P100&lt;Q100,R100=1,U100=1),"PASS","FAIL")</f>
        <v>PASS</v>
      </c>
      <c r="T100" s="11" t="s">
        <v>251</v>
      </c>
      <c r="U100" s="12" t="n">
        <f aca="false">COUNTIF($A$5:$A$112,A100)</f>
        <v>1</v>
      </c>
    </row>
    <row r="101" customFormat="false" ht="15" hidden="false" customHeight="false" outlineLevel="0" collapsed="false">
      <c r="A101" s="11" t="s">
        <v>383</v>
      </c>
      <c r="B101" s="11" t="s">
        <v>171</v>
      </c>
      <c r="C101" s="11" t="s">
        <v>41</v>
      </c>
      <c r="D101" s="11" t="s">
        <v>372</v>
      </c>
      <c r="E101" s="22" t="n">
        <v>0.06</v>
      </c>
      <c r="F101" s="22" t="n">
        <v>0.035</v>
      </c>
      <c r="G101" s="22" t="n">
        <v>0.5</v>
      </c>
      <c r="H101" s="22" t="n">
        <v>0.055</v>
      </c>
      <c r="I101" s="11" t="s">
        <v>250</v>
      </c>
      <c r="J101" s="22" t="n">
        <v>0.08</v>
      </c>
      <c r="K101" s="22" t="n">
        <v>0.07</v>
      </c>
      <c r="L101" s="12" t="n">
        <f aca="false">ROUND(INDEX('Envelope Register'!$J$5:$J$22,MATCH(C101,'Envelope Register'!$A$5:$A$22,0))*(E101-F101),0)</f>
        <v>6</v>
      </c>
      <c r="M101" s="12" t="n">
        <f aca="false">ROUND(INDEX('Envelope Register'!$J$5:$J$22,MATCH(C101,'Envelope Register'!$A$5:$A$22,0))*(E101+F101),0)</f>
        <v>24</v>
      </c>
      <c r="N101" s="12" t="n">
        <f aca="false">ROUND(INDEX('Envelope Register'!$L$5:$L$22,MATCH(C101,'Envelope Register'!$A$5:$A$22,0))*(G101-H101),0)</f>
        <v>111</v>
      </c>
      <c r="O101" s="12" t="n">
        <f aca="false">ROUND(INDEX('Envelope Register'!$L$5:$L$22,MATCH(C101,'Envelope Register'!$A$5:$A$22,0))*(G101+H101),0)</f>
        <v>139</v>
      </c>
      <c r="P101" s="12" t="n">
        <f aca="false">IF(I101="DEPTH",ROUND(-INDEX('Envelope Register'!$P$5:$P$22,MATCH(C101,'Envelope Register'!$A$5:$A$22,0))*(J101+K101),0),ROUND(INDEX('Envelope Register'!$N$5:$N$22,MATCH(C101,'Envelope Register'!$A$5:$A$22,0))*(J101-K101),0))</f>
        <v>0</v>
      </c>
      <c r="Q101" s="12" t="n">
        <f aca="false">IF(I101="DEPTH",ROUND(-INDEX('Envelope Register'!$P$5:$P$22,MATCH(C101,'Envelope Register'!$A$5:$A$22,0))*(J101-K101),0),ROUND(INDEX('Envelope Register'!$N$5:$N$22,MATCH(C101,'Envelope Register'!$A$5:$A$22,0))*(J101+K101),0))</f>
        <v>2</v>
      </c>
      <c r="R101" s="12" t="n">
        <f aca="false">COUNTIFS($C$5:$C$112,C101,$D$5:$D$112,D101)</f>
        <v>1</v>
      </c>
      <c r="S101" s="11" t="str">
        <f aca="false">IF(AND(L101&gt;=0,M101&lt;=INDEX('Envelope Register'!$J$5:$J$22,MATCH(C101,'Envelope Register'!$A$5:$A$22,0)),N101&gt;=0,O101&lt;=INDEX('Envelope Register'!$L$5:$L$22,MATCH(C101,'Envelope Register'!$A$5:$A$22,0)),P101&gt;=-INDEX('Envelope Register'!$P$5:$P$22,MATCH(C101,'Envelope Register'!$A$5:$A$22,0)),Q101&lt;=INDEX('Envelope Register'!$N$5:$N$22,MATCH(C101,'Envelope Register'!$A$5:$A$22,0)),L101&lt;M101,N101&lt;O101,P101&lt;Q101,R101=1,U101=1),"PASS","FAIL")</f>
        <v>PASS</v>
      </c>
      <c r="T101" s="11" t="s">
        <v>251</v>
      </c>
      <c r="U101" s="12" t="n">
        <f aca="false">COUNTIF($A$5:$A$112,A101)</f>
        <v>1</v>
      </c>
    </row>
    <row r="102" customFormat="false" ht="15" hidden="false" customHeight="false" outlineLevel="0" collapsed="false">
      <c r="A102" s="11" t="s">
        <v>384</v>
      </c>
      <c r="B102" s="11" t="s">
        <v>171</v>
      </c>
      <c r="C102" s="11" t="s">
        <v>41</v>
      </c>
      <c r="D102" s="11" t="s">
        <v>374</v>
      </c>
      <c r="E102" s="22" t="n">
        <v>0.22</v>
      </c>
      <c r="F102" s="22" t="n">
        <v>0.035</v>
      </c>
      <c r="G102" s="22" t="n">
        <v>0.28</v>
      </c>
      <c r="H102" s="22" t="n">
        <v>0.055</v>
      </c>
      <c r="I102" s="11" t="s">
        <v>250</v>
      </c>
      <c r="J102" s="22" t="n">
        <v>0.22</v>
      </c>
      <c r="K102" s="22" t="n">
        <v>0.07</v>
      </c>
      <c r="L102" s="12" t="n">
        <f aca="false">ROUND(INDEX('Envelope Register'!$J$5:$J$22,MATCH(C102,'Envelope Register'!$A$5:$A$22,0))*(E102-F102),0)</f>
        <v>46</v>
      </c>
      <c r="M102" s="12" t="n">
        <f aca="false">ROUND(INDEX('Envelope Register'!$J$5:$J$22,MATCH(C102,'Envelope Register'!$A$5:$A$22,0))*(E102+F102),0)</f>
        <v>64</v>
      </c>
      <c r="N102" s="12" t="n">
        <f aca="false">ROUND(INDEX('Envelope Register'!$L$5:$L$22,MATCH(C102,'Envelope Register'!$A$5:$A$22,0))*(G102-H102),0)</f>
        <v>56</v>
      </c>
      <c r="O102" s="12" t="n">
        <f aca="false">ROUND(INDEX('Envelope Register'!$L$5:$L$22,MATCH(C102,'Envelope Register'!$A$5:$A$22,0))*(G102+H102),0)</f>
        <v>84</v>
      </c>
      <c r="P102" s="12" t="n">
        <f aca="false">IF(I102="DEPTH",ROUND(-INDEX('Envelope Register'!$P$5:$P$22,MATCH(C102,'Envelope Register'!$A$5:$A$22,0))*(J102+K102),0),ROUND(INDEX('Envelope Register'!$N$5:$N$22,MATCH(C102,'Envelope Register'!$A$5:$A$22,0))*(J102-K102),0))</f>
        <v>2</v>
      </c>
      <c r="Q102" s="12" t="n">
        <f aca="false">IF(I102="DEPTH",ROUND(-INDEX('Envelope Register'!$P$5:$P$22,MATCH(C102,'Envelope Register'!$A$5:$A$22,0))*(J102-K102),0),ROUND(INDEX('Envelope Register'!$N$5:$N$22,MATCH(C102,'Envelope Register'!$A$5:$A$22,0))*(J102+K102),0))</f>
        <v>3</v>
      </c>
      <c r="R102" s="12" t="n">
        <f aca="false">COUNTIFS($C$5:$C$112,C102,$D$5:$D$112,D102)</f>
        <v>1</v>
      </c>
      <c r="S102" s="11" t="str">
        <f aca="false">IF(AND(L102&gt;=0,M102&lt;=INDEX('Envelope Register'!$J$5:$J$22,MATCH(C102,'Envelope Register'!$A$5:$A$22,0)),N102&gt;=0,O102&lt;=INDEX('Envelope Register'!$L$5:$L$22,MATCH(C102,'Envelope Register'!$A$5:$A$22,0)),P102&gt;=-INDEX('Envelope Register'!$P$5:$P$22,MATCH(C102,'Envelope Register'!$A$5:$A$22,0)),Q102&lt;=INDEX('Envelope Register'!$N$5:$N$22,MATCH(C102,'Envelope Register'!$A$5:$A$22,0)),L102&lt;M102,N102&lt;O102,P102&lt;Q102,R102=1,U102=1),"PASS","FAIL")</f>
        <v>PASS</v>
      </c>
      <c r="T102" s="11" t="s">
        <v>251</v>
      </c>
      <c r="U102" s="12" t="n">
        <f aca="false">COUNTIF($A$5:$A$112,A102)</f>
        <v>1</v>
      </c>
    </row>
    <row r="103" customFormat="false" ht="15" hidden="false" customHeight="false" outlineLevel="0" collapsed="false">
      <c r="A103" s="11" t="s">
        <v>385</v>
      </c>
      <c r="B103" s="11" t="s">
        <v>171</v>
      </c>
      <c r="C103" s="11" t="s">
        <v>41</v>
      </c>
      <c r="D103" s="11" t="s">
        <v>376</v>
      </c>
      <c r="E103" s="22" t="n">
        <v>0.4</v>
      </c>
      <c r="F103" s="22" t="n">
        <v>0.035</v>
      </c>
      <c r="G103" s="22" t="n">
        <v>0.72</v>
      </c>
      <c r="H103" s="22" t="n">
        <v>0.055</v>
      </c>
      <c r="I103" s="11" t="s">
        <v>250</v>
      </c>
      <c r="J103" s="22" t="n">
        <v>0.35</v>
      </c>
      <c r="K103" s="22" t="n">
        <v>0.07</v>
      </c>
      <c r="L103" s="12" t="n">
        <f aca="false">ROUND(INDEX('Envelope Register'!$J$5:$J$22,MATCH(C103,'Envelope Register'!$A$5:$A$22,0))*(E103-F103),0)</f>
        <v>91</v>
      </c>
      <c r="M103" s="12" t="n">
        <f aca="false">ROUND(INDEX('Envelope Register'!$J$5:$J$22,MATCH(C103,'Envelope Register'!$A$5:$A$22,0))*(E103+F103),0)</f>
        <v>109</v>
      </c>
      <c r="N103" s="12" t="n">
        <f aca="false">ROUND(INDEX('Envelope Register'!$L$5:$L$22,MATCH(C103,'Envelope Register'!$A$5:$A$22,0))*(G103-H103),0)</f>
        <v>166</v>
      </c>
      <c r="O103" s="12" t="n">
        <f aca="false">ROUND(INDEX('Envelope Register'!$L$5:$L$22,MATCH(C103,'Envelope Register'!$A$5:$A$22,0))*(G103+H103),0)</f>
        <v>194</v>
      </c>
      <c r="P103" s="12" t="n">
        <f aca="false">IF(I103="DEPTH",ROUND(-INDEX('Envelope Register'!$P$5:$P$22,MATCH(C103,'Envelope Register'!$A$5:$A$22,0))*(J103+K103),0),ROUND(INDEX('Envelope Register'!$N$5:$N$22,MATCH(C103,'Envelope Register'!$A$5:$A$22,0))*(J103-K103),0))</f>
        <v>3</v>
      </c>
      <c r="Q103" s="12" t="n">
        <f aca="false">IF(I103="DEPTH",ROUND(-INDEX('Envelope Register'!$P$5:$P$22,MATCH(C103,'Envelope Register'!$A$5:$A$22,0))*(J103-K103),0),ROUND(INDEX('Envelope Register'!$N$5:$N$22,MATCH(C103,'Envelope Register'!$A$5:$A$22,0))*(J103+K103),0))</f>
        <v>5</v>
      </c>
      <c r="R103" s="12" t="n">
        <f aca="false">COUNTIFS($C$5:$C$112,C103,$D$5:$D$112,D103)</f>
        <v>1</v>
      </c>
      <c r="S103" s="11" t="str">
        <f aca="false">IF(AND(L103&gt;=0,M103&lt;=INDEX('Envelope Register'!$J$5:$J$22,MATCH(C103,'Envelope Register'!$A$5:$A$22,0)),N103&gt;=0,O103&lt;=INDEX('Envelope Register'!$L$5:$L$22,MATCH(C103,'Envelope Register'!$A$5:$A$22,0)),P103&gt;=-INDEX('Envelope Register'!$P$5:$P$22,MATCH(C103,'Envelope Register'!$A$5:$A$22,0)),Q103&lt;=INDEX('Envelope Register'!$N$5:$N$22,MATCH(C103,'Envelope Register'!$A$5:$A$22,0)),L103&lt;M103,N103&lt;O103,P103&lt;Q103,R103=1,U103=1),"PASS","FAIL")</f>
        <v>PASS</v>
      </c>
      <c r="T103" s="11" t="s">
        <v>251</v>
      </c>
      <c r="U103" s="12" t="n">
        <f aca="false">COUNTIF($A$5:$A$112,A103)</f>
        <v>1</v>
      </c>
    </row>
    <row r="104" customFormat="false" ht="15" hidden="false" customHeight="false" outlineLevel="0" collapsed="false">
      <c r="A104" s="11" t="s">
        <v>386</v>
      </c>
      <c r="B104" s="11" t="s">
        <v>171</v>
      </c>
      <c r="C104" s="11" t="s">
        <v>41</v>
      </c>
      <c r="D104" s="11" t="s">
        <v>378</v>
      </c>
      <c r="E104" s="22" t="n">
        <v>0.6</v>
      </c>
      <c r="F104" s="22" t="n">
        <v>0.035</v>
      </c>
      <c r="G104" s="22" t="n">
        <v>0.28</v>
      </c>
      <c r="H104" s="22" t="n">
        <v>0.055</v>
      </c>
      <c r="I104" s="11" t="s">
        <v>250</v>
      </c>
      <c r="J104" s="22" t="n">
        <v>0.48</v>
      </c>
      <c r="K104" s="22" t="n">
        <v>0.07</v>
      </c>
      <c r="L104" s="12" t="n">
        <f aca="false">ROUND(INDEX('Envelope Register'!$J$5:$J$22,MATCH(C104,'Envelope Register'!$A$5:$A$22,0))*(E104-F104),0)</f>
        <v>141</v>
      </c>
      <c r="M104" s="12" t="n">
        <f aca="false">ROUND(INDEX('Envelope Register'!$J$5:$J$22,MATCH(C104,'Envelope Register'!$A$5:$A$22,0))*(E104+F104),0)</f>
        <v>159</v>
      </c>
      <c r="N104" s="12" t="n">
        <f aca="false">ROUND(INDEX('Envelope Register'!$L$5:$L$22,MATCH(C104,'Envelope Register'!$A$5:$A$22,0))*(G104-H104),0)</f>
        <v>56</v>
      </c>
      <c r="O104" s="12" t="n">
        <f aca="false">ROUND(INDEX('Envelope Register'!$L$5:$L$22,MATCH(C104,'Envelope Register'!$A$5:$A$22,0))*(G104+H104),0)</f>
        <v>84</v>
      </c>
      <c r="P104" s="12" t="n">
        <f aca="false">IF(I104="DEPTH",ROUND(-INDEX('Envelope Register'!$P$5:$P$22,MATCH(C104,'Envelope Register'!$A$5:$A$22,0))*(J104+K104),0),ROUND(INDEX('Envelope Register'!$N$5:$N$22,MATCH(C104,'Envelope Register'!$A$5:$A$22,0))*(J104-K104),0))</f>
        <v>5</v>
      </c>
      <c r="Q104" s="12" t="n">
        <f aca="false">IF(I104="DEPTH",ROUND(-INDEX('Envelope Register'!$P$5:$P$22,MATCH(C104,'Envelope Register'!$A$5:$A$22,0))*(J104-K104),0),ROUND(INDEX('Envelope Register'!$N$5:$N$22,MATCH(C104,'Envelope Register'!$A$5:$A$22,0))*(J104+K104),0))</f>
        <v>7</v>
      </c>
      <c r="R104" s="12" t="n">
        <f aca="false">COUNTIFS($C$5:$C$112,C104,$D$5:$D$112,D104)</f>
        <v>1</v>
      </c>
      <c r="S104" s="11" t="str">
        <f aca="false">IF(AND(L104&gt;=0,M104&lt;=INDEX('Envelope Register'!$J$5:$J$22,MATCH(C104,'Envelope Register'!$A$5:$A$22,0)),N104&gt;=0,O104&lt;=INDEX('Envelope Register'!$L$5:$L$22,MATCH(C104,'Envelope Register'!$A$5:$A$22,0)),P104&gt;=-INDEX('Envelope Register'!$P$5:$P$22,MATCH(C104,'Envelope Register'!$A$5:$A$22,0)),Q104&lt;=INDEX('Envelope Register'!$N$5:$N$22,MATCH(C104,'Envelope Register'!$A$5:$A$22,0)),L104&lt;M104,N104&lt;O104,P104&lt;Q104,R104=1,U104=1),"PASS","FAIL")</f>
        <v>PASS</v>
      </c>
      <c r="T104" s="11" t="s">
        <v>251</v>
      </c>
      <c r="U104" s="12" t="n">
        <f aca="false">COUNTIF($A$5:$A$112,A104)</f>
        <v>1</v>
      </c>
    </row>
    <row r="105" customFormat="false" ht="15" hidden="false" customHeight="false" outlineLevel="0" collapsed="false">
      <c r="A105" s="11" t="s">
        <v>387</v>
      </c>
      <c r="B105" s="11" t="s">
        <v>171</v>
      </c>
      <c r="C105" s="11" t="s">
        <v>41</v>
      </c>
      <c r="D105" s="11" t="s">
        <v>380</v>
      </c>
      <c r="E105" s="22" t="n">
        <v>0.78</v>
      </c>
      <c r="F105" s="22" t="n">
        <v>0.035</v>
      </c>
      <c r="G105" s="22" t="n">
        <v>0.72</v>
      </c>
      <c r="H105" s="22" t="n">
        <v>0.055</v>
      </c>
      <c r="I105" s="11" t="s">
        <v>250</v>
      </c>
      <c r="J105" s="22" t="n">
        <v>0.62</v>
      </c>
      <c r="K105" s="22" t="n">
        <v>0.07</v>
      </c>
      <c r="L105" s="12" t="n">
        <f aca="false">ROUND(INDEX('Envelope Register'!$J$5:$J$22,MATCH(C105,'Envelope Register'!$A$5:$A$22,0))*(E105-F105),0)</f>
        <v>186</v>
      </c>
      <c r="M105" s="12" t="n">
        <f aca="false">ROUND(INDEX('Envelope Register'!$J$5:$J$22,MATCH(C105,'Envelope Register'!$A$5:$A$22,0))*(E105+F105),0)</f>
        <v>204</v>
      </c>
      <c r="N105" s="12" t="n">
        <f aca="false">ROUND(INDEX('Envelope Register'!$L$5:$L$22,MATCH(C105,'Envelope Register'!$A$5:$A$22,0))*(G105-H105),0)</f>
        <v>166</v>
      </c>
      <c r="O105" s="12" t="n">
        <f aca="false">ROUND(INDEX('Envelope Register'!$L$5:$L$22,MATCH(C105,'Envelope Register'!$A$5:$A$22,0))*(G105+H105),0)</f>
        <v>194</v>
      </c>
      <c r="P105" s="12" t="n">
        <f aca="false">IF(I105="DEPTH",ROUND(-INDEX('Envelope Register'!$P$5:$P$22,MATCH(C105,'Envelope Register'!$A$5:$A$22,0))*(J105+K105),0),ROUND(INDEX('Envelope Register'!$N$5:$N$22,MATCH(C105,'Envelope Register'!$A$5:$A$22,0))*(J105-K105),0))</f>
        <v>7</v>
      </c>
      <c r="Q105" s="12" t="n">
        <f aca="false">IF(I105="DEPTH",ROUND(-INDEX('Envelope Register'!$P$5:$P$22,MATCH(C105,'Envelope Register'!$A$5:$A$22,0))*(J105-K105),0),ROUND(INDEX('Envelope Register'!$N$5:$N$22,MATCH(C105,'Envelope Register'!$A$5:$A$22,0))*(J105+K105),0))</f>
        <v>8</v>
      </c>
      <c r="R105" s="12" t="n">
        <f aca="false">COUNTIFS($C$5:$C$112,C105,$D$5:$D$112,D105)</f>
        <v>1</v>
      </c>
      <c r="S105" s="11" t="str">
        <f aca="false">IF(AND(L105&gt;=0,M105&lt;=INDEX('Envelope Register'!$J$5:$J$22,MATCH(C105,'Envelope Register'!$A$5:$A$22,0)),N105&gt;=0,O105&lt;=INDEX('Envelope Register'!$L$5:$L$22,MATCH(C105,'Envelope Register'!$A$5:$A$22,0)),P105&gt;=-INDEX('Envelope Register'!$P$5:$P$22,MATCH(C105,'Envelope Register'!$A$5:$A$22,0)),Q105&lt;=INDEX('Envelope Register'!$N$5:$N$22,MATCH(C105,'Envelope Register'!$A$5:$A$22,0)),L105&lt;M105,N105&lt;O105,P105&lt;Q105,R105=1,U105=1),"PASS","FAIL")</f>
        <v>PASS</v>
      </c>
      <c r="T105" s="11" t="s">
        <v>251</v>
      </c>
      <c r="U105" s="12" t="n">
        <f aca="false">COUNTIF($A$5:$A$112,A105)</f>
        <v>1</v>
      </c>
    </row>
    <row r="106" customFormat="false" ht="15" hidden="false" customHeight="false" outlineLevel="0" collapsed="false">
      <c r="A106" s="11" t="s">
        <v>388</v>
      </c>
      <c r="B106" s="11" t="s">
        <v>171</v>
      </c>
      <c r="C106" s="11" t="s">
        <v>41</v>
      </c>
      <c r="D106" s="11" t="s">
        <v>382</v>
      </c>
      <c r="E106" s="22" t="n">
        <v>0.94</v>
      </c>
      <c r="F106" s="22" t="n">
        <v>0.035</v>
      </c>
      <c r="G106" s="22" t="n">
        <v>0.5</v>
      </c>
      <c r="H106" s="22" t="n">
        <v>0.055</v>
      </c>
      <c r="I106" s="11" t="s">
        <v>250</v>
      </c>
      <c r="J106" s="22" t="n">
        <v>0.75</v>
      </c>
      <c r="K106" s="22" t="n">
        <v>0.07</v>
      </c>
      <c r="L106" s="12" t="n">
        <f aca="false">ROUND(INDEX('Envelope Register'!$J$5:$J$22,MATCH(C106,'Envelope Register'!$A$5:$A$22,0))*(E106-F106),0)</f>
        <v>226</v>
      </c>
      <c r="M106" s="12" t="n">
        <f aca="false">ROUND(INDEX('Envelope Register'!$J$5:$J$22,MATCH(C106,'Envelope Register'!$A$5:$A$22,0))*(E106+F106),0)</f>
        <v>244</v>
      </c>
      <c r="N106" s="12" t="n">
        <f aca="false">ROUND(INDEX('Envelope Register'!$L$5:$L$22,MATCH(C106,'Envelope Register'!$A$5:$A$22,0))*(G106-H106),0)</f>
        <v>111</v>
      </c>
      <c r="O106" s="12" t="n">
        <f aca="false">ROUND(INDEX('Envelope Register'!$L$5:$L$22,MATCH(C106,'Envelope Register'!$A$5:$A$22,0))*(G106+H106),0)</f>
        <v>139</v>
      </c>
      <c r="P106" s="12" t="n">
        <f aca="false">IF(I106="DEPTH",ROUND(-INDEX('Envelope Register'!$P$5:$P$22,MATCH(C106,'Envelope Register'!$A$5:$A$22,0))*(J106+K106),0),ROUND(INDEX('Envelope Register'!$N$5:$N$22,MATCH(C106,'Envelope Register'!$A$5:$A$22,0))*(J106-K106),0))</f>
        <v>8</v>
      </c>
      <c r="Q106" s="12" t="n">
        <f aca="false">IF(I106="DEPTH",ROUND(-INDEX('Envelope Register'!$P$5:$P$22,MATCH(C106,'Envelope Register'!$A$5:$A$22,0))*(J106-K106),0),ROUND(INDEX('Envelope Register'!$N$5:$N$22,MATCH(C106,'Envelope Register'!$A$5:$A$22,0))*(J106+K106),0))</f>
        <v>10</v>
      </c>
      <c r="R106" s="12" t="n">
        <f aca="false">COUNTIFS($C$5:$C$112,C106,$D$5:$D$112,D106)</f>
        <v>1</v>
      </c>
      <c r="S106" s="11" t="str">
        <f aca="false">IF(AND(L106&gt;=0,M106&lt;=INDEX('Envelope Register'!$J$5:$J$22,MATCH(C106,'Envelope Register'!$A$5:$A$22,0)),N106&gt;=0,O106&lt;=INDEX('Envelope Register'!$L$5:$L$22,MATCH(C106,'Envelope Register'!$A$5:$A$22,0)),P106&gt;=-INDEX('Envelope Register'!$P$5:$P$22,MATCH(C106,'Envelope Register'!$A$5:$A$22,0)),Q106&lt;=INDEX('Envelope Register'!$N$5:$N$22,MATCH(C106,'Envelope Register'!$A$5:$A$22,0)),L106&lt;M106,N106&lt;O106,P106&lt;Q106,R106=1,U106=1),"PASS","FAIL")</f>
        <v>PASS</v>
      </c>
      <c r="T106" s="11" t="s">
        <v>251</v>
      </c>
      <c r="U106" s="12" t="n">
        <f aca="false">COUNTIF($A$5:$A$112,A106)</f>
        <v>1</v>
      </c>
    </row>
    <row r="107" customFormat="false" ht="15" hidden="false" customHeight="false" outlineLevel="0" collapsed="false">
      <c r="A107" s="11" t="s">
        <v>389</v>
      </c>
      <c r="B107" s="11" t="s">
        <v>171</v>
      </c>
      <c r="C107" s="11" t="s">
        <v>42</v>
      </c>
      <c r="D107" s="11" t="s">
        <v>372</v>
      </c>
      <c r="E107" s="22" t="n">
        <v>0.15</v>
      </c>
      <c r="F107" s="22" t="n">
        <v>0.035</v>
      </c>
      <c r="G107" s="22" t="n">
        <v>0.2</v>
      </c>
      <c r="H107" s="22" t="n">
        <v>0.055</v>
      </c>
      <c r="I107" s="11" t="s">
        <v>250</v>
      </c>
      <c r="J107" s="22" t="n">
        <v>0.08</v>
      </c>
      <c r="K107" s="22" t="n">
        <v>0.07</v>
      </c>
      <c r="L107" s="12" t="n">
        <f aca="false">ROUND(INDEX('Envelope Register'!$J$5:$J$22,MATCH(C107,'Envelope Register'!$A$5:$A$22,0))*(E107-F107),0)</f>
        <v>57</v>
      </c>
      <c r="M107" s="12" t="n">
        <f aca="false">ROUND(INDEX('Envelope Register'!$J$5:$J$22,MATCH(C107,'Envelope Register'!$A$5:$A$22,0))*(E107+F107),0)</f>
        <v>93</v>
      </c>
      <c r="N107" s="12" t="n">
        <f aca="false">ROUND(INDEX('Envelope Register'!$L$5:$L$22,MATCH(C107,'Envelope Register'!$A$5:$A$22,0))*(G107-H107),0)</f>
        <v>15</v>
      </c>
      <c r="O107" s="12" t="n">
        <f aca="false">ROUND(INDEX('Envelope Register'!$L$5:$L$22,MATCH(C107,'Envelope Register'!$A$5:$A$22,0))*(G107+H107),0)</f>
        <v>26</v>
      </c>
      <c r="P107" s="12" t="n">
        <f aca="false">IF(I107="DEPTH",ROUND(-INDEX('Envelope Register'!$P$5:$P$22,MATCH(C107,'Envelope Register'!$A$5:$A$22,0))*(J107+K107),0),ROUND(INDEX('Envelope Register'!$N$5:$N$22,MATCH(C107,'Envelope Register'!$A$5:$A$22,0))*(J107-K107),0))</f>
        <v>0</v>
      </c>
      <c r="Q107" s="12" t="n">
        <f aca="false">IF(I107="DEPTH",ROUND(-INDEX('Envelope Register'!$P$5:$P$22,MATCH(C107,'Envelope Register'!$A$5:$A$22,0))*(J107-K107),0),ROUND(INDEX('Envelope Register'!$N$5:$N$22,MATCH(C107,'Envelope Register'!$A$5:$A$22,0))*(J107+K107),0))</f>
        <v>1</v>
      </c>
      <c r="R107" s="12" t="n">
        <f aca="false">COUNTIFS($C$5:$C$112,C107,$D$5:$D$112,D107)</f>
        <v>1</v>
      </c>
      <c r="S107" s="11" t="str">
        <f aca="false">IF(AND(L107&gt;=0,M107&lt;=INDEX('Envelope Register'!$J$5:$J$22,MATCH(C107,'Envelope Register'!$A$5:$A$22,0)),N107&gt;=0,O107&lt;=INDEX('Envelope Register'!$L$5:$L$22,MATCH(C107,'Envelope Register'!$A$5:$A$22,0)),P107&gt;=-INDEX('Envelope Register'!$P$5:$P$22,MATCH(C107,'Envelope Register'!$A$5:$A$22,0)),Q107&lt;=INDEX('Envelope Register'!$N$5:$N$22,MATCH(C107,'Envelope Register'!$A$5:$A$22,0)),L107&lt;M107,N107&lt;O107,P107&lt;Q107,R107=1,U107=1),"PASS","FAIL")</f>
        <v>PASS</v>
      </c>
      <c r="T107" s="11" t="s">
        <v>251</v>
      </c>
      <c r="U107" s="12" t="n">
        <f aca="false">COUNTIF($A$5:$A$112,A107)</f>
        <v>1</v>
      </c>
    </row>
    <row r="108" customFormat="false" ht="15" hidden="false" customHeight="false" outlineLevel="0" collapsed="false">
      <c r="A108" s="11" t="s">
        <v>390</v>
      </c>
      <c r="B108" s="11" t="s">
        <v>171</v>
      </c>
      <c r="C108" s="11" t="s">
        <v>42</v>
      </c>
      <c r="D108" s="11" t="s">
        <v>374</v>
      </c>
      <c r="E108" s="22" t="n">
        <v>0.15</v>
      </c>
      <c r="F108" s="22" t="n">
        <v>0.035</v>
      </c>
      <c r="G108" s="22" t="n">
        <v>0.8</v>
      </c>
      <c r="H108" s="22" t="n">
        <v>0.055</v>
      </c>
      <c r="I108" s="11" t="s">
        <v>250</v>
      </c>
      <c r="J108" s="22" t="n">
        <v>0.22</v>
      </c>
      <c r="K108" s="22" t="n">
        <v>0.07</v>
      </c>
      <c r="L108" s="12" t="n">
        <f aca="false">ROUND(INDEX('Envelope Register'!$J$5:$J$22,MATCH(C108,'Envelope Register'!$A$5:$A$22,0))*(E108-F108),0)</f>
        <v>57</v>
      </c>
      <c r="M108" s="12" t="n">
        <f aca="false">ROUND(INDEX('Envelope Register'!$J$5:$J$22,MATCH(C108,'Envelope Register'!$A$5:$A$22,0))*(E108+F108),0)</f>
        <v>93</v>
      </c>
      <c r="N108" s="12" t="n">
        <f aca="false">ROUND(INDEX('Envelope Register'!$L$5:$L$22,MATCH(C108,'Envelope Register'!$A$5:$A$22,0))*(G108-H108),0)</f>
        <v>75</v>
      </c>
      <c r="O108" s="12" t="n">
        <f aca="false">ROUND(INDEX('Envelope Register'!$L$5:$L$22,MATCH(C108,'Envelope Register'!$A$5:$A$22,0))*(G108+H108),0)</f>
        <v>86</v>
      </c>
      <c r="P108" s="12" t="n">
        <f aca="false">IF(I108="DEPTH",ROUND(-INDEX('Envelope Register'!$P$5:$P$22,MATCH(C108,'Envelope Register'!$A$5:$A$22,0))*(J108+K108),0),ROUND(INDEX('Envelope Register'!$N$5:$N$22,MATCH(C108,'Envelope Register'!$A$5:$A$22,0))*(J108-K108),0))</f>
        <v>1</v>
      </c>
      <c r="Q108" s="12" t="n">
        <f aca="false">IF(I108="DEPTH",ROUND(-INDEX('Envelope Register'!$P$5:$P$22,MATCH(C108,'Envelope Register'!$A$5:$A$22,0))*(J108-K108),0),ROUND(INDEX('Envelope Register'!$N$5:$N$22,MATCH(C108,'Envelope Register'!$A$5:$A$22,0))*(J108+K108),0))</f>
        <v>2</v>
      </c>
      <c r="R108" s="12" t="n">
        <f aca="false">COUNTIFS($C$5:$C$112,C108,$D$5:$D$112,D108)</f>
        <v>1</v>
      </c>
      <c r="S108" s="11" t="str">
        <f aca="false">IF(AND(L108&gt;=0,M108&lt;=INDEX('Envelope Register'!$J$5:$J$22,MATCH(C108,'Envelope Register'!$A$5:$A$22,0)),N108&gt;=0,O108&lt;=INDEX('Envelope Register'!$L$5:$L$22,MATCH(C108,'Envelope Register'!$A$5:$A$22,0)),P108&gt;=-INDEX('Envelope Register'!$P$5:$P$22,MATCH(C108,'Envelope Register'!$A$5:$A$22,0)),Q108&lt;=INDEX('Envelope Register'!$N$5:$N$22,MATCH(C108,'Envelope Register'!$A$5:$A$22,0)),L108&lt;M108,N108&lt;O108,P108&lt;Q108,R108=1,U108=1),"PASS","FAIL")</f>
        <v>PASS</v>
      </c>
      <c r="T108" s="11" t="s">
        <v>251</v>
      </c>
      <c r="U108" s="12" t="n">
        <f aca="false">COUNTIF($A$5:$A$112,A108)</f>
        <v>1</v>
      </c>
    </row>
    <row r="109" customFormat="false" ht="15" hidden="false" customHeight="false" outlineLevel="0" collapsed="false">
      <c r="A109" s="11" t="s">
        <v>391</v>
      </c>
      <c r="B109" s="11" t="s">
        <v>171</v>
      </c>
      <c r="C109" s="11" t="s">
        <v>42</v>
      </c>
      <c r="D109" s="11" t="s">
        <v>376</v>
      </c>
      <c r="E109" s="22" t="n">
        <v>0.5</v>
      </c>
      <c r="F109" s="22" t="n">
        <v>0.035</v>
      </c>
      <c r="G109" s="22" t="n">
        <v>0.2</v>
      </c>
      <c r="H109" s="22" t="n">
        <v>0.055</v>
      </c>
      <c r="I109" s="11" t="s">
        <v>250</v>
      </c>
      <c r="J109" s="22" t="n">
        <v>0.35</v>
      </c>
      <c r="K109" s="22" t="n">
        <v>0.07</v>
      </c>
      <c r="L109" s="12" t="n">
        <f aca="false">ROUND(INDEX('Envelope Register'!$J$5:$J$22,MATCH(C109,'Envelope Register'!$A$5:$A$22,0))*(E109-F109),0)</f>
        <v>232</v>
      </c>
      <c r="M109" s="12" t="n">
        <f aca="false">ROUND(INDEX('Envelope Register'!$J$5:$J$22,MATCH(C109,'Envelope Register'!$A$5:$A$22,0))*(E109+F109),0)</f>
        <v>268</v>
      </c>
      <c r="N109" s="12" t="n">
        <f aca="false">ROUND(INDEX('Envelope Register'!$L$5:$L$22,MATCH(C109,'Envelope Register'!$A$5:$A$22,0))*(G109-H109),0)</f>
        <v>15</v>
      </c>
      <c r="O109" s="12" t="n">
        <f aca="false">ROUND(INDEX('Envelope Register'!$L$5:$L$22,MATCH(C109,'Envelope Register'!$A$5:$A$22,0))*(G109+H109),0)</f>
        <v>26</v>
      </c>
      <c r="P109" s="12" t="n">
        <f aca="false">IF(I109="DEPTH",ROUND(-INDEX('Envelope Register'!$P$5:$P$22,MATCH(C109,'Envelope Register'!$A$5:$A$22,0))*(J109+K109),0),ROUND(INDEX('Envelope Register'!$N$5:$N$22,MATCH(C109,'Envelope Register'!$A$5:$A$22,0))*(J109-K109),0))</f>
        <v>2</v>
      </c>
      <c r="Q109" s="12" t="n">
        <f aca="false">IF(I109="DEPTH",ROUND(-INDEX('Envelope Register'!$P$5:$P$22,MATCH(C109,'Envelope Register'!$A$5:$A$22,0))*(J109-K109),0),ROUND(INDEX('Envelope Register'!$N$5:$N$22,MATCH(C109,'Envelope Register'!$A$5:$A$22,0))*(J109+K109),0))</f>
        <v>3</v>
      </c>
      <c r="R109" s="12" t="n">
        <f aca="false">COUNTIFS($C$5:$C$112,C109,$D$5:$D$112,D109)</f>
        <v>1</v>
      </c>
      <c r="S109" s="11" t="str">
        <f aca="false">IF(AND(L109&gt;=0,M109&lt;=INDEX('Envelope Register'!$J$5:$J$22,MATCH(C109,'Envelope Register'!$A$5:$A$22,0)),N109&gt;=0,O109&lt;=INDEX('Envelope Register'!$L$5:$L$22,MATCH(C109,'Envelope Register'!$A$5:$A$22,0)),P109&gt;=-INDEX('Envelope Register'!$P$5:$P$22,MATCH(C109,'Envelope Register'!$A$5:$A$22,0)),Q109&lt;=INDEX('Envelope Register'!$N$5:$N$22,MATCH(C109,'Envelope Register'!$A$5:$A$22,0)),L109&lt;M109,N109&lt;O109,P109&lt;Q109,R109=1,U109=1),"PASS","FAIL")</f>
        <v>PASS</v>
      </c>
      <c r="T109" s="11" t="s">
        <v>251</v>
      </c>
      <c r="U109" s="12" t="n">
        <f aca="false">COUNTIF($A$5:$A$112,A109)</f>
        <v>1</v>
      </c>
    </row>
    <row r="110" customFormat="false" ht="15" hidden="false" customHeight="false" outlineLevel="0" collapsed="false">
      <c r="A110" s="11" t="s">
        <v>392</v>
      </c>
      <c r="B110" s="11" t="s">
        <v>171</v>
      </c>
      <c r="C110" s="11" t="s">
        <v>42</v>
      </c>
      <c r="D110" s="11" t="s">
        <v>378</v>
      </c>
      <c r="E110" s="22" t="n">
        <v>0.5</v>
      </c>
      <c r="F110" s="22" t="n">
        <v>0.035</v>
      </c>
      <c r="G110" s="22" t="n">
        <v>0.8</v>
      </c>
      <c r="H110" s="22" t="n">
        <v>0.055</v>
      </c>
      <c r="I110" s="11" t="s">
        <v>250</v>
      </c>
      <c r="J110" s="22" t="n">
        <v>0.48</v>
      </c>
      <c r="K110" s="22" t="n">
        <v>0.07</v>
      </c>
      <c r="L110" s="12" t="n">
        <f aca="false">ROUND(INDEX('Envelope Register'!$J$5:$J$22,MATCH(C110,'Envelope Register'!$A$5:$A$22,0))*(E110-F110),0)</f>
        <v>232</v>
      </c>
      <c r="M110" s="12" t="n">
        <f aca="false">ROUND(INDEX('Envelope Register'!$J$5:$J$22,MATCH(C110,'Envelope Register'!$A$5:$A$22,0))*(E110+F110),0)</f>
        <v>268</v>
      </c>
      <c r="N110" s="12" t="n">
        <f aca="false">ROUND(INDEX('Envelope Register'!$L$5:$L$22,MATCH(C110,'Envelope Register'!$A$5:$A$22,0))*(G110-H110),0)</f>
        <v>75</v>
      </c>
      <c r="O110" s="12" t="n">
        <f aca="false">ROUND(INDEX('Envelope Register'!$L$5:$L$22,MATCH(C110,'Envelope Register'!$A$5:$A$22,0))*(G110+H110),0)</f>
        <v>86</v>
      </c>
      <c r="P110" s="12" t="n">
        <f aca="false">IF(I110="DEPTH",ROUND(-INDEX('Envelope Register'!$P$5:$P$22,MATCH(C110,'Envelope Register'!$A$5:$A$22,0))*(J110+K110),0),ROUND(INDEX('Envelope Register'!$N$5:$N$22,MATCH(C110,'Envelope Register'!$A$5:$A$22,0))*(J110-K110),0))</f>
        <v>3</v>
      </c>
      <c r="Q110" s="12" t="n">
        <f aca="false">IF(I110="DEPTH",ROUND(-INDEX('Envelope Register'!$P$5:$P$22,MATCH(C110,'Envelope Register'!$A$5:$A$22,0))*(J110-K110),0),ROUND(INDEX('Envelope Register'!$N$5:$N$22,MATCH(C110,'Envelope Register'!$A$5:$A$22,0))*(J110+K110),0))</f>
        <v>4</v>
      </c>
      <c r="R110" s="12" t="n">
        <f aca="false">COUNTIFS($C$5:$C$112,C110,$D$5:$D$112,D110)</f>
        <v>1</v>
      </c>
      <c r="S110" s="11" t="str">
        <f aca="false">IF(AND(L110&gt;=0,M110&lt;=INDEX('Envelope Register'!$J$5:$J$22,MATCH(C110,'Envelope Register'!$A$5:$A$22,0)),N110&gt;=0,O110&lt;=INDEX('Envelope Register'!$L$5:$L$22,MATCH(C110,'Envelope Register'!$A$5:$A$22,0)),P110&gt;=-INDEX('Envelope Register'!$P$5:$P$22,MATCH(C110,'Envelope Register'!$A$5:$A$22,0)),Q110&lt;=INDEX('Envelope Register'!$N$5:$N$22,MATCH(C110,'Envelope Register'!$A$5:$A$22,0)),L110&lt;M110,N110&lt;O110,P110&lt;Q110,R110=1,U110=1),"PASS","FAIL")</f>
        <v>PASS</v>
      </c>
      <c r="T110" s="11" t="s">
        <v>251</v>
      </c>
      <c r="U110" s="12" t="n">
        <f aca="false">COUNTIF($A$5:$A$112,A110)</f>
        <v>1</v>
      </c>
    </row>
    <row r="111" customFormat="false" ht="15" hidden="false" customHeight="false" outlineLevel="0" collapsed="false">
      <c r="A111" s="11" t="s">
        <v>393</v>
      </c>
      <c r="B111" s="11" t="s">
        <v>171</v>
      </c>
      <c r="C111" s="11" t="s">
        <v>42</v>
      </c>
      <c r="D111" s="11" t="s">
        <v>380</v>
      </c>
      <c r="E111" s="22" t="n">
        <v>0.85</v>
      </c>
      <c r="F111" s="22" t="n">
        <v>0.035</v>
      </c>
      <c r="G111" s="22" t="n">
        <v>0.2</v>
      </c>
      <c r="H111" s="22" t="n">
        <v>0.055</v>
      </c>
      <c r="I111" s="11" t="s">
        <v>250</v>
      </c>
      <c r="J111" s="22" t="n">
        <v>0.62</v>
      </c>
      <c r="K111" s="22" t="n">
        <v>0.07</v>
      </c>
      <c r="L111" s="12" t="n">
        <f aca="false">ROUND(INDEX('Envelope Register'!$J$5:$J$22,MATCH(C111,'Envelope Register'!$A$5:$A$22,0))*(E111-F111),0)</f>
        <v>408</v>
      </c>
      <c r="M111" s="12" t="n">
        <f aca="false">ROUND(INDEX('Envelope Register'!$J$5:$J$22,MATCH(C111,'Envelope Register'!$A$5:$A$22,0))*(E111+F111),0)</f>
        <v>443</v>
      </c>
      <c r="N111" s="12" t="n">
        <f aca="false">ROUND(INDEX('Envelope Register'!$L$5:$L$22,MATCH(C111,'Envelope Register'!$A$5:$A$22,0))*(G111-H111),0)</f>
        <v>15</v>
      </c>
      <c r="O111" s="12" t="n">
        <f aca="false">ROUND(INDEX('Envelope Register'!$L$5:$L$22,MATCH(C111,'Envelope Register'!$A$5:$A$22,0))*(G111+H111),0)</f>
        <v>26</v>
      </c>
      <c r="P111" s="12" t="n">
        <f aca="false">IF(I111="DEPTH",ROUND(-INDEX('Envelope Register'!$P$5:$P$22,MATCH(C111,'Envelope Register'!$A$5:$A$22,0))*(J111+K111),0),ROUND(INDEX('Envelope Register'!$N$5:$N$22,MATCH(C111,'Envelope Register'!$A$5:$A$22,0))*(J111-K111),0))</f>
        <v>4</v>
      </c>
      <c r="Q111" s="12" t="n">
        <f aca="false">IF(I111="DEPTH",ROUND(-INDEX('Envelope Register'!$P$5:$P$22,MATCH(C111,'Envelope Register'!$A$5:$A$22,0))*(J111-K111),0),ROUND(INDEX('Envelope Register'!$N$5:$N$22,MATCH(C111,'Envelope Register'!$A$5:$A$22,0))*(J111+K111),0))</f>
        <v>6</v>
      </c>
      <c r="R111" s="12" t="n">
        <f aca="false">COUNTIFS($C$5:$C$112,C111,$D$5:$D$112,D111)</f>
        <v>1</v>
      </c>
      <c r="S111" s="11" t="str">
        <f aca="false">IF(AND(L111&gt;=0,M111&lt;=INDEX('Envelope Register'!$J$5:$J$22,MATCH(C111,'Envelope Register'!$A$5:$A$22,0)),N111&gt;=0,O111&lt;=INDEX('Envelope Register'!$L$5:$L$22,MATCH(C111,'Envelope Register'!$A$5:$A$22,0)),P111&gt;=-INDEX('Envelope Register'!$P$5:$P$22,MATCH(C111,'Envelope Register'!$A$5:$A$22,0)),Q111&lt;=INDEX('Envelope Register'!$N$5:$N$22,MATCH(C111,'Envelope Register'!$A$5:$A$22,0)),L111&lt;M111,N111&lt;O111,P111&lt;Q111,R111=1,U111=1),"PASS","FAIL")</f>
        <v>PASS</v>
      </c>
      <c r="T111" s="11" t="s">
        <v>251</v>
      </c>
      <c r="U111" s="12" t="n">
        <f aca="false">COUNTIF($A$5:$A$112,A111)</f>
        <v>1</v>
      </c>
    </row>
    <row r="112" customFormat="false" ht="15" hidden="false" customHeight="false" outlineLevel="0" collapsed="false">
      <c r="A112" s="13" t="s">
        <v>394</v>
      </c>
      <c r="B112" s="13" t="s">
        <v>171</v>
      </c>
      <c r="C112" s="13" t="s">
        <v>42</v>
      </c>
      <c r="D112" s="13" t="s">
        <v>382</v>
      </c>
      <c r="E112" s="23" t="n">
        <v>0.85</v>
      </c>
      <c r="F112" s="23" t="n">
        <v>0.035</v>
      </c>
      <c r="G112" s="23" t="n">
        <v>0.8</v>
      </c>
      <c r="H112" s="23" t="n">
        <v>0.055</v>
      </c>
      <c r="I112" s="13" t="s">
        <v>250</v>
      </c>
      <c r="J112" s="23" t="n">
        <v>0.75</v>
      </c>
      <c r="K112" s="23" t="n">
        <v>0.07</v>
      </c>
      <c r="L112" s="20" t="n">
        <f aca="false">ROUND(INDEX('Envelope Register'!$J$5:$J$22,MATCH(C112,'Envelope Register'!$A$5:$A$22,0))*(E112-F112),0)</f>
        <v>408</v>
      </c>
      <c r="M112" s="20" t="n">
        <f aca="false">ROUND(INDEX('Envelope Register'!$J$5:$J$22,MATCH(C112,'Envelope Register'!$A$5:$A$22,0))*(E112+F112),0)</f>
        <v>443</v>
      </c>
      <c r="N112" s="20" t="n">
        <f aca="false">ROUND(INDEX('Envelope Register'!$L$5:$L$22,MATCH(C112,'Envelope Register'!$A$5:$A$22,0))*(G112-H112),0)</f>
        <v>75</v>
      </c>
      <c r="O112" s="20" t="n">
        <f aca="false">ROUND(INDEX('Envelope Register'!$L$5:$L$22,MATCH(C112,'Envelope Register'!$A$5:$A$22,0))*(G112+H112),0)</f>
        <v>86</v>
      </c>
      <c r="P112" s="20" t="n">
        <f aca="false">IF(I112="DEPTH",ROUND(-INDEX('Envelope Register'!$P$5:$P$22,MATCH(C112,'Envelope Register'!$A$5:$A$22,0))*(J112+K112),0),ROUND(INDEX('Envelope Register'!$N$5:$N$22,MATCH(C112,'Envelope Register'!$A$5:$A$22,0))*(J112-K112),0))</f>
        <v>5</v>
      </c>
      <c r="Q112" s="20" t="n">
        <f aca="false">IF(I112="DEPTH",ROUND(-INDEX('Envelope Register'!$P$5:$P$22,MATCH(C112,'Envelope Register'!$A$5:$A$22,0))*(J112-K112),0),ROUND(INDEX('Envelope Register'!$N$5:$N$22,MATCH(C112,'Envelope Register'!$A$5:$A$22,0))*(J112+K112),0))</f>
        <v>7</v>
      </c>
      <c r="R112" s="20" t="n">
        <f aca="false">COUNTIFS($C$5:$C$112,C112,$D$5:$D$112,D112)</f>
        <v>1</v>
      </c>
      <c r="S112" s="13" t="str">
        <f aca="false">IF(AND(L112&gt;=0,M112&lt;=INDEX('Envelope Register'!$J$5:$J$22,MATCH(C112,'Envelope Register'!$A$5:$A$22,0)),N112&gt;=0,O112&lt;=INDEX('Envelope Register'!$L$5:$L$22,MATCH(C112,'Envelope Register'!$A$5:$A$22,0)),P112&gt;=-INDEX('Envelope Register'!$P$5:$P$22,MATCH(C112,'Envelope Register'!$A$5:$A$22,0)),Q112&lt;=INDEX('Envelope Register'!$N$5:$N$22,MATCH(C112,'Envelope Register'!$A$5:$A$22,0)),L112&lt;M112,N112&lt;O112,P112&lt;Q112,R112=1,U112=1),"PASS","FAIL")</f>
        <v>PASS</v>
      </c>
      <c r="T112" s="13" t="s">
        <v>251</v>
      </c>
      <c r="U112" s="20" t="n">
        <f aca="false">COUNTIF($A$5:$A$112,A112)</f>
        <v>1</v>
      </c>
    </row>
  </sheetData>
  <mergeCells count="1">
    <mergeCell ref="A2:U2"/>
  </mergeCells>
  <conditionalFormatting sqref="S5:S112">
    <cfRule type="containsText" priority="2" operator="containsText" aboveAverage="0" equalAverage="0" bottom="0" percent="0" rank="0" text="FAIL" dxfId="2">
      <formula>NOT(ISERROR(SEARCH("FAIL",S5)))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7" min="6" style="0" width="17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27"/>
    <col collapsed="false" customWidth="true" hidden="false" outlineLevel="0" max="12" min="12" style="0" width="15"/>
  </cols>
  <sheetData>
    <row r="2" customFormat="false" ht="18.55" hidden="false" customHeight="false" outlineLevel="0" collapsed="false">
      <c r="A2" s="1" t="s">
        <v>395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3" t="s">
        <v>396</v>
      </c>
      <c r="B4" s="4" t="s">
        <v>75</v>
      </c>
      <c r="C4" s="4" t="s">
        <v>76</v>
      </c>
      <c r="D4" s="4" t="s">
        <v>397</v>
      </c>
      <c r="E4" s="4" t="s">
        <v>398</v>
      </c>
      <c r="F4" s="4" t="s">
        <v>399</v>
      </c>
      <c r="G4" s="4" t="s">
        <v>400</v>
      </c>
      <c r="H4" s="4" t="s">
        <v>401</v>
      </c>
      <c r="I4" s="4" t="s">
        <v>402</v>
      </c>
      <c r="J4" s="4" t="s">
        <v>403</v>
      </c>
      <c r="K4" s="4" t="s">
        <v>404</v>
      </c>
      <c r="L4" s="5" t="s">
        <v>405</v>
      </c>
    </row>
    <row r="5" customFormat="false" ht="15" hidden="false" customHeight="false" outlineLevel="0" collapsed="false">
      <c r="A5" s="7" t="s">
        <v>406</v>
      </c>
      <c r="B5" s="7" t="s">
        <v>10</v>
      </c>
      <c r="C5" s="7" t="s">
        <v>107</v>
      </c>
      <c r="D5" s="7" t="s">
        <v>407</v>
      </c>
      <c r="E5" s="7" t="s">
        <v>408</v>
      </c>
      <c r="F5" s="8" t="n">
        <v>2</v>
      </c>
      <c r="G5" s="8" t="n">
        <v>2</v>
      </c>
      <c r="H5" s="8" t="n">
        <v>0</v>
      </c>
      <c r="I5" s="7" t="str">
        <f aca="false">IF(G5&gt;=F5,"PASS","FAIL")</f>
        <v>PASS</v>
      </c>
      <c r="J5" s="7" t="str">
        <f aca="false">IF(H5=0,"UNOBSERVED","INVALID")</f>
        <v>UNOBSERVED</v>
      </c>
      <c r="K5" s="7" t="str">
        <f aca="false">IF(AND(I5="PASS",J5="UNOBSERVED"),"DESIGN-CLOSE / TEST OPEN","FAIL")</f>
        <v>DESIGN-CLOSE / TEST OPEN</v>
      </c>
      <c r="L5" s="7" t="s">
        <v>409</v>
      </c>
    </row>
    <row r="6" customFormat="false" ht="15" hidden="false" customHeight="false" outlineLevel="0" collapsed="false">
      <c r="A6" s="11" t="s">
        <v>410</v>
      </c>
      <c r="B6" s="11" t="s">
        <v>10</v>
      </c>
      <c r="C6" s="11" t="s">
        <v>107</v>
      </c>
      <c r="D6" s="11" t="s">
        <v>411</v>
      </c>
      <c r="E6" s="11" t="s">
        <v>412</v>
      </c>
      <c r="F6" s="12" t="n">
        <v>6</v>
      </c>
      <c r="G6" s="12" t="n">
        <v>6</v>
      </c>
      <c r="H6" s="12" t="n">
        <v>0</v>
      </c>
      <c r="I6" s="11" t="str">
        <f aca="false">IF(G6&gt;=F6,"PASS","FAIL")</f>
        <v>PASS</v>
      </c>
      <c r="J6" s="11" t="str">
        <f aca="false">IF(H6=0,"UNOBSERVED","INVALID")</f>
        <v>UNOBSERVED</v>
      </c>
      <c r="K6" s="11" t="str">
        <f aca="false">IF(AND(I6="PASS",J6="UNOBSERVED"),"DESIGN-CLOSE / TEST OPEN","FAIL")</f>
        <v>DESIGN-CLOSE / TEST OPEN</v>
      </c>
      <c r="L6" s="11" t="s">
        <v>409</v>
      </c>
    </row>
    <row r="7" customFormat="false" ht="15" hidden="false" customHeight="false" outlineLevel="0" collapsed="false">
      <c r="A7" s="11" t="s">
        <v>413</v>
      </c>
      <c r="B7" s="11" t="s">
        <v>10</v>
      </c>
      <c r="C7" s="11" t="s">
        <v>107</v>
      </c>
      <c r="D7" s="11" t="s">
        <v>414</v>
      </c>
      <c r="E7" s="11" t="s">
        <v>415</v>
      </c>
      <c r="F7" s="12" t="n">
        <v>2</v>
      </c>
      <c r="G7" s="12" t="n">
        <v>2</v>
      </c>
      <c r="H7" s="12" t="n">
        <v>0</v>
      </c>
      <c r="I7" s="11" t="str">
        <f aca="false">IF(G7&gt;=F7,"PASS","FAIL")</f>
        <v>PASS</v>
      </c>
      <c r="J7" s="11" t="str">
        <f aca="false">IF(H7=0,"UNOBSERVED","INVALID")</f>
        <v>UNOBSERVED</v>
      </c>
      <c r="K7" s="11" t="str">
        <f aca="false">IF(AND(I7="PASS",J7="UNOBSERVED"),"DESIGN-CLOSE / TEST OPEN","FAIL")</f>
        <v>DESIGN-CLOSE / TEST OPEN</v>
      </c>
      <c r="L7" s="11" t="s">
        <v>409</v>
      </c>
    </row>
    <row r="8" customFormat="false" ht="15" hidden="false" customHeight="false" outlineLevel="0" collapsed="false">
      <c r="A8" s="11" t="s">
        <v>416</v>
      </c>
      <c r="B8" s="11" t="s">
        <v>10</v>
      </c>
      <c r="C8" s="11" t="s">
        <v>107</v>
      </c>
      <c r="D8" s="11" t="s">
        <v>417</v>
      </c>
      <c r="E8" s="11" t="s">
        <v>418</v>
      </c>
      <c r="F8" s="12" t="n">
        <v>2</v>
      </c>
      <c r="G8" s="12" t="n">
        <v>2</v>
      </c>
      <c r="H8" s="12" t="n">
        <v>0</v>
      </c>
      <c r="I8" s="11" t="str">
        <f aca="false">IF(G8&gt;=F8,"PASS","FAIL")</f>
        <v>PASS</v>
      </c>
      <c r="J8" s="11" t="str">
        <f aca="false">IF(H8=0,"UNOBSERVED","INVALID")</f>
        <v>UNOBSERVED</v>
      </c>
      <c r="K8" s="11" t="str">
        <f aca="false">IF(AND(I8="PASS",J8="UNOBSERVED"),"DESIGN-CLOSE / TEST OPEN","FAIL")</f>
        <v>DESIGN-CLOSE / TEST OPEN</v>
      </c>
      <c r="L8" s="11" t="s">
        <v>409</v>
      </c>
    </row>
    <row r="9" customFormat="false" ht="15" hidden="false" customHeight="false" outlineLevel="0" collapsed="false">
      <c r="A9" s="11" t="s">
        <v>419</v>
      </c>
      <c r="B9" s="11" t="s">
        <v>10</v>
      </c>
      <c r="C9" s="11" t="s">
        <v>107</v>
      </c>
      <c r="D9" s="11" t="s">
        <v>420</v>
      </c>
      <c r="E9" s="11" t="s">
        <v>421</v>
      </c>
      <c r="F9" s="12" t="n">
        <v>2</v>
      </c>
      <c r="G9" s="12" t="n">
        <v>2</v>
      </c>
      <c r="H9" s="12" t="n">
        <v>0</v>
      </c>
      <c r="I9" s="11" t="str">
        <f aca="false">IF(G9&gt;=F9,"PASS","FAIL")</f>
        <v>PASS</v>
      </c>
      <c r="J9" s="11" t="str">
        <f aca="false">IF(H9=0,"UNOBSERVED","INVALID")</f>
        <v>UNOBSERVED</v>
      </c>
      <c r="K9" s="11" t="str">
        <f aca="false">IF(AND(I9="PASS",J9="UNOBSERVED"),"DESIGN-CLOSE / TEST OPEN","FAIL")</f>
        <v>DESIGN-CLOSE / TEST OPEN</v>
      </c>
      <c r="L9" s="11" t="s">
        <v>409</v>
      </c>
    </row>
    <row r="10" customFormat="false" ht="15" hidden="false" customHeight="false" outlineLevel="0" collapsed="false">
      <c r="A10" s="11" t="s">
        <v>422</v>
      </c>
      <c r="B10" s="11" t="s">
        <v>10</v>
      </c>
      <c r="C10" s="11" t="s">
        <v>107</v>
      </c>
      <c r="D10" s="11" t="s">
        <v>423</v>
      </c>
      <c r="E10" s="11" t="s">
        <v>424</v>
      </c>
      <c r="F10" s="12" t="n">
        <v>2</v>
      </c>
      <c r="G10" s="12" t="n">
        <v>2</v>
      </c>
      <c r="H10" s="12" t="n">
        <v>0</v>
      </c>
      <c r="I10" s="11" t="str">
        <f aca="false">IF(G10&gt;=F10,"PASS","FAIL")</f>
        <v>PASS</v>
      </c>
      <c r="J10" s="11" t="str">
        <f aca="false">IF(H10=0,"UNOBSERVED","INVALID")</f>
        <v>UNOBSERVED</v>
      </c>
      <c r="K10" s="11" t="str">
        <f aca="false">IF(AND(I10="PASS",J10="UNOBSERVED"),"DESIGN-CLOSE / TEST OPEN","FAIL")</f>
        <v>DESIGN-CLOSE / TEST OPEN</v>
      </c>
      <c r="L10" s="11" t="s">
        <v>409</v>
      </c>
    </row>
    <row r="11" customFormat="false" ht="15" hidden="false" customHeight="false" outlineLevel="0" collapsed="false">
      <c r="A11" s="11" t="s">
        <v>425</v>
      </c>
      <c r="B11" s="11" t="s">
        <v>12</v>
      </c>
      <c r="C11" s="11" t="s">
        <v>107</v>
      </c>
      <c r="D11" s="11" t="s">
        <v>407</v>
      </c>
      <c r="E11" s="11" t="s">
        <v>408</v>
      </c>
      <c r="F11" s="12" t="n">
        <v>2</v>
      </c>
      <c r="G11" s="12" t="n">
        <v>2</v>
      </c>
      <c r="H11" s="12" t="n">
        <v>0</v>
      </c>
      <c r="I11" s="11" t="str">
        <f aca="false">IF(G11&gt;=F11,"PASS","FAIL")</f>
        <v>PASS</v>
      </c>
      <c r="J11" s="11" t="str">
        <f aca="false">IF(H11=0,"UNOBSERVED","INVALID")</f>
        <v>UNOBSERVED</v>
      </c>
      <c r="K11" s="11" t="str">
        <f aca="false">IF(AND(I11="PASS",J11="UNOBSERVED"),"DESIGN-CLOSE / TEST OPEN","FAIL")</f>
        <v>DESIGN-CLOSE / TEST OPEN</v>
      </c>
      <c r="L11" s="11" t="s">
        <v>409</v>
      </c>
    </row>
    <row r="12" customFormat="false" ht="15" hidden="false" customHeight="false" outlineLevel="0" collapsed="false">
      <c r="A12" s="11" t="s">
        <v>426</v>
      </c>
      <c r="B12" s="11" t="s">
        <v>12</v>
      </c>
      <c r="C12" s="11" t="s">
        <v>107</v>
      </c>
      <c r="D12" s="11" t="s">
        <v>411</v>
      </c>
      <c r="E12" s="11" t="s">
        <v>412</v>
      </c>
      <c r="F12" s="12" t="n">
        <v>6</v>
      </c>
      <c r="G12" s="12" t="n">
        <v>6</v>
      </c>
      <c r="H12" s="12" t="n">
        <v>0</v>
      </c>
      <c r="I12" s="11" t="str">
        <f aca="false">IF(G12&gt;=F12,"PASS","FAIL")</f>
        <v>PASS</v>
      </c>
      <c r="J12" s="11" t="str">
        <f aca="false">IF(H12=0,"UNOBSERVED","INVALID")</f>
        <v>UNOBSERVED</v>
      </c>
      <c r="K12" s="11" t="str">
        <f aca="false">IF(AND(I12="PASS",J12="UNOBSERVED"),"DESIGN-CLOSE / TEST OPEN","FAIL")</f>
        <v>DESIGN-CLOSE / TEST OPEN</v>
      </c>
      <c r="L12" s="11" t="s">
        <v>409</v>
      </c>
    </row>
    <row r="13" customFormat="false" ht="15" hidden="false" customHeight="false" outlineLevel="0" collapsed="false">
      <c r="A13" s="11" t="s">
        <v>427</v>
      </c>
      <c r="B13" s="11" t="s">
        <v>12</v>
      </c>
      <c r="C13" s="11" t="s">
        <v>107</v>
      </c>
      <c r="D13" s="11" t="s">
        <v>414</v>
      </c>
      <c r="E13" s="11" t="s">
        <v>415</v>
      </c>
      <c r="F13" s="12" t="n">
        <v>2</v>
      </c>
      <c r="G13" s="12" t="n">
        <v>2</v>
      </c>
      <c r="H13" s="12" t="n">
        <v>0</v>
      </c>
      <c r="I13" s="11" t="str">
        <f aca="false">IF(G13&gt;=F13,"PASS","FAIL")</f>
        <v>PASS</v>
      </c>
      <c r="J13" s="11" t="str">
        <f aca="false">IF(H13=0,"UNOBSERVED","INVALID")</f>
        <v>UNOBSERVED</v>
      </c>
      <c r="K13" s="11" t="str">
        <f aca="false">IF(AND(I13="PASS",J13="UNOBSERVED"),"DESIGN-CLOSE / TEST OPEN","FAIL")</f>
        <v>DESIGN-CLOSE / TEST OPEN</v>
      </c>
      <c r="L13" s="11" t="s">
        <v>409</v>
      </c>
    </row>
    <row r="14" customFormat="false" ht="15" hidden="false" customHeight="false" outlineLevel="0" collapsed="false">
      <c r="A14" s="11" t="s">
        <v>428</v>
      </c>
      <c r="B14" s="11" t="s">
        <v>12</v>
      </c>
      <c r="C14" s="11" t="s">
        <v>107</v>
      </c>
      <c r="D14" s="11" t="s">
        <v>417</v>
      </c>
      <c r="E14" s="11" t="s">
        <v>418</v>
      </c>
      <c r="F14" s="12" t="n">
        <v>2</v>
      </c>
      <c r="G14" s="12" t="n">
        <v>2</v>
      </c>
      <c r="H14" s="12" t="n">
        <v>0</v>
      </c>
      <c r="I14" s="11" t="str">
        <f aca="false">IF(G14&gt;=F14,"PASS","FAIL")</f>
        <v>PASS</v>
      </c>
      <c r="J14" s="11" t="str">
        <f aca="false">IF(H14=0,"UNOBSERVED","INVALID")</f>
        <v>UNOBSERVED</v>
      </c>
      <c r="K14" s="11" t="str">
        <f aca="false">IF(AND(I14="PASS",J14="UNOBSERVED"),"DESIGN-CLOSE / TEST OPEN","FAIL")</f>
        <v>DESIGN-CLOSE / TEST OPEN</v>
      </c>
      <c r="L14" s="11" t="s">
        <v>409</v>
      </c>
    </row>
    <row r="15" customFormat="false" ht="15" hidden="false" customHeight="false" outlineLevel="0" collapsed="false">
      <c r="A15" s="11" t="s">
        <v>429</v>
      </c>
      <c r="B15" s="11" t="s">
        <v>12</v>
      </c>
      <c r="C15" s="11" t="s">
        <v>107</v>
      </c>
      <c r="D15" s="11" t="s">
        <v>420</v>
      </c>
      <c r="E15" s="11" t="s">
        <v>421</v>
      </c>
      <c r="F15" s="12" t="n">
        <v>2</v>
      </c>
      <c r="G15" s="12" t="n">
        <v>2</v>
      </c>
      <c r="H15" s="12" t="n">
        <v>0</v>
      </c>
      <c r="I15" s="11" t="str">
        <f aca="false">IF(G15&gt;=F15,"PASS","FAIL")</f>
        <v>PASS</v>
      </c>
      <c r="J15" s="11" t="str">
        <f aca="false">IF(H15=0,"UNOBSERVED","INVALID")</f>
        <v>UNOBSERVED</v>
      </c>
      <c r="K15" s="11" t="str">
        <f aca="false">IF(AND(I15="PASS",J15="UNOBSERVED"),"DESIGN-CLOSE / TEST OPEN","FAIL")</f>
        <v>DESIGN-CLOSE / TEST OPEN</v>
      </c>
      <c r="L15" s="11" t="s">
        <v>409</v>
      </c>
    </row>
    <row r="16" customFormat="false" ht="15" hidden="false" customHeight="false" outlineLevel="0" collapsed="false">
      <c r="A16" s="11" t="s">
        <v>430</v>
      </c>
      <c r="B16" s="11" t="s">
        <v>12</v>
      </c>
      <c r="C16" s="11" t="s">
        <v>107</v>
      </c>
      <c r="D16" s="11" t="s">
        <v>423</v>
      </c>
      <c r="E16" s="11" t="s">
        <v>424</v>
      </c>
      <c r="F16" s="12" t="n">
        <v>2</v>
      </c>
      <c r="G16" s="12" t="n">
        <v>2</v>
      </c>
      <c r="H16" s="12" t="n">
        <v>0</v>
      </c>
      <c r="I16" s="11" t="str">
        <f aca="false">IF(G16&gt;=F16,"PASS","FAIL")</f>
        <v>PASS</v>
      </c>
      <c r="J16" s="11" t="str">
        <f aca="false">IF(H16=0,"UNOBSERVED","INVALID")</f>
        <v>UNOBSERVED</v>
      </c>
      <c r="K16" s="11" t="str">
        <f aca="false">IF(AND(I16="PASS",J16="UNOBSERVED"),"DESIGN-CLOSE / TEST OPEN","FAIL")</f>
        <v>DESIGN-CLOSE / TEST OPEN</v>
      </c>
      <c r="L16" s="11" t="s">
        <v>409</v>
      </c>
    </row>
    <row r="17" customFormat="false" ht="15" hidden="false" customHeight="false" outlineLevel="0" collapsed="false">
      <c r="A17" s="11" t="s">
        <v>431</v>
      </c>
      <c r="B17" s="11" t="s">
        <v>15</v>
      </c>
      <c r="C17" s="11" t="s">
        <v>107</v>
      </c>
      <c r="D17" s="11" t="s">
        <v>407</v>
      </c>
      <c r="E17" s="11" t="s">
        <v>408</v>
      </c>
      <c r="F17" s="12" t="n">
        <v>2</v>
      </c>
      <c r="G17" s="12" t="n">
        <v>2</v>
      </c>
      <c r="H17" s="12" t="n">
        <v>0</v>
      </c>
      <c r="I17" s="11" t="str">
        <f aca="false">IF(G17&gt;=F17,"PASS","FAIL")</f>
        <v>PASS</v>
      </c>
      <c r="J17" s="11" t="str">
        <f aca="false">IF(H17=0,"UNOBSERVED","INVALID")</f>
        <v>UNOBSERVED</v>
      </c>
      <c r="K17" s="11" t="str">
        <f aca="false">IF(AND(I17="PASS",J17="UNOBSERVED"),"DESIGN-CLOSE / TEST OPEN","FAIL")</f>
        <v>DESIGN-CLOSE / TEST OPEN</v>
      </c>
      <c r="L17" s="11" t="s">
        <v>409</v>
      </c>
    </row>
    <row r="18" customFormat="false" ht="15" hidden="false" customHeight="false" outlineLevel="0" collapsed="false">
      <c r="A18" s="11" t="s">
        <v>432</v>
      </c>
      <c r="B18" s="11" t="s">
        <v>15</v>
      </c>
      <c r="C18" s="11" t="s">
        <v>107</v>
      </c>
      <c r="D18" s="11" t="s">
        <v>411</v>
      </c>
      <c r="E18" s="11" t="s">
        <v>412</v>
      </c>
      <c r="F18" s="12" t="n">
        <v>6</v>
      </c>
      <c r="G18" s="12" t="n">
        <v>6</v>
      </c>
      <c r="H18" s="12" t="n">
        <v>0</v>
      </c>
      <c r="I18" s="11" t="str">
        <f aca="false">IF(G18&gt;=F18,"PASS","FAIL")</f>
        <v>PASS</v>
      </c>
      <c r="J18" s="11" t="str">
        <f aca="false">IF(H18=0,"UNOBSERVED","INVALID")</f>
        <v>UNOBSERVED</v>
      </c>
      <c r="K18" s="11" t="str">
        <f aca="false">IF(AND(I18="PASS",J18="UNOBSERVED"),"DESIGN-CLOSE / TEST OPEN","FAIL")</f>
        <v>DESIGN-CLOSE / TEST OPEN</v>
      </c>
      <c r="L18" s="11" t="s">
        <v>409</v>
      </c>
    </row>
    <row r="19" customFormat="false" ht="15" hidden="false" customHeight="false" outlineLevel="0" collapsed="false">
      <c r="A19" s="11" t="s">
        <v>433</v>
      </c>
      <c r="B19" s="11" t="s">
        <v>15</v>
      </c>
      <c r="C19" s="11" t="s">
        <v>107</v>
      </c>
      <c r="D19" s="11" t="s">
        <v>414</v>
      </c>
      <c r="E19" s="11" t="s">
        <v>415</v>
      </c>
      <c r="F19" s="12" t="n">
        <v>2</v>
      </c>
      <c r="G19" s="12" t="n">
        <v>2</v>
      </c>
      <c r="H19" s="12" t="n">
        <v>0</v>
      </c>
      <c r="I19" s="11" t="str">
        <f aca="false">IF(G19&gt;=F19,"PASS","FAIL")</f>
        <v>PASS</v>
      </c>
      <c r="J19" s="11" t="str">
        <f aca="false">IF(H19=0,"UNOBSERVED","INVALID")</f>
        <v>UNOBSERVED</v>
      </c>
      <c r="K19" s="11" t="str">
        <f aca="false">IF(AND(I19="PASS",J19="UNOBSERVED"),"DESIGN-CLOSE / TEST OPEN","FAIL")</f>
        <v>DESIGN-CLOSE / TEST OPEN</v>
      </c>
      <c r="L19" s="11" t="s">
        <v>409</v>
      </c>
    </row>
    <row r="20" customFormat="false" ht="15" hidden="false" customHeight="false" outlineLevel="0" collapsed="false">
      <c r="A20" s="11" t="s">
        <v>434</v>
      </c>
      <c r="B20" s="11" t="s">
        <v>15</v>
      </c>
      <c r="C20" s="11" t="s">
        <v>107</v>
      </c>
      <c r="D20" s="11" t="s">
        <v>417</v>
      </c>
      <c r="E20" s="11" t="s">
        <v>418</v>
      </c>
      <c r="F20" s="12" t="n">
        <v>2</v>
      </c>
      <c r="G20" s="12" t="n">
        <v>2</v>
      </c>
      <c r="H20" s="12" t="n">
        <v>0</v>
      </c>
      <c r="I20" s="11" t="str">
        <f aca="false">IF(G20&gt;=F20,"PASS","FAIL")</f>
        <v>PASS</v>
      </c>
      <c r="J20" s="11" t="str">
        <f aca="false">IF(H20=0,"UNOBSERVED","INVALID")</f>
        <v>UNOBSERVED</v>
      </c>
      <c r="K20" s="11" t="str">
        <f aca="false">IF(AND(I20="PASS",J20="UNOBSERVED"),"DESIGN-CLOSE / TEST OPEN","FAIL")</f>
        <v>DESIGN-CLOSE / TEST OPEN</v>
      </c>
      <c r="L20" s="11" t="s">
        <v>409</v>
      </c>
    </row>
    <row r="21" customFormat="false" ht="15" hidden="false" customHeight="false" outlineLevel="0" collapsed="false">
      <c r="A21" s="11" t="s">
        <v>435</v>
      </c>
      <c r="B21" s="11" t="s">
        <v>15</v>
      </c>
      <c r="C21" s="11" t="s">
        <v>107</v>
      </c>
      <c r="D21" s="11" t="s">
        <v>420</v>
      </c>
      <c r="E21" s="11" t="s">
        <v>421</v>
      </c>
      <c r="F21" s="12" t="n">
        <v>2</v>
      </c>
      <c r="G21" s="12" t="n">
        <v>2</v>
      </c>
      <c r="H21" s="12" t="n">
        <v>0</v>
      </c>
      <c r="I21" s="11" t="str">
        <f aca="false">IF(G21&gt;=F21,"PASS","FAIL")</f>
        <v>PASS</v>
      </c>
      <c r="J21" s="11" t="str">
        <f aca="false">IF(H21=0,"UNOBSERVED","INVALID")</f>
        <v>UNOBSERVED</v>
      </c>
      <c r="K21" s="11" t="str">
        <f aca="false">IF(AND(I21="PASS",J21="UNOBSERVED"),"DESIGN-CLOSE / TEST OPEN","FAIL")</f>
        <v>DESIGN-CLOSE / TEST OPEN</v>
      </c>
      <c r="L21" s="11" t="s">
        <v>409</v>
      </c>
    </row>
    <row r="22" customFormat="false" ht="15" hidden="false" customHeight="false" outlineLevel="0" collapsed="false">
      <c r="A22" s="11" t="s">
        <v>436</v>
      </c>
      <c r="B22" s="11" t="s">
        <v>15</v>
      </c>
      <c r="C22" s="11" t="s">
        <v>107</v>
      </c>
      <c r="D22" s="11" t="s">
        <v>423</v>
      </c>
      <c r="E22" s="11" t="s">
        <v>424</v>
      </c>
      <c r="F22" s="12" t="n">
        <v>2</v>
      </c>
      <c r="G22" s="12" t="n">
        <v>2</v>
      </c>
      <c r="H22" s="12" t="n">
        <v>0</v>
      </c>
      <c r="I22" s="11" t="str">
        <f aca="false">IF(G22&gt;=F22,"PASS","FAIL")</f>
        <v>PASS</v>
      </c>
      <c r="J22" s="11" t="str">
        <f aca="false">IF(H22=0,"UNOBSERVED","INVALID")</f>
        <v>UNOBSERVED</v>
      </c>
      <c r="K22" s="11" t="str">
        <f aca="false">IF(AND(I22="PASS",J22="UNOBSERVED"),"DESIGN-CLOSE / TEST OPEN","FAIL")</f>
        <v>DESIGN-CLOSE / TEST OPEN</v>
      </c>
      <c r="L22" s="11" t="s">
        <v>409</v>
      </c>
    </row>
    <row r="23" customFormat="false" ht="15" hidden="false" customHeight="false" outlineLevel="0" collapsed="false">
      <c r="A23" s="11" t="s">
        <v>437</v>
      </c>
      <c r="B23" s="11" t="s">
        <v>17</v>
      </c>
      <c r="C23" s="11" t="s">
        <v>123</v>
      </c>
      <c r="D23" s="11" t="s">
        <v>407</v>
      </c>
      <c r="E23" s="11" t="s">
        <v>438</v>
      </c>
      <c r="F23" s="12" t="n">
        <v>5</v>
      </c>
      <c r="G23" s="12" t="n">
        <v>5</v>
      </c>
      <c r="H23" s="12" t="n">
        <v>0</v>
      </c>
      <c r="I23" s="11" t="str">
        <f aca="false">IF(G23&gt;=F23,"PASS","FAIL")</f>
        <v>PASS</v>
      </c>
      <c r="J23" s="11" t="str">
        <f aca="false">IF(H23=0,"UNOBSERVED","INVALID")</f>
        <v>UNOBSERVED</v>
      </c>
      <c r="K23" s="11" t="str">
        <f aca="false">IF(AND(I23="PASS",J23="UNOBSERVED"),"DESIGN-CLOSE / TEST OPEN","FAIL")</f>
        <v>DESIGN-CLOSE / TEST OPEN</v>
      </c>
      <c r="L23" s="11" t="s">
        <v>409</v>
      </c>
    </row>
    <row r="24" customFormat="false" ht="15" hidden="false" customHeight="false" outlineLevel="0" collapsed="false">
      <c r="A24" s="11" t="s">
        <v>439</v>
      </c>
      <c r="B24" s="11" t="s">
        <v>17</v>
      </c>
      <c r="C24" s="11" t="s">
        <v>123</v>
      </c>
      <c r="D24" s="11" t="s">
        <v>411</v>
      </c>
      <c r="E24" s="11" t="s">
        <v>440</v>
      </c>
      <c r="F24" s="12" t="n">
        <v>7</v>
      </c>
      <c r="G24" s="12" t="n">
        <v>7</v>
      </c>
      <c r="H24" s="12" t="n">
        <v>0</v>
      </c>
      <c r="I24" s="11" t="str">
        <f aca="false">IF(G24&gt;=F24,"PASS","FAIL")</f>
        <v>PASS</v>
      </c>
      <c r="J24" s="11" t="str">
        <f aca="false">IF(H24=0,"UNOBSERVED","INVALID")</f>
        <v>UNOBSERVED</v>
      </c>
      <c r="K24" s="11" t="str">
        <f aca="false">IF(AND(I24="PASS",J24="UNOBSERVED"),"DESIGN-CLOSE / TEST OPEN","FAIL")</f>
        <v>DESIGN-CLOSE / TEST OPEN</v>
      </c>
      <c r="L24" s="11" t="s">
        <v>409</v>
      </c>
    </row>
    <row r="25" customFormat="false" ht="15" hidden="false" customHeight="false" outlineLevel="0" collapsed="false">
      <c r="A25" s="11" t="s">
        <v>441</v>
      </c>
      <c r="B25" s="11" t="s">
        <v>17</v>
      </c>
      <c r="C25" s="11" t="s">
        <v>123</v>
      </c>
      <c r="D25" s="11" t="s">
        <v>414</v>
      </c>
      <c r="E25" s="11" t="s">
        <v>442</v>
      </c>
      <c r="F25" s="12" t="n">
        <v>5</v>
      </c>
      <c r="G25" s="12" t="n">
        <v>5</v>
      </c>
      <c r="H25" s="12" t="n">
        <v>0</v>
      </c>
      <c r="I25" s="11" t="str">
        <f aca="false">IF(G25&gt;=F25,"PASS","FAIL")</f>
        <v>PASS</v>
      </c>
      <c r="J25" s="11" t="str">
        <f aca="false">IF(H25=0,"UNOBSERVED","INVALID")</f>
        <v>UNOBSERVED</v>
      </c>
      <c r="K25" s="11" t="str">
        <f aca="false">IF(AND(I25="PASS",J25="UNOBSERVED"),"DESIGN-CLOSE / TEST OPEN","FAIL")</f>
        <v>DESIGN-CLOSE / TEST OPEN</v>
      </c>
      <c r="L25" s="11" t="s">
        <v>409</v>
      </c>
    </row>
    <row r="26" customFormat="false" ht="15" hidden="false" customHeight="false" outlineLevel="0" collapsed="false">
      <c r="A26" s="11" t="s">
        <v>443</v>
      </c>
      <c r="B26" s="11" t="s">
        <v>17</v>
      </c>
      <c r="C26" s="11" t="s">
        <v>123</v>
      </c>
      <c r="D26" s="11" t="s">
        <v>417</v>
      </c>
      <c r="E26" s="11" t="s">
        <v>444</v>
      </c>
      <c r="F26" s="12" t="n">
        <v>5</v>
      </c>
      <c r="G26" s="12" t="n">
        <v>5</v>
      </c>
      <c r="H26" s="12" t="n">
        <v>0</v>
      </c>
      <c r="I26" s="11" t="str">
        <f aca="false">IF(G26&gt;=F26,"PASS","FAIL")</f>
        <v>PASS</v>
      </c>
      <c r="J26" s="11" t="str">
        <f aca="false">IF(H26=0,"UNOBSERVED","INVALID")</f>
        <v>UNOBSERVED</v>
      </c>
      <c r="K26" s="11" t="str">
        <f aca="false">IF(AND(I26="PASS",J26="UNOBSERVED"),"DESIGN-CLOSE / TEST OPEN","FAIL")</f>
        <v>DESIGN-CLOSE / TEST OPEN</v>
      </c>
      <c r="L26" s="11" t="s">
        <v>409</v>
      </c>
    </row>
    <row r="27" customFormat="false" ht="15" hidden="false" customHeight="false" outlineLevel="0" collapsed="false">
      <c r="A27" s="11" t="s">
        <v>445</v>
      </c>
      <c r="B27" s="11" t="s">
        <v>17</v>
      </c>
      <c r="C27" s="11" t="s">
        <v>123</v>
      </c>
      <c r="D27" s="11" t="s">
        <v>420</v>
      </c>
      <c r="E27" s="11" t="s">
        <v>446</v>
      </c>
      <c r="F27" s="12" t="n">
        <v>5</v>
      </c>
      <c r="G27" s="12" t="n">
        <v>5</v>
      </c>
      <c r="H27" s="12" t="n">
        <v>0</v>
      </c>
      <c r="I27" s="11" t="str">
        <f aca="false">IF(G27&gt;=F27,"PASS","FAIL")</f>
        <v>PASS</v>
      </c>
      <c r="J27" s="11" t="str">
        <f aca="false">IF(H27=0,"UNOBSERVED","INVALID")</f>
        <v>UNOBSERVED</v>
      </c>
      <c r="K27" s="11" t="str">
        <f aca="false">IF(AND(I27="PASS",J27="UNOBSERVED"),"DESIGN-CLOSE / TEST OPEN","FAIL")</f>
        <v>DESIGN-CLOSE / TEST OPEN</v>
      </c>
      <c r="L27" s="11" t="s">
        <v>409</v>
      </c>
    </row>
    <row r="28" customFormat="false" ht="15" hidden="false" customHeight="false" outlineLevel="0" collapsed="false">
      <c r="A28" s="11" t="s">
        <v>447</v>
      </c>
      <c r="B28" s="11" t="s">
        <v>17</v>
      </c>
      <c r="C28" s="11" t="s">
        <v>123</v>
      </c>
      <c r="D28" s="11" t="s">
        <v>423</v>
      </c>
      <c r="E28" s="11" t="s">
        <v>448</v>
      </c>
      <c r="F28" s="12" t="n">
        <v>5</v>
      </c>
      <c r="G28" s="12" t="n">
        <v>5</v>
      </c>
      <c r="H28" s="12" t="n">
        <v>0</v>
      </c>
      <c r="I28" s="11" t="str">
        <f aca="false">IF(G28&gt;=F28,"PASS","FAIL")</f>
        <v>PASS</v>
      </c>
      <c r="J28" s="11" t="str">
        <f aca="false">IF(H28=0,"UNOBSERVED","INVALID")</f>
        <v>UNOBSERVED</v>
      </c>
      <c r="K28" s="11" t="str">
        <f aca="false">IF(AND(I28="PASS",J28="UNOBSERVED"),"DESIGN-CLOSE / TEST OPEN","FAIL")</f>
        <v>DESIGN-CLOSE / TEST OPEN</v>
      </c>
      <c r="L28" s="11" t="s">
        <v>409</v>
      </c>
    </row>
    <row r="29" customFormat="false" ht="15" hidden="false" customHeight="false" outlineLevel="0" collapsed="false">
      <c r="A29" s="11" t="s">
        <v>449</v>
      </c>
      <c r="B29" s="11" t="s">
        <v>19</v>
      </c>
      <c r="C29" s="11" t="s">
        <v>123</v>
      </c>
      <c r="D29" s="11" t="s">
        <v>407</v>
      </c>
      <c r="E29" s="11" t="s">
        <v>438</v>
      </c>
      <c r="F29" s="12" t="n">
        <v>5</v>
      </c>
      <c r="G29" s="12" t="n">
        <v>5</v>
      </c>
      <c r="H29" s="12" t="n">
        <v>0</v>
      </c>
      <c r="I29" s="11" t="str">
        <f aca="false">IF(G29&gt;=F29,"PASS","FAIL")</f>
        <v>PASS</v>
      </c>
      <c r="J29" s="11" t="str">
        <f aca="false">IF(H29=0,"UNOBSERVED","INVALID")</f>
        <v>UNOBSERVED</v>
      </c>
      <c r="K29" s="11" t="str">
        <f aca="false">IF(AND(I29="PASS",J29="UNOBSERVED"),"DESIGN-CLOSE / TEST OPEN","FAIL")</f>
        <v>DESIGN-CLOSE / TEST OPEN</v>
      </c>
      <c r="L29" s="11" t="s">
        <v>409</v>
      </c>
    </row>
    <row r="30" customFormat="false" ht="15" hidden="false" customHeight="false" outlineLevel="0" collapsed="false">
      <c r="A30" s="11" t="s">
        <v>450</v>
      </c>
      <c r="B30" s="11" t="s">
        <v>19</v>
      </c>
      <c r="C30" s="11" t="s">
        <v>123</v>
      </c>
      <c r="D30" s="11" t="s">
        <v>411</v>
      </c>
      <c r="E30" s="11" t="s">
        <v>440</v>
      </c>
      <c r="F30" s="12" t="n">
        <v>7</v>
      </c>
      <c r="G30" s="12" t="n">
        <v>7</v>
      </c>
      <c r="H30" s="12" t="n">
        <v>0</v>
      </c>
      <c r="I30" s="11" t="str">
        <f aca="false">IF(G30&gt;=F30,"PASS","FAIL")</f>
        <v>PASS</v>
      </c>
      <c r="J30" s="11" t="str">
        <f aca="false">IF(H30=0,"UNOBSERVED","INVALID")</f>
        <v>UNOBSERVED</v>
      </c>
      <c r="K30" s="11" t="str">
        <f aca="false">IF(AND(I30="PASS",J30="UNOBSERVED"),"DESIGN-CLOSE / TEST OPEN","FAIL")</f>
        <v>DESIGN-CLOSE / TEST OPEN</v>
      </c>
      <c r="L30" s="11" t="s">
        <v>409</v>
      </c>
    </row>
    <row r="31" customFormat="false" ht="15" hidden="false" customHeight="false" outlineLevel="0" collapsed="false">
      <c r="A31" s="11" t="s">
        <v>451</v>
      </c>
      <c r="B31" s="11" t="s">
        <v>19</v>
      </c>
      <c r="C31" s="11" t="s">
        <v>123</v>
      </c>
      <c r="D31" s="11" t="s">
        <v>414</v>
      </c>
      <c r="E31" s="11" t="s">
        <v>442</v>
      </c>
      <c r="F31" s="12" t="n">
        <v>5</v>
      </c>
      <c r="G31" s="12" t="n">
        <v>5</v>
      </c>
      <c r="H31" s="12" t="n">
        <v>0</v>
      </c>
      <c r="I31" s="11" t="str">
        <f aca="false">IF(G31&gt;=F31,"PASS","FAIL")</f>
        <v>PASS</v>
      </c>
      <c r="J31" s="11" t="str">
        <f aca="false">IF(H31=0,"UNOBSERVED","INVALID")</f>
        <v>UNOBSERVED</v>
      </c>
      <c r="K31" s="11" t="str">
        <f aca="false">IF(AND(I31="PASS",J31="UNOBSERVED"),"DESIGN-CLOSE / TEST OPEN","FAIL")</f>
        <v>DESIGN-CLOSE / TEST OPEN</v>
      </c>
      <c r="L31" s="11" t="s">
        <v>409</v>
      </c>
    </row>
    <row r="32" customFormat="false" ht="15" hidden="false" customHeight="false" outlineLevel="0" collapsed="false">
      <c r="A32" s="11" t="s">
        <v>452</v>
      </c>
      <c r="B32" s="11" t="s">
        <v>19</v>
      </c>
      <c r="C32" s="11" t="s">
        <v>123</v>
      </c>
      <c r="D32" s="11" t="s">
        <v>417</v>
      </c>
      <c r="E32" s="11" t="s">
        <v>444</v>
      </c>
      <c r="F32" s="12" t="n">
        <v>5</v>
      </c>
      <c r="G32" s="12" t="n">
        <v>5</v>
      </c>
      <c r="H32" s="12" t="n">
        <v>0</v>
      </c>
      <c r="I32" s="11" t="str">
        <f aca="false">IF(G32&gt;=F32,"PASS","FAIL")</f>
        <v>PASS</v>
      </c>
      <c r="J32" s="11" t="str">
        <f aca="false">IF(H32=0,"UNOBSERVED","INVALID")</f>
        <v>UNOBSERVED</v>
      </c>
      <c r="K32" s="11" t="str">
        <f aca="false">IF(AND(I32="PASS",J32="UNOBSERVED"),"DESIGN-CLOSE / TEST OPEN","FAIL")</f>
        <v>DESIGN-CLOSE / TEST OPEN</v>
      </c>
      <c r="L32" s="11" t="s">
        <v>409</v>
      </c>
    </row>
    <row r="33" customFormat="false" ht="15" hidden="false" customHeight="false" outlineLevel="0" collapsed="false">
      <c r="A33" s="11" t="s">
        <v>453</v>
      </c>
      <c r="B33" s="11" t="s">
        <v>19</v>
      </c>
      <c r="C33" s="11" t="s">
        <v>123</v>
      </c>
      <c r="D33" s="11" t="s">
        <v>420</v>
      </c>
      <c r="E33" s="11" t="s">
        <v>446</v>
      </c>
      <c r="F33" s="12" t="n">
        <v>5</v>
      </c>
      <c r="G33" s="12" t="n">
        <v>5</v>
      </c>
      <c r="H33" s="12" t="n">
        <v>0</v>
      </c>
      <c r="I33" s="11" t="str">
        <f aca="false">IF(G33&gt;=F33,"PASS","FAIL")</f>
        <v>PASS</v>
      </c>
      <c r="J33" s="11" t="str">
        <f aca="false">IF(H33=0,"UNOBSERVED","INVALID")</f>
        <v>UNOBSERVED</v>
      </c>
      <c r="K33" s="11" t="str">
        <f aca="false">IF(AND(I33="PASS",J33="UNOBSERVED"),"DESIGN-CLOSE / TEST OPEN","FAIL")</f>
        <v>DESIGN-CLOSE / TEST OPEN</v>
      </c>
      <c r="L33" s="11" t="s">
        <v>409</v>
      </c>
    </row>
    <row r="34" customFormat="false" ht="15" hidden="false" customHeight="false" outlineLevel="0" collapsed="false">
      <c r="A34" s="11" t="s">
        <v>454</v>
      </c>
      <c r="B34" s="11" t="s">
        <v>19</v>
      </c>
      <c r="C34" s="11" t="s">
        <v>123</v>
      </c>
      <c r="D34" s="11" t="s">
        <v>423</v>
      </c>
      <c r="E34" s="11" t="s">
        <v>448</v>
      </c>
      <c r="F34" s="12" t="n">
        <v>5</v>
      </c>
      <c r="G34" s="12" t="n">
        <v>5</v>
      </c>
      <c r="H34" s="12" t="n">
        <v>0</v>
      </c>
      <c r="I34" s="11" t="str">
        <f aca="false">IF(G34&gt;=F34,"PASS","FAIL")</f>
        <v>PASS</v>
      </c>
      <c r="J34" s="11" t="str">
        <f aca="false">IF(H34=0,"UNOBSERVED","INVALID")</f>
        <v>UNOBSERVED</v>
      </c>
      <c r="K34" s="11" t="str">
        <f aca="false">IF(AND(I34="PASS",J34="UNOBSERVED"),"DESIGN-CLOSE / TEST OPEN","FAIL")</f>
        <v>DESIGN-CLOSE / TEST OPEN</v>
      </c>
      <c r="L34" s="11" t="s">
        <v>409</v>
      </c>
    </row>
    <row r="35" customFormat="false" ht="15" hidden="false" customHeight="false" outlineLevel="0" collapsed="false">
      <c r="A35" s="11" t="s">
        <v>455</v>
      </c>
      <c r="B35" s="11" t="s">
        <v>21</v>
      </c>
      <c r="C35" s="11" t="s">
        <v>123</v>
      </c>
      <c r="D35" s="11" t="s">
        <v>407</v>
      </c>
      <c r="E35" s="11" t="s">
        <v>438</v>
      </c>
      <c r="F35" s="12" t="n">
        <v>5</v>
      </c>
      <c r="G35" s="12" t="n">
        <v>5</v>
      </c>
      <c r="H35" s="12" t="n">
        <v>0</v>
      </c>
      <c r="I35" s="11" t="str">
        <f aca="false">IF(G35&gt;=F35,"PASS","FAIL")</f>
        <v>PASS</v>
      </c>
      <c r="J35" s="11" t="str">
        <f aca="false">IF(H35=0,"UNOBSERVED","INVALID")</f>
        <v>UNOBSERVED</v>
      </c>
      <c r="K35" s="11" t="str">
        <f aca="false">IF(AND(I35="PASS",J35="UNOBSERVED"),"DESIGN-CLOSE / TEST OPEN","FAIL")</f>
        <v>DESIGN-CLOSE / TEST OPEN</v>
      </c>
      <c r="L35" s="11" t="s">
        <v>409</v>
      </c>
    </row>
    <row r="36" customFormat="false" ht="15" hidden="false" customHeight="false" outlineLevel="0" collapsed="false">
      <c r="A36" s="11" t="s">
        <v>456</v>
      </c>
      <c r="B36" s="11" t="s">
        <v>21</v>
      </c>
      <c r="C36" s="11" t="s">
        <v>123</v>
      </c>
      <c r="D36" s="11" t="s">
        <v>411</v>
      </c>
      <c r="E36" s="11" t="s">
        <v>440</v>
      </c>
      <c r="F36" s="12" t="n">
        <v>7</v>
      </c>
      <c r="G36" s="12" t="n">
        <v>7</v>
      </c>
      <c r="H36" s="12" t="n">
        <v>0</v>
      </c>
      <c r="I36" s="11" t="str">
        <f aca="false">IF(G36&gt;=F36,"PASS","FAIL")</f>
        <v>PASS</v>
      </c>
      <c r="J36" s="11" t="str">
        <f aca="false">IF(H36=0,"UNOBSERVED","INVALID")</f>
        <v>UNOBSERVED</v>
      </c>
      <c r="K36" s="11" t="str">
        <f aca="false">IF(AND(I36="PASS",J36="UNOBSERVED"),"DESIGN-CLOSE / TEST OPEN","FAIL")</f>
        <v>DESIGN-CLOSE / TEST OPEN</v>
      </c>
      <c r="L36" s="11" t="s">
        <v>409</v>
      </c>
    </row>
    <row r="37" customFormat="false" ht="15" hidden="false" customHeight="false" outlineLevel="0" collapsed="false">
      <c r="A37" s="11" t="s">
        <v>457</v>
      </c>
      <c r="B37" s="11" t="s">
        <v>21</v>
      </c>
      <c r="C37" s="11" t="s">
        <v>123</v>
      </c>
      <c r="D37" s="11" t="s">
        <v>414</v>
      </c>
      <c r="E37" s="11" t="s">
        <v>442</v>
      </c>
      <c r="F37" s="12" t="n">
        <v>5</v>
      </c>
      <c r="G37" s="12" t="n">
        <v>5</v>
      </c>
      <c r="H37" s="12" t="n">
        <v>0</v>
      </c>
      <c r="I37" s="11" t="str">
        <f aca="false">IF(G37&gt;=F37,"PASS","FAIL")</f>
        <v>PASS</v>
      </c>
      <c r="J37" s="11" t="str">
        <f aca="false">IF(H37=0,"UNOBSERVED","INVALID")</f>
        <v>UNOBSERVED</v>
      </c>
      <c r="K37" s="11" t="str">
        <f aca="false">IF(AND(I37="PASS",J37="UNOBSERVED"),"DESIGN-CLOSE / TEST OPEN","FAIL")</f>
        <v>DESIGN-CLOSE / TEST OPEN</v>
      </c>
      <c r="L37" s="11" t="s">
        <v>409</v>
      </c>
    </row>
    <row r="38" customFormat="false" ht="15" hidden="false" customHeight="false" outlineLevel="0" collapsed="false">
      <c r="A38" s="11" t="s">
        <v>458</v>
      </c>
      <c r="B38" s="11" t="s">
        <v>21</v>
      </c>
      <c r="C38" s="11" t="s">
        <v>123</v>
      </c>
      <c r="D38" s="11" t="s">
        <v>417</v>
      </c>
      <c r="E38" s="11" t="s">
        <v>444</v>
      </c>
      <c r="F38" s="12" t="n">
        <v>5</v>
      </c>
      <c r="G38" s="12" t="n">
        <v>5</v>
      </c>
      <c r="H38" s="12" t="n">
        <v>0</v>
      </c>
      <c r="I38" s="11" t="str">
        <f aca="false">IF(G38&gt;=F38,"PASS","FAIL")</f>
        <v>PASS</v>
      </c>
      <c r="J38" s="11" t="str">
        <f aca="false">IF(H38=0,"UNOBSERVED","INVALID")</f>
        <v>UNOBSERVED</v>
      </c>
      <c r="K38" s="11" t="str">
        <f aca="false">IF(AND(I38="PASS",J38="UNOBSERVED"),"DESIGN-CLOSE / TEST OPEN","FAIL")</f>
        <v>DESIGN-CLOSE / TEST OPEN</v>
      </c>
      <c r="L38" s="11" t="s">
        <v>409</v>
      </c>
    </row>
    <row r="39" customFormat="false" ht="15" hidden="false" customHeight="false" outlineLevel="0" collapsed="false">
      <c r="A39" s="11" t="s">
        <v>459</v>
      </c>
      <c r="B39" s="11" t="s">
        <v>21</v>
      </c>
      <c r="C39" s="11" t="s">
        <v>123</v>
      </c>
      <c r="D39" s="11" t="s">
        <v>420</v>
      </c>
      <c r="E39" s="11" t="s">
        <v>446</v>
      </c>
      <c r="F39" s="12" t="n">
        <v>5</v>
      </c>
      <c r="G39" s="12" t="n">
        <v>5</v>
      </c>
      <c r="H39" s="12" t="n">
        <v>0</v>
      </c>
      <c r="I39" s="11" t="str">
        <f aca="false">IF(G39&gt;=F39,"PASS","FAIL")</f>
        <v>PASS</v>
      </c>
      <c r="J39" s="11" t="str">
        <f aca="false">IF(H39=0,"UNOBSERVED","INVALID")</f>
        <v>UNOBSERVED</v>
      </c>
      <c r="K39" s="11" t="str">
        <f aca="false">IF(AND(I39="PASS",J39="UNOBSERVED"),"DESIGN-CLOSE / TEST OPEN","FAIL")</f>
        <v>DESIGN-CLOSE / TEST OPEN</v>
      </c>
      <c r="L39" s="11" t="s">
        <v>409</v>
      </c>
    </row>
    <row r="40" customFormat="false" ht="15" hidden="false" customHeight="false" outlineLevel="0" collapsed="false">
      <c r="A40" s="11" t="s">
        <v>460</v>
      </c>
      <c r="B40" s="11" t="s">
        <v>21</v>
      </c>
      <c r="C40" s="11" t="s">
        <v>123</v>
      </c>
      <c r="D40" s="11" t="s">
        <v>423</v>
      </c>
      <c r="E40" s="11" t="s">
        <v>448</v>
      </c>
      <c r="F40" s="12" t="n">
        <v>5</v>
      </c>
      <c r="G40" s="12" t="n">
        <v>5</v>
      </c>
      <c r="H40" s="12" t="n">
        <v>0</v>
      </c>
      <c r="I40" s="11" t="str">
        <f aca="false">IF(G40&gt;=F40,"PASS","FAIL")</f>
        <v>PASS</v>
      </c>
      <c r="J40" s="11" t="str">
        <f aca="false">IF(H40=0,"UNOBSERVED","INVALID")</f>
        <v>UNOBSERVED</v>
      </c>
      <c r="K40" s="11" t="str">
        <f aca="false">IF(AND(I40="PASS",J40="UNOBSERVED"),"DESIGN-CLOSE / TEST OPEN","FAIL")</f>
        <v>DESIGN-CLOSE / TEST OPEN</v>
      </c>
      <c r="L40" s="11" t="s">
        <v>409</v>
      </c>
    </row>
    <row r="41" customFormat="false" ht="15" hidden="false" customHeight="false" outlineLevel="0" collapsed="false">
      <c r="A41" s="11" t="s">
        <v>461</v>
      </c>
      <c r="B41" s="11" t="s">
        <v>24</v>
      </c>
      <c r="C41" s="11" t="s">
        <v>136</v>
      </c>
      <c r="D41" s="11" t="s">
        <v>407</v>
      </c>
      <c r="E41" s="11" t="s">
        <v>462</v>
      </c>
      <c r="F41" s="12" t="n">
        <v>5</v>
      </c>
      <c r="G41" s="12" t="n">
        <v>5</v>
      </c>
      <c r="H41" s="12" t="n">
        <v>0</v>
      </c>
      <c r="I41" s="11" t="str">
        <f aca="false">IF(G41&gt;=F41,"PASS","FAIL")</f>
        <v>PASS</v>
      </c>
      <c r="J41" s="11" t="str">
        <f aca="false">IF(H41=0,"UNOBSERVED","INVALID")</f>
        <v>UNOBSERVED</v>
      </c>
      <c r="K41" s="11" t="str">
        <f aca="false">IF(AND(I41="PASS",J41="UNOBSERVED"),"DESIGN-CLOSE / TEST OPEN","FAIL")</f>
        <v>DESIGN-CLOSE / TEST OPEN</v>
      </c>
      <c r="L41" s="11" t="s">
        <v>409</v>
      </c>
    </row>
    <row r="42" customFormat="false" ht="15" hidden="false" customHeight="false" outlineLevel="0" collapsed="false">
      <c r="A42" s="11" t="s">
        <v>463</v>
      </c>
      <c r="B42" s="11" t="s">
        <v>24</v>
      </c>
      <c r="C42" s="11" t="s">
        <v>136</v>
      </c>
      <c r="D42" s="11" t="s">
        <v>411</v>
      </c>
      <c r="E42" s="11" t="s">
        <v>464</v>
      </c>
      <c r="F42" s="12" t="n">
        <v>8</v>
      </c>
      <c r="G42" s="12" t="n">
        <v>8</v>
      </c>
      <c r="H42" s="12" t="n">
        <v>0</v>
      </c>
      <c r="I42" s="11" t="str">
        <f aca="false">IF(G42&gt;=F42,"PASS","FAIL")</f>
        <v>PASS</v>
      </c>
      <c r="J42" s="11" t="str">
        <f aca="false">IF(H42=0,"UNOBSERVED","INVALID")</f>
        <v>UNOBSERVED</v>
      </c>
      <c r="K42" s="11" t="str">
        <f aca="false">IF(AND(I42="PASS",J42="UNOBSERVED"),"DESIGN-CLOSE / TEST OPEN","FAIL")</f>
        <v>DESIGN-CLOSE / TEST OPEN</v>
      </c>
      <c r="L42" s="11" t="s">
        <v>409</v>
      </c>
    </row>
    <row r="43" customFormat="false" ht="15" hidden="false" customHeight="false" outlineLevel="0" collapsed="false">
      <c r="A43" s="11" t="s">
        <v>465</v>
      </c>
      <c r="B43" s="11" t="s">
        <v>24</v>
      </c>
      <c r="C43" s="11" t="s">
        <v>136</v>
      </c>
      <c r="D43" s="11" t="s">
        <v>414</v>
      </c>
      <c r="E43" s="11" t="s">
        <v>466</v>
      </c>
      <c r="F43" s="12" t="n">
        <v>5</v>
      </c>
      <c r="G43" s="12" t="n">
        <v>5</v>
      </c>
      <c r="H43" s="12" t="n">
        <v>0</v>
      </c>
      <c r="I43" s="11" t="str">
        <f aca="false">IF(G43&gt;=F43,"PASS","FAIL")</f>
        <v>PASS</v>
      </c>
      <c r="J43" s="11" t="str">
        <f aca="false">IF(H43=0,"UNOBSERVED","INVALID")</f>
        <v>UNOBSERVED</v>
      </c>
      <c r="K43" s="11" t="str">
        <f aca="false">IF(AND(I43="PASS",J43="UNOBSERVED"),"DESIGN-CLOSE / TEST OPEN","FAIL")</f>
        <v>DESIGN-CLOSE / TEST OPEN</v>
      </c>
      <c r="L43" s="11" t="s">
        <v>409</v>
      </c>
    </row>
    <row r="44" customFormat="false" ht="15" hidden="false" customHeight="false" outlineLevel="0" collapsed="false">
      <c r="A44" s="11" t="s">
        <v>467</v>
      </c>
      <c r="B44" s="11" t="s">
        <v>24</v>
      </c>
      <c r="C44" s="11" t="s">
        <v>136</v>
      </c>
      <c r="D44" s="11" t="s">
        <v>417</v>
      </c>
      <c r="E44" s="11" t="s">
        <v>468</v>
      </c>
      <c r="F44" s="12" t="n">
        <v>5</v>
      </c>
      <c r="G44" s="12" t="n">
        <v>5</v>
      </c>
      <c r="H44" s="12" t="n">
        <v>0</v>
      </c>
      <c r="I44" s="11" t="str">
        <f aca="false">IF(G44&gt;=F44,"PASS","FAIL")</f>
        <v>PASS</v>
      </c>
      <c r="J44" s="11" t="str">
        <f aca="false">IF(H44=0,"UNOBSERVED","INVALID")</f>
        <v>UNOBSERVED</v>
      </c>
      <c r="K44" s="11" t="str">
        <f aca="false">IF(AND(I44="PASS",J44="UNOBSERVED"),"DESIGN-CLOSE / TEST OPEN","FAIL")</f>
        <v>DESIGN-CLOSE / TEST OPEN</v>
      </c>
      <c r="L44" s="11" t="s">
        <v>409</v>
      </c>
    </row>
    <row r="45" customFormat="false" ht="15" hidden="false" customHeight="false" outlineLevel="0" collapsed="false">
      <c r="A45" s="11" t="s">
        <v>469</v>
      </c>
      <c r="B45" s="11" t="s">
        <v>24</v>
      </c>
      <c r="C45" s="11" t="s">
        <v>136</v>
      </c>
      <c r="D45" s="11" t="s">
        <v>420</v>
      </c>
      <c r="E45" s="11" t="s">
        <v>470</v>
      </c>
      <c r="F45" s="12" t="n">
        <v>5</v>
      </c>
      <c r="G45" s="12" t="n">
        <v>5</v>
      </c>
      <c r="H45" s="12" t="n">
        <v>0</v>
      </c>
      <c r="I45" s="11" t="str">
        <f aca="false">IF(G45&gt;=F45,"PASS","FAIL")</f>
        <v>PASS</v>
      </c>
      <c r="J45" s="11" t="str">
        <f aca="false">IF(H45=0,"UNOBSERVED","INVALID")</f>
        <v>UNOBSERVED</v>
      </c>
      <c r="K45" s="11" t="str">
        <f aca="false">IF(AND(I45="PASS",J45="UNOBSERVED"),"DESIGN-CLOSE / TEST OPEN","FAIL")</f>
        <v>DESIGN-CLOSE / TEST OPEN</v>
      </c>
      <c r="L45" s="11" t="s">
        <v>409</v>
      </c>
    </row>
    <row r="46" customFormat="false" ht="15" hidden="false" customHeight="false" outlineLevel="0" collapsed="false">
      <c r="A46" s="11" t="s">
        <v>471</v>
      </c>
      <c r="B46" s="11" t="s">
        <v>24</v>
      </c>
      <c r="C46" s="11" t="s">
        <v>136</v>
      </c>
      <c r="D46" s="11" t="s">
        <v>423</v>
      </c>
      <c r="E46" s="11" t="s">
        <v>472</v>
      </c>
      <c r="F46" s="12" t="n">
        <v>5</v>
      </c>
      <c r="G46" s="12" t="n">
        <v>5</v>
      </c>
      <c r="H46" s="12" t="n">
        <v>0</v>
      </c>
      <c r="I46" s="11" t="str">
        <f aca="false">IF(G46&gt;=F46,"PASS","FAIL")</f>
        <v>PASS</v>
      </c>
      <c r="J46" s="11" t="str">
        <f aca="false">IF(H46=0,"UNOBSERVED","INVALID")</f>
        <v>UNOBSERVED</v>
      </c>
      <c r="K46" s="11" t="str">
        <f aca="false">IF(AND(I46="PASS",J46="UNOBSERVED"),"DESIGN-CLOSE / TEST OPEN","FAIL")</f>
        <v>DESIGN-CLOSE / TEST OPEN</v>
      </c>
      <c r="L46" s="11" t="s">
        <v>409</v>
      </c>
    </row>
    <row r="47" customFormat="false" ht="15" hidden="false" customHeight="false" outlineLevel="0" collapsed="false">
      <c r="A47" s="11" t="s">
        <v>473</v>
      </c>
      <c r="B47" s="11" t="s">
        <v>27</v>
      </c>
      <c r="C47" s="11" t="s">
        <v>136</v>
      </c>
      <c r="D47" s="11" t="s">
        <v>407</v>
      </c>
      <c r="E47" s="11" t="s">
        <v>462</v>
      </c>
      <c r="F47" s="12" t="n">
        <v>5</v>
      </c>
      <c r="G47" s="12" t="n">
        <v>5</v>
      </c>
      <c r="H47" s="12" t="n">
        <v>0</v>
      </c>
      <c r="I47" s="11" t="str">
        <f aca="false">IF(G47&gt;=F47,"PASS","FAIL")</f>
        <v>PASS</v>
      </c>
      <c r="J47" s="11" t="str">
        <f aca="false">IF(H47=0,"UNOBSERVED","INVALID")</f>
        <v>UNOBSERVED</v>
      </c>
      <c r="K47" s="11" t="str">
        <f aca="false">IF(AND(I47="PASS",J47="UNOBSERVED"),"DESIGN-CLOSE / TEST OPEN","FAIL")</f>
        <v>DESIGN-CLOSE / TEST OPEN</v>
      </c>
      <c r="L47" s="11" t="s">
        <v>409</v>
      </c>
    </row>
    <row r="48" customFormat="false" ht="15" hidden="false" customHeight="false" outlineLevel="0" collapsed="false">
      <c r="A48" s="11" t="s">
        <v>474</v>
      </c>
      <c r="B48" s="11" t="s">
        <v>27</v>
      </c>
      <c r="C48" s="11" t="s">
        <v>136</v>
      </c>
      <c r="D48" s="11" t="s">
        <v>411</v>
      </c>
      <c r="E48" s="11" t="s">
        <v>464</v>
      </c>
      <c r="F48" s="12" t="n">
        <v>8</v>
      </c>
      <c r="G48" s="12" t="n">
        <v>8</v>
      </c>
      <c r="H48" s="12" t="n">
        <v>0</v>
      </c>
      <c r="I48" s="11" t="str">
        <f aca="false">IF(G48&gt;=F48,"PASS","FAIL")</f>
        <v>PASS</v>
      </c>
      <c r="J48" s="11" t="str">
        <f aca="false">IF(H48=0,"UNOBSERVED","INVALID")</f>
        <v>UNOBSERVED</v>
      </c>
      <c r="K48" s="11" t="str">
        <f aca="false">IF(AND(I48="PASS",J48="UNOBSERVED"),"DESIGN-CLOSE / TEST OPEN","FAIL")</f>
        <v>DESIGN-CLOSE / TEST OPEN</v>
      </c>
      <c r="L48" s="11" t="s">
        <v>409</v>
      </c>
    </row>
    <row r="49" customFormat="false" ht="15" hidden="false" customHeight="false" outlineLevel="0" collapsed="false">
      <c r="A49" s="11" t="s">
        <v>475</v>
      </c>
      <c r="B49" s="11" t="s">
        <v>27</v>
      </c>
      <c r="C49" s="11" t="s">
        <v>136</v>
      </c>
      <c r="D49" s="11" t="s">
        <v>414</v>
      </c>
      <c r="E49" s="11" t="s">
        <v>466</v>
      </c>
      <c r="F49" s="12" t="n">
        <v>5</v>
      </c>
      <c r="G49" s="12" t="n">
        <v>5</v>
      </c>
      <c r="H49" s="12" t="n">
        <v>0</v>
      </c>
      <c r="I49" s="11" t="str">
        <f aca="false">IF(G49&gt;=F49,"PASS","FAIL")</f>
        <v>PASS</v>
      </c>
      <c r="J49" s="11" t="str">
        <f aca="false">IF(H49=0,"UNOBSERVED","INVALID")</f>
        <v>UNOBSERVED</v>
      </c>
      <c r="K49" s="11" t="str">
        <f aca="false">IF(AND(I49="PASS",J49="UNOBSERVED"),"DESIGN-CLOSE / TEST OPEN","FAIL")</f>
        <v>DESIGN-CLOSE / TEST OPEN</v>
      </c>
      <c r="L49" s="11" t="s">
        <v>409</v>
      </c>
    </row>
    <row r="50" customFormat="false" ht="15" hidden="false" customHeight="false" outlineLevel="0" collapsed="false">
      <c r="A50" s="11" t="s">
        <v>476</v>
      </c>
      <c r="B50" s="11" t="s">
        <v>27</v>
      </c>
      <c r="C50" s="11" t="s">
        <v>136</v>
      </c>
      <c r="D50" s="11" t="s">
        <v>417</v>
      </c>
      <c r="E50" s="11" t="s">
        <v>468</v>
      </c>
      <c r="F50" s="12" t="n">
        <v>5</v>
      </c>
      <c r="G50" s="12" t="n">
        <v>5</v>
      </c>
      <c r="H50" s="12" t="n">
        <v>0</v>
      </c>
      <c r="I50" s="11" t="str">
        <f aca="false">IF(G50&gt;=F50,"PASS","FAIL")</f>
        <v>PASS</v>
      </c>
      <c r="J50" s="11" t="str">
        <f aca="false">IF(H50=0,"UNOBSERVED","INVALID")</f>
        <v>UNOBSERVED</v>
      </c>
      <c r="K50" s="11" t="str">
        <f aca="false">IF(AND(I50="PASS",J50="UNOBSERVED"),"DESIGN-CLOSE / TEST OPEN","FAIL")</f>
        <v>DESIGN-CLOSE / TEST OPEN</v>
      </c>
      <c r="L50" s="11" t="s">
        <v>409</v>
      </c>
    </row>
    <row r="51" customFormat="false" ht="15" hidden="false" customHeight="false" outlineLevel="0" collapsed="false">
      <c r="A51" s="11" t="s">
        <v>477</v>
      </c>
      <c r="B51" s="11" t="s">
        <v>27</v>
      </c>
      <c r="C51" s="11" t="s">
        <v>136</v>
      </c>
      <c r="D51" s="11" t="s">
        <v>420</v>
      </c>
      <c r="E51" s="11" t="s">
        <v>470</v>
      </c>
      <c r="F51" s="12" t="n">
        <v>5</v>
      </c>
      <c r="G51" s="12" t="n">
        <v>5</v>
      </c>
      <c r="H51" s="12" t="n">
        <v>0</v>
      </c>
      <c r="I51" s="11" t="str">
        <f aca="false">IF(G51&gt;=F51,"PASS","FAIL")</f>
        <v>PASS</v>
      </c>
      <c r="J51" s="11" t="str">
        <f aca="false">IF(H51=0,"UNOBSERVED","INVALID")</f>
        <v>UNOBSERVED</v>
      </c>
      <c r="K51" s="11" t="str">
        <f aca="false">IF(AND(I51="PASS",J51="UNOBSERVED"),"DESIGN-CLOSE / TEST OPEN","FAIL")</f>
        <v>DESIGN-CLOSE / TEST OPEN</v>
      </c>
      <c r="L51" s="11" t="s">
        <v>409</v>
      </c>
    </row>
    <row r="52" customFormat="false" ht="15" hidden="false" customHeight="false" outlineLevel="0" collapsed="false">
      <c r="A52" s="11" t="s">
        <v>478</v>
      </c>
      <c r="B52" s="11" t="s">
        <v>27</v>
      </c>
      <c r="C52" s="11" t="s">
        <v>136</v>
      </c>
      <c r="D52" s="11" t="s">
        <v>423</v>
      </c>
      <c r="E52" s="11" t="s">
        <v>472</v>
      </c>
      <c r="F52" s="12" t="n">
        <v>5</v>
      </c>
      <c r="G52" s="12" t="n">
        <v>5</v>
      </c>
      <c r="H52" s="12" t="n">
        <v>0</v>
      </c>
      <c r="I52" s="11" t="str">
        <f aca="false">IF(G52&gt;=F52,"PASS","FAIL")</f>
        <v>PASS</v>
      </c>
      <c r="J52" s="11" t="str">
        <f aca="false">IF(H52=0,"UNOBSERVED","INVALID")</f>
        <v>UNOBSERVED</v>
      </c>
      <c r="K52" s="11" t="str">
        <f aca="false">IF(AND(I52="PASS",J52="UNOBSERVED"),"DESIGN-CLOSE / TEST OPEN","FAIL")</f>
        <v>DESIGN-CLOSE / TEST OPEN</v>
      </c>
      <c r="L52" s="11" t="s">
        <v>409</v>
      </c>
    </row>
    <row r="53" customFormat="false" ht="15" hidden="false" customHeight="false" outlineLevel="0" collapsed="false">
      <c r="A53" s="11" t="s">
        <v>479</v>
      </c>
      <c r="B53" s="11" t="s">
        <v>30</v>
      </c>
      <c r="C53" s="11" t="s">
        <v>136</v>
      </c>
      <c r="D53" s="11" t="s">
        <v>407</v>
      </c>
      <c r="E53" s="11" t="s">
        <v>462</v>
      </c>
      <c r="F53" s="12" t="n">
        <v>5</v>
      </c>
      <c r="G53" s="12" t="n">
        <v>5</v>
      </c>
      <c r="H53" s="12" t="n">
        <v>0</v>
      </c>
      <c r="I53" s="11" t="str">
        <f aca="false">IF(G53&gt;=F53,"PASS","FAIL")</f>
        <v>PASS</v>
      </c>
      <c r="J53" s="11" t="str">
        <f aca="false">IF(H53=0,"UNOBSERVED","INVALID")</f>
        <v>UNOBSERVED</v>
      </c>
      <c r="K53" s="11" t="str">
        <f aca="false">IF(AND(I53="PASS",J53="UNOBSERVED"),"DESIGN-CLOSE / TEST OPEN","FAIL")</f>
        <v>DESIGN-CLOSE / TEST OPEN</v>
      </c>
      <c r="L53" s="11" t="s">
        <v>409</v>
      </c>
    </row>
    <row r="54" customFormat="false" ht="15" hidden="false" customHeight="false" outlineLevel="0" collapsed="false">
      <c r="A54" s="11" t="s">
        <v>480</v>
      </c>
      <c r="B54" s="11" t="s">
        <v>30</v>
      </c>
      <c r="C54" s="11" t="s">
        <v>136</v>
      </c>
      <c r="D54" s="11" t="s">
        <v>411</v>
      </c>
      <c r="E54" s="11" t="s">
        <v>464</v>
      </c>
      <c r="F54" s="12" t="n">
        <v>8</v>
      </c>
      <c r="G54" s="12" t="n">
        <v>8</v>
      </c>
      <c r="H54" s="12" t="n">
        <v>0</v>
      </c>
      <c r="I54" s="11" t="str">
        <f aca="false">IF(G54&gt;=F54,"PASS","FAIL")</f>
        <v>PASS</v>
      </c>
      <c r="J54" s="11" t="str">
        <f aca="false">IF(H54=0,"UNOBSERVED","INVALID")</f>
        <v>UNOBSERVED</v>
      </c>
      <c r="K54" s="11" t="str">
        <f aca="false">IF(AND(I54="PASS",J54="UNOBSERVED"),"DESIGN-CLOSE / TEST OPEN","FAIL")</f>
        <v>DESIGN-CLOSE / TEST OPEN</v>
      </c>
      <c r="L54" s="11" t="s">
        <v>409</v>
      </c>
    </row>
    <row r="55" customFormat="false" ht="15" hidden="false" customHeight="false" outlineLevel="0" collapsed="false">
      <c r="A55" s="11" t="s">
        <v>481</v>
      </c>
      <c r="B55" s="11" t="s">
        <v>30</v>
      </c>
      <c r="C55" s="11" t="s">
        <v>136</v>
      </c>
      <c r="D55" s="11" t="s">
        <v>414</v>
      </c>
      <c r="E55" s="11" t="s">
        <v>466</v>
      </c>
      <c r="F55" s="12" t="n">
        <v>5</v>
      </c>
      <c r="G55" s="12" t="n">
        <v>5</v>
      </c>
      <c r="H55" s="12" t="n">
        <v>0</v>
      </c>
      <c r="I55" s="11" t="str">
        <f aca="false">IF(G55&gt;=F55,"PASS","FAIL")</f>
        <v>PASS</v>
      </c>
      <c r="J55" s="11" t="str">
        <f aca="false">IF(H55=0,"UNOBSERVED","INVALID")</f>
        <v>UNOBSERVED</v>
      </c>
      <c r="K55" s="11" t="str">
        <f aca="false">IF(AND(I55="PASS",J55="UNOBSERVED"),"DESIGN-CLOSE / TEST OPEN","FAIL")</f>
        <v>DESIGN-CLOSE / TEST OPEN</v>
      </c>
      <c r="L55" s="11" t="s">
        <v>409</v>
      </c>
    </row>
    <row r="56" customFormat="false" ht="15" hidden="false" customHeight="false" outlineLevel="0" collapsed="false">
      <c r="A56" s="11" t="s">
        <v>482</v>
      </c>
      <c r="B56" s="11" t="s">
        <v>30</v>
      </c>
      <c r="C56" s="11" t="s">
        <v>136</v>
      </c>
      <c r="D56" s="11" t="s">
        <v>417</v>
      </c>
      <c r="E56" s="11" t="s">
        <v>468</v>
      </c>
      <c r="F56" s="12" t="n">
        <v>5</v>
      </c>
      <c r="G56" s="12" t="n">
        <v>5</v>
      </c>
      <c r="H56" s="12" t="n">
        <v>0</v>
      </c>
      <c r="I56" s="11" t="str">
        <f aca="false">IF(G56&gt;=F56,"PASS","FAIL")</f>
        <v>PASS</v>
      </c>
      <c r="J56" s="11" t="str">
        <f aca="false">IF(H56=0,"UNOBSERVED","INVALID")</f>
        <v>UNOBSERVED</v>
      </c>
      <c r="K56" s="11" t="str">
        <f aca="false">IF(AND(I56="PASS",J56="UNOBSERVED"),"DESIGN-CLOSE / TEST OPEN","FAIL")</f>
        <v>DESIGN-CLOSE / TEST OPEN</v>
      </c>
      <c r="L56" s="11" t="s">
        <v>409</v>
      </c>
    </row>
    <row r="57" customFormat="false" ht="15" hidden="false" customHeight="false" outlineLevel="0" collapsed="false">
      <c r="A57" s="11" t="s">
        <v>483</v>
      </c>
      <c r="B57" s="11" t="s">
        <v>30</v>
      </c>
      <c r="C57" s="11" t="s">
        <v>136</v>
      </c>
      <c r="D57" s="11" t="s">
        <v>420</v>
      </c>
      <c r="E57" s="11" t="s">
        <v>470</v>
      </c>
      <c r="F57" s="12" t="n">
        <v>5</v>
      </c>
      <c r="G57" s="12" t="n">
        <v>5</v>
      </c>
      <c r="H57" s="12" t="n">
        <v>0</v>
      </c>
      <c r="I57" s="11" t="str">
        <f aca="false">IF(G57&gt;=F57,"PASS","FAIL")</f>
        <v>PASS</v>
      </c>
      <c r="J57" s="11" t="str">
        <f aca="false">IF(H57=0,"UNOBSERVED","INVALID")</f>
        <v>UNOBSERVED</v>
      </c>
      <c r="K57" s="11" t="str">
        <f aca="false">IF(AND(I57="PASS",J57="UNOBSERVED"),"DESIGN-CLOSE / TEST OPEN","FAIL")</f>
        <v>DESIGN-CLOSE / TEST OPEN</v>
      </c>
      <c r="L57" s="11" t="s">
        <v>409</v>
      </c>
    </row>
    <row r="58" customFormat="false" ht="15" hidden="false" customHeight="false" outlineLevel="0" collapsed="false">
      <c r="A58" s="11" t="s">
        <v>484</v>
      </c>
      <c r="B58" s="11" t="s">
        <v>30</v>
      </c>
      <c r="C58" s="11" t="s">
        <v>136</v>
      </c>
      <c r="D58" s="11" t="s">
        <v>423</v>
      </c>
      <c r="E58" s="11" t="s">
        <v>472</v>
      </c>
      <c r="F58" s="12" t="n">
        <v>5</v>
      </c>
      <c r="G58" s="12" t="n">
        <v>5</v>
      </c>
      <c r="H58" s="12" t="n">
        <v>0</v>
      </c>
      <c r="I58" s="11" t="str">
        <f aca="false">IF(G58&gt;=F58,"PASS","FAIL")</f>
        <v>PASS</v>
      </c>
      <c r="J58" s="11" t="str">
        <f aca="false">IF(H58=0,"UNOBSERVED","INVALID")</f>
        <v>UNOBSERVED</v>
      </c>
      <c r="K58" s="11" t="str">
        <f aca="false">IF(AND(I58="PASS",J58="UNOBSERVED"),"DESIGN-CLOSE / TEST OPEN","FAIL")</f>
        <v>DESIGN-CLOSE / TEST OPEN</v>
      </c>
      <c r="L58" s="11" t="s">
        <v>409</v>
      </c>
    </row>
    <row r="59" customFormat="false" ht="15" hidden="false" customHeight="false" outlineLevel="0" collapsed="false">
      <c r="A59" s="11" t="s">
        <v>485</v>
      </c>
      <c r="B59" s="11" t="s">
        <v>32</v>
      </c>
      <c r="C59" s="11" t="s">
        <v>147</v>
      </c>
      <c r="D59" s="11" t="s">
        <v>407</v>
      </c>
      <c r="E59" s="11" t="s">
        <v>486</v>
      </c>
      <c r="F59" s="12" t="n">
        <v>9</v>
      </c>
      <c r="G59" s="12" t="n">
        <v>9</v>
      </c>
      <c r="H59" s="12" t="n">
        <v>0</v>
      </c>
      <c r="I59" s="11" t="str">
        <f aca="false">IF(G59&gt;=F59,"PASS","FAIL")</f>
        <v>PASS</v>
      </c>
      <c r="J59" s="11" t="str">
        <f aca="false">IF(H59=0,"UNOBSERVED","INVALID")</f>
        <v>UNOBSERVED</v>
      </c>
      <c r="K59" s="11" t="str">
        <f aca="false">IF(AND(I59="PASS",J59="UNOBSERVED"),"DESIGN-CLOSE / TEST OPEN","FAIL")</f>
        <v>DESIGN-CLOSE / TEST OPEN</v>
      </c>
      <c r="L59" s="11" t="s">
        <v>409</v>
      </c>
    </row>
    <row r="60" customFormat="false" ht="15" hidden="false" customHeight="false" outlineLevel="0" collapsed="false">
      <c r="A60" s="11" t="s">
        <v>487</v>
      </c>
      <c r="B60" s="11" t="s">
        <v>32</v>
      </c>
      <c r="C60" s="11" t="s">
        <v>147</v>
      </c>
      <c r="D60" s="11" t="s">
        <v>411</v>
      </c>
      <c r="E60" s="11" t="s">
        <v>488</v>
      </c>
      <c r="F60" s="12" t="n">
        <v>4</v>
      </c>
      <c r="G60" s="12" t="n">
        <v>4</v>
      </c>
      <c r="H60" s="12" t="n">
        <v>0</v>
      </c>
      <c r="I60" s="11" t="str">
        <f aca="false">IF(G60&gt;=F60,"PASS","FAIL")</f>
        <v>PASS</v>
      </c>
      <c r="J60" s="11" t="str">
        <f aca="false">IF(H60=0,"UNOBSERVED","INVALID")</f>
        <v>UNOBSERVED</v>
      </c>
      <c r="K60" s="11" t="str">
        <f aca="false">IF(AND(I60="PASS",J60="UNOBSERVED"),"DESIGN-CLOSE / TEST OPEN","FAIL")</f>
        <v>DESIGN-CLOSE / TEST OPEN</v>
      </c>
      <c r="L60" s="11" t="s">
        <v>409</v>
      </c>
    </row>
    <row r="61" customFormat="false" ht="15" hidden="false" customHeight="false" outlineLevel="0" collapsed="false">
      <c r="A61" s="11" t="s">
        <v>489</v>
      </c>
      <c r="B61" s="11" t="s">
        <v>32</v>
      </c>
      <c r="C61" s="11" t="s">
        <v>147</v>
      </c>
      <c r="D61" s="11" t="s">
        <v>414</v>
      </c>
      <c r="E61" s="11" t="s">
        <v>490</v>
      </c>
      <c r="F61" s="12" t="n">
        <v>2</v>
      </c>
      <c r="G61" s="12" t="n">
        <v>2</v>
      </c>
      <c r="H61" s="12" t="n">
        <v>0</v>
      </c>
      <c r="I61" s="11" t="str">
        <f aca="false">IF(G61&gt;=F61,"PASS","FAIL")</f>
        <v>PASS</v>
      </c>
      <c r="J61" s="11" t="str">
        <f aca="false">IF(H61=0,"UNOBSERVED","INVALID")</f>
        <v>UNOBSERVED</v>
      </c>
      <c r="K61" s="11" t="str">
        <f aca="false">IF(AND(I61="PASS",J61="UNOBSERVED"),"DESIGN-CLOSE / TEST OPEN","FAIL")</f>
        <v>DESIGN-CLOSE / TEST OPEN</v>
      </c>
      <c r="L61" s="11" t="s">
        <v>409</v>
      </c>
    </row>
    <row r="62" customFormat="false" ht="15" hidden="false" customHeight="false" outlineLevel="0" collapsed="false">
      <c r="A62" s="11" t="s">
        <v>491</v>
      </c>
      <c r="B62" s="11" t="s">
        <v>32</v>
      </c>
      <c r="C62" s="11" t="s">
        <v>147</v>
      </c>
      <c r="D62" s="11" t="s">
        <v>417</v>
      </c>
      <c r="E62" s="11" t="s">
        <v>492</v>
      </c>
      <c r="F62" s="12" t="n">
        <v>3</v>
      </c>
      <c r="G62" s="12" t="n">
        <v>3</v>
      </c>
      <c r="H62" s="12" t="n">
        <v>0</v>
      </c>
      <c r="I62" s="11" t="str">
        <f aca="false">IF(G62&gt;=F62,"PASS","FAIL")</f>
        <v>PASS</v>
      </c>
      <c r="J62" s="11" t="str">
        <f aca="false">IF(H62=0,"UNOBSERVED","INVALID")</f>
        <v>UNOBSERVED</v>
      </c>
      <c r="K62" s="11" t="str">
        <f aca="false">IF(AND(I62="PASS",J62="UNOBSERVED"),"DESIGN-CLOSE / TEST OPEN","FAIL")</f>
        <v>DESIGN-CLOSE / TEST OPEN</v>
      </c>
      <c r="L62" s="11" t="s">
        <v>409</v>
      </c>
    </row>
    <row r="63" customFormat="false" ht="15" hidden="false" customHeight="false" outlineLevel="0" collapsed="false">
      <c r="A63" s="11" t="s">
        <v>493</v>
      </c>
      <c r="B63" s="11" t="s">
        <v>32</v>
      </c>
      <c r="C63" s="11" t="s">
        <v>147</v>
      </c>
      <c r="D63" s="11" t="s">
        <v>420</v>
      </c>
      <c r="E63" s="11" t="s">
        <v>494</v>
      </c>
      <c r="F63" s="12" t="n">
        <v>3</v>
      </c>
      <c r="G63" s="12" t="n">
        <v>3</v>
      </c>
      <c r="H63" s="12" t="n">
        <v>0</v>
      </c>
      <c r="I63" s="11" t="str">
        <f aca="false">IF(G63&gt;=F63,"PASS","FAIL")</f>
        <v>PASS</v>
      </c>
      <c r="J63" s="11" t="str">
        <f aca="false">IF(H63=0,"UNOBSERVED","INVALID")</f>
        <v>UNOBSERVED</v>
      </c>
      <c r="K63" s="11" t="str">
        <f aca="false">IF(AND(I63="PASS",J63="UNOBSERVED"),"DESIGN-CLOSE / TEST OPEN","FAIL")</f>
        <v>DESIGN-CLOSE / TEST OPEN</v>
      </c>
      <c r="L63" s="11" t="s">
        <v>409</v>
      </c>
    </row>
    <row r="64" customFormat="false" ht="15" hidden="false" customHeight="false" outlineLevel="0" collapsed="false">
      <c r="A64" s="11" t="s">
        <v>495</v>
      </c>
      <c r="B64" s="11" t="s">
        <v>32</v>
      </c>
      <c r="C64" s="11" t="s">
        <v>147</v>
      </c>
      <c r="D64" s="11" t="s">
        <v>423</v>
      </c>
      <c r="E64" s="11" t="s">
        <v>496</v>
      </c>
      <c r="F64" s="12" t="n">
        <v>9</v>
      </c>
      <c r="G64" s="12" t="n">
        <v>9</v>
      </c>
      <c r="H64" s="12" t="n">
        <v>0</v>
      </c>
      <c r="I64" s="11" t="str">
        <f aca="false">IF(G64&gt;=F64,"PASS","FAIL")</f>
        <v>PASS</v>
      </c>
      <c r="J64" s="11" t="str">
        <f aca="false">IF(H64=0,"UNOBSERVED","INVALID")</f>
        <v>UNOBSERVED</v>
      </c>
      <c r="K64" s="11" t="str">
        <f aca="false">IF(AND(I64="PASS",J64="UNOBSERVED"),"DESIGN-CLOSE / TEST OPEN","FAIL")</f>
        <v>DESIGN-CLOSE / TEST OPEN</v>
      </c>
      <c r="L64" s="11" t="s">
        <v>409</v>
      </c>
    </row>
    <row r="65" customFormat="false" ht="15" hidden="false" customHeight="false" outlineLevel="0" collapsed="false">
      <c r="A65" s="11" t="s">
        <v>497</v>
      </c>
      <c r="B65" s="11" t="s">
        <v>34</v>
      </c>
      <c r="C65" s="11" t="s">
        <v>147</v>
      </c>
      <c r="D65" s="11" t="s">
        <v>407</v>
      </c>
      <c r="E65" s="11" t="s">
        <v>486</v>
      </c>
      <c r="F65" s="12" t="n">
        <v>9</v>
      </c>
      <c r="G65" s="12" t="n">
        <v>9</v>
      </c>
      <c r="H65" s="12" t="n">
        <v>0</v>
      </c>
      <c r="I65" s="11" t="str">
        <f aca="false">IF(G65&gt;=F65,"PASS","FAIL")</f>
        <v>PASS</v>
      </c>
      <c r="J65" s="11" t="str">
        <f aca="false">IF(H65=0,"UNOBSERVED","INVALID")</f>
        <v>UNOBSERVED</v>
      </c>
      <c r="K65" s="11" t="str">
        <f aca="false">IF(AND(I65="PASS",J65="UNOBSERVED"),"DESIGN-CLOSE / TEST OPEN","FAIL")</f>
        <v>DESIGN-CLOSE / TEST OPEN</v>
      </c>
      <c r="L65" s="11" t="s">
        <v>409</v>
      </c>
    </row>
    <row r="66" customFormat="false" ht="15" hidden="false" customHeight="false" outlineLevel="0" collapsed="false">
      <c r="A66" s="11" t="s">
        <v>498</v>
      </c>
      <c r="B66" s="11" t="s">
        <v>34</v>
      </c>
      <c r="C66" s="11" t="s">
        <v>147</v>
      </c>
      <c r="D66" s="11" t="s">
        <v>411</v>
      </c>
      <c r="E66" s="11" t="s">
        <v>488</v>
      </c>
      <c r="F66" s="12" t="n">
        <v>4</v>
      </c>
      <c r="G66" s="12" t="n">
        <v>4</v>
      </c>
      <c r="H66" s="12" t="n">
        <v>0</v>
      </c>
      <c r="I66" s="11" t="str">
        <f aca="false">IF(G66&gt;=F66,"PASS","FAIL")</f>
        <v>PASS</v>
      </c>
      <c r="J66" s="11" t="str">
        <f aca="false">IF(H66=0,"UNOBSERVED","INVALID")</f>
        <v>UNOBSERVED</v>
      </c>
      <c r="K66" s="11" t="str">
        <f aca="false">IF(AND(I66="PASS",J66="UNOBSERVED"),"DESIGN-CLOSE / TEST OPEN","FAIL")</f>
        <v>DESIGN-CLOSE / TEST OPEN</v>
      </c>
      <c r="L66" s="11" t="s">
        <v>409</v>
      </c>
    </row>
    <row r="67" customFormat="false" ht="15" hidden="false" customHeight="false" outlineLevel="0" collapsed="false">
      <c r="A67" s="11" t="s">
        <v>499</v>
      </c>
      <c r="B67" s="11" t="s">
        <v>34</v>
      </c>
      <c r="C67" s="11" t="s">
        <v>147</v>
      </c>
      <c r="D67" s="11" t="s">
        <v>414</v>
      </c>
      <c r="E67" s="11" t="s">
        <v>490</v>
      </c>
      <c r="F67" s="12" t="n">
        <v>2</v>
      </c>
      <c r="G67" s="12" t="n">
        <v>2</v>
      </c>
      <c r="H67" s="12" t="n">
        <v>0</v>
      </c>
      <c r="I67" s="11" t="str">
        <f aca="false">IF(G67&gt;=F67,"PASS","FAIL")</f>
        <v>PASS</v>
      </c>
      <c r="J67" s="11" t="str">
        <f aca="false">IF(H67=0,"UNOBSERVED","INVALID")</f>
        <v>UNOBSERVED</v>
      </c>
      <c r="K67" s="11" t="str">
        <f aca="false">IF(AND(I67="PASS",J67="UNOBSERVED"),"DESIGN-CLOSE / TEST OPEN","FAIL")</f>
        <v>DESIGN-CLOSE / TEST OPEN</v>
      </c>
      <c r="L67" s="11" t="s">
        <v>409</v>
      </c>
    </row>
    <row r="68" customFormat="false" ht="15" hidden="false" customHeight="false" outlineLevel="0" collapsed="false">
      <c r="A68" s="11" t="s">
        <v>500</v>
      </c>
      <c r="B68" s="11" t="s">
        <v>34</v>
      </c>
      <c r="C68" s="11" t="s">
        <v>147</v>
      </c>
      <c r="D68" s="11" t="s">
        <v>417</v>
      </c>
      <c r="E68" s="11" t="s">
        <v>492</v>
      </c>
      <c r="F68" s="12" t="n">
        <v>3</v>
      </c>
      <c r="G68" s="12" t="n">
        <v>3</v>
      </c>
      <c r="H68" s="12" t="n">
        <v>0</v>
      </c>
      <c r="I68" s="11" t="str">
        <f aca="false">IF(G68&gt;=F68,"PASS","FAIL")</f>
        <v>PASS</v>
      </c>
      <c r="J68" s="11" t="str">
        <f aca="false">IF(H68=0,"UNOBSERVED","INVALID")</f>
        <v>UNOBSERVED</v>
      </c>
      <c r="K68" s="11" t="str">
        <f aca="false">IF(AND(I68="PASS",J68="UNOBSERVED"),"DESIGN-CLOSE / TEST OPEN","FAIL")</f>
        <v>DESIGN-CLOSE / TEST OPEN</v>
      </c>
      <c r="L68" s="11" t="s">
        <v>409</v>
      </c>
    </row>
    <row r="69" customFormat="false" ht="15" hidden="false" customHeight="false" outlineLevel="0" collapsed="false">
      <c r="A69" s="11" t="s">
        <v>501</v>
      </c>
      <c r="B69" s="11" t="s">
        <v>34</v>
      </c>
      <c r="C69" s="11" t="s">
        <v>147</v>
      </c>
      <c r="D69" s="11" t="s">
        <v>420</v>
      </c>
      <c r="E69" s="11" t="s">
        <v>494</v>
      </c>
      <c r="F69" s="12" t="n">
        <v>3</v>
      </c>
      <c r="G69" s="12" t="n">
        <v>3</v>
      </c>
      <c r="H69" s="12" t="n">
        <v>0</v>
      </c>
      <c r="I69" s="11" t="str">
        <f aca="false">IF(G69&gt;=F69,"PASS","FAIL")</f>
        <v>PASS</v>
      </c>
      <c r="J69" s="11" t="str">
        <f aca="false">IF(H69=0,"UNOBSERVED","INVALID")</f>
        <v>UNOBSERVED</v>
      </c>
      <c r="K69" s="11" t="str">
        <f aca="false">IF(AND(I69="PASS",J69="UNOBSERVED"),"DESIGN-CLOSE / TEST OPEN","FAIL")</f>
        <v>DESIGN-CLOSE / TEST OPEN</v>
      </c>
      <c r="L69" s="11" t="s">
        <v>409</v>
      </c>
    </row>
    <row r="70" customFormat="false" ht="15" hidden="false" customHeight="false" outlineLevel="0" collapsed="false">
      <c r="A70" s="11" t="s">
        <v>502</v>
      </c>
      <c r="B70" s="11" t="s">
        <v>34</v>
      </c>
      <c r="C70" s="11" t="s">
        <v>147</v>
      </c>
      <c r="D70" s="11" t="s">
        <v>423</v>
      </c>
      <c r="E70" s="11" t="s">
        <v>496</v>
      </c>
      <c r="F70" s="12" t="n">
        <v>9</v>
      </c>
      <c r="G70" s="12" t="n">
        <v>9</v>
      </c>
      <c r="H70" s="12" t="n">
        <v>0</v>
      </c>
      <c r="I70" s="11" t="str">
        <f aca="false">IF(G70&gt;=F70,"PASS","FAIL")</f>
        <v>PASS</v>
      </c>
      <c r="J70" s="11" t="str">
        <f aca="false">IF(H70=0,"UNOBSERVED","INVALID")</f>
        <v>UNOBSERVED</v>
      </c>
      <c r="K70" s="11" t="str">
        <f aca="false">IF(AND(I70="PASS",J70="UNOBSERVED"),"DESIGN-CLOSE / TEST OPEN","FAIL")</f>
        <v>DESIGN-CLOSE / TEST OPEN</v>
      </c>
      <c r="L70" s="11" t="s">
        <v>409</v>
      </c>
    </row>
    <row r="71" customFormat="false" ht="15" hidden="false" customHeight="false" outlineLevel="0" collapsed="false">
      <c r="A71" s="11" t="s">
        <v>503</v>
      </c>
      <c r="B71" s="11" t="s">
        <v>36</v>
      </c>
      <c r="C71" s="11" t="s">
        <v>147</v>
      </c>
      <c r="D71" s="11" t="s">
        <v>407</v>
      </c>
      <c r="E71" s="11" t="s">
        <v>486</v>
      </c>
      <c r="F71" s="12" t="n">
        <v>9</v>
      </c>
      <c r="G71" s="12" t="n">
        <v>9</v>
      </c>
      <c r="H71" s="12" t="n">
        <v>0</v>
      </c>
      <c r="I71" s="11" t="str">
        <f aca="false">IF(G71&gt;=F71,"PASS","FAIL")</f>
        <v>PASS</v>
      </c>
      <c r="J71" s="11" t="str">
        <f aca="false">IF(H71=0,"UNOBSERVED","INVALID")</f>
        <v>UNOBSERVED</v>
      </c>
      <c r="K71" s="11" t="str">
        <f aca="false">IF(AND(I71="PASS",J71="UNOBSERVED"),"DESIGN-CLOSE / TEST OPEN","FAIL")</f>
        <v>DESIGN-CLOSE / TEST OPEN</v>
      </c>
      <c r="L71" s="11" t="s">
        <v>409</v>
      </c>
    </row>
    <row r="72" customFormat="false" ht="15" hidden="false" customHeight="false" outlineLevel="0" collapsed="false">
      <c r="A72" s="11" t="s">
        <v>504</v>
      </c>
      <c r="B72" s="11" t="s">
        <v>36</v>
      </c>
      <c r="C72" s="11" t="s">
        <v>147</v>
      </c>
      <c r="D72" s="11" t="s">
        <v>411</v>
      </c>
      <c r="E72" s="11" t="s">
        <v>488</v>
      </c>
      <c r="F72" s="12" t="n">
        <v>4</v>
      </c>
      <c r="G72" s="12" t="n">
        <v>4</v>
      </c>
      <c r="H72" s="12" t="n">
        <v>0</v>
      </c>
      <c r="I72" s="11" t="str">
        <f aca="false">IF(G72&gt;=F72,"PASS","FAIL")</f>
        <v>PASS</v>
      </c>
      <c r="J72" s="11" t="str">
        <f aca="false">IF(H72=0,"UNOBSERVED","INVALID")</f>
        <v>UNOBSERVED</v>
      </c>
      <c r="K72" s="11" t="str">
        <f aca="false">IF(AND(I72="PASS",J72="UNOBSERVED"),"DESIGN-CLOSE / TEST OPEN","FAIL")</f>
        <v>DESIGN-CLOSE / TEST OPEN</v>
      </c>
      <c r="L72" s="11" t="s">
        <v>409</v>
      </c>
    </row>
    <row r="73" customFormat="false" ht="15" hidden="false" customHeight="false" outlineLevel="0" collapsed="false">
      <c r="A73" s="11" t="s">
        <v>505</v>
      </c>
      <c r="B73" s="11" t="s">
        <v>36</v>
      </c>
      <c r="C73" s="11" t="s">
        <v>147</v>
      </c>
      <c r="D73" s="11" t="s">
        <v>414</v>
      </c>
      <c r="E73" s="11" t="s">
        <v>490</v>
      </c>
      <c r="F73" s="12" t="n">
        <v>2</v>
      </c>
      <c r="G73" s="12" t="n">
        <v>2</v>
      </c>
      <c r="H73" s="12" t="n">
        <v>0</v>
      </c>
      <c r="I73" s="11" t="str">
        <f aca="false">IF(G73&gt;=F73,"PASS","FAIL")</f>
        <v>PASS</v>
      </c>
      <c r="J73" s="11" t="str">
        <f aca="false">IF(H73=0,"UNOBSERVED","INVALID")</f>
        <v>UNOBSERVED</v>
      </c>
      <c r="K73" s="11" t="str">
        <f aca="false">IF(AND(I73="PASS",J73="UNOBSERVED"),"DESIGN-CLOSE / TEST OPEN","FAIL")</f>
        <v>DESIGN-CLOSE / TEST OPEN</v>
      </c>
      <c r="L73" s="11" t="s">
        <v>409</v>
      </c>
    </row>
    <row r="74" customFormat="false" ht="15" hidden="false" customHeight="false" outlineLevel="0" collapsed="false">
      <c r="A74" s="11" t="s">
        <v>506</v>
      </c>
      <c r="B74" s="11" t="s">
        <v>36</v>
      </c>
      <c r="C74" s="11" t="s">
        <v>147</v>
      </c>
      <c r="D74" s="11" t="s">
        <v>417</v>
      </c>
      <c r="E74" s="11" t="s">
        <v>492</v>
      </c>
      <c r="F74" s="12" t="n">
        <v>3</v>
      </c>
      <c r="G74" s="12" t="n">
        <v>3</v>
      </c>
      <c r="H74" s="12" t="n">
        <v>0</v>
      </c>
      <c r="I74" s="11" t="str">
        <f aca="false">IF(G74&gt;=F74,"PASS","FAIL")</f>
        <v>PASS</v>
      </c>
      <c r="J74" s="11" t="str">
        <f aca="false">IF(H74=0,"UNOBSERVED","INVALID")</f>
        <v>UNOBSERVED</v>
      </c>
      <c r="K74" s="11" t="str">
        <f aca="false">IF(AND(I74="PASS",J74="UNOBSERVED"),"DESIGN-CLOSE / TEST OPEN","FAIL")</f>
        <v>DESIGN-CLOSE / TEST OPEN</v>
      </c>
      <c r="L74" s="11" t="s">
        <v>409</v>
      </c>
    </row>
    <row r="75" customFormat="false" ht="15" hidden="false" customHeight="false" outlineLevel="0" collapsed="false">
      <c r="A75" s="11" t="s">
        <v>507</v>
      </c>
      <c r="B75" s="11" t="s">
        <v>36</v>
      </c>
      <c r="C75" s="11" t="s">
        <v>147</v>
      </c>
      <c r="D75" s="11" t="s">
        <v>420</v>
      </c>
      <c r="E75" s="11" t="s">
        <v>494</v>
      </c>
      <c r="F75" s="12" t="n">
        <v>3</v>
      </c>
      <c r="G75" s="12" t="n">
        <v>3</v>
      </c>
      <c r="H75" s="12" t="n">
        <v>0</v>
      </c>
      <c r="I75" s="11" t="str">
        <f aca="false">IF(G75&gt;=F75,"PASS","FAIL")</f>
        <v>PASS</v>
      </c>
      <c r="J75" s="11" t="str">
        <f aca="false">IF(H75=0,"UNOBSERVED","INVALID")</f>
        <v>UNOBSERVED</v>
      </c>
      <c r="K75" s="11" t="str">
        <f aca="false">IF(AND(I75="PASS",J75="UNOBSERVED"),"DESIGN-CLOSE / TEST OPEN","FAIL")</f>
        <v>DESIGN-CLOSE / TEST OPEN</v>
      </c>
      <c r="L75" s="11" t="s">
        <v>409</v>
      </c>
    </row>
    <row r="76" customFormat="false" ht="15" hidden="false" customHeight="false" outlineLevel="0" collapsed="false">
      <c r="A76" s="11" t="s">
        <v>508</v>
      </c>
      <c r="B76" s="11" t="s">
        <v>36</v>
      </c>
      <c r="C76" s="11" t="s">
        <v>147</v>
      </c>
      <c r="D76" s="11" t="s">
        <v>423</v>
      </c>
      <c r="E76" s="11" t="s">
        <v>496</v>
      </c>
      <c r="F76" s="12" t="n">
        <v>9</v>
      </c>
      <c r="G76" s="12" t="n">
        <v>9</v>
      </c>
      <c r="H76" s="12" t="n">
        <v>0</v>
      </c>
      <c r="I76" s="11" t="str">
        <f aca="false">IF(G76&gt;=F76,"PASS","FAIL")</f>
        <v>PASS</v>
      </c>
      <c r="J76" s="11" t="str">
        <f aca="false">IF(H76=0,"UNOBSERVED","INVALID")</f>
        <v>UNOBSERVED</v>
      </c>
      <c r="K76" s="11" t="str">
        <f aca="false">IF(AND(I76="PASS",J76="UNOBSERVED"),"DESIGN-CLOSE / TEST OPEN","FAIL")</f>
        <v>DESIGN-CLOSE / TEST OPEN</v>
      </c>
      <c r="L76" s="11" t="s">
        <v>409</v>
      </c>
    </row>
    <row r="77" customFormat="false" ht="15" hidden="false" customHeight="false" outlineLevel="0" collapsed="false">
      <c r="A77" s="11" t="s">
        <v>509</v>
      </c>
      <c r="B77" s="11" t="s">
        <v>37</v>
      </c>
      <c r="C77" s="11" t="s">
        <v>160</v>
      </c>
      <c r="D77" s="11" t="s">
        <v>407</v>
      </c>
      <c r="E77" s="11" t="s">
        <v>510</v>
      </c>
      <c r="F77" s="12" t="n">
        <v>8</v>
      </c>
      <c r="G77" s="12" t="n">
        <v>8</v>
      </c>
      <c r="H77" s="12" t="n">
        <v>0</v>
      </c>
      <c r="I77" s="11" t="str">
        <f aca="false">IF(G77&gt;=F77,"PASS","FAIL")</f>
        <v>PASS</v>
      </c>
      <c r="J77" s="11" t="str">
        <f aca="false">IF(H77=0,"UNOBSERVED","INVALID")</f>
        <v>UNOBSERVED</v>
      </c>
      <c r="K77" s="11" t="str">
        <f aca="false">IF(AND(I77="PASS",J77="UNOBSERVED"),"DESIGN-CLOSE / TEST OPEN","FAIL")</f>
        <v>DESIGN-CLOSE / TEST OPEN</v>
      </c>
      <c r="L77" s="11" t="s">
        <v>409</v>
      </c>
    </row>
    <row r="78" customFormat="false" ht="15" hidden="false" customHeight="false" outlineLevel="0" collapsed="false">
      <c r="A78" s="11" t="s">
        <v>511</v>
      </c>
      <c r="B78" s="11" t="s">
        <v>37</v>
      </c>
      <c r="C78" s="11" t="s">
        <v>160</v>
      </c>
      <c r="D78" s="11" t="s">
        <v>411</v>
      </c>
      <c r="E78" s="11" t="s">
        <v>512</v>
      </c>
      <c r="F78" s="12" t="n">
        <v>6</v>
      </c>
      <c r="G78" s="12" t="n">
        <v>6</v>
      </c>
      <c r="H78" s="12" t="n">
        <v>0</v>
      </c>
      <c r="I78" s="11" t="str">
        <f aca="false">IF(G78&gt;=F78,"PASS","FAIL")</f>
        <v>PASS</v>
      </c>
      <c r="J78" s="11" t="str">
        <f aca="false">IF(H78=0,"UNOBSERVED","INVALID")</f>
        <v>UNOBSERVED</v>
      </c>
      <c r="K78" s="11" t="str">
        <f aca="false">IF(AND(I78="PASS",J78="UNOBSERVED"),"DESIGN-CLOSE / TEST OPEN","FAIL")</f>
        <v>DESIGN-CLOSE / TEST OPEN</v>
      </c>
      <c r="L78" s="11" t="s">
        <v>409</v>
      </c>
    </row>
    <row r="79" customFormat="false" ht="15" hidden="false" customHeight="false" outlineLevel="0" collapsed="false">
      <c r="A79" s="11" t="s">
        <v>513</v>
      </c>
      <c r="B79" s="11" t="s">
        <v>37</v>
      </c>
      <c r="C79" s="11" t="s">
        <v>160</v>
      </c>
      <c r="D79" s="11" t="s">
        <v>414</v>
      </c>
      <c r="E79" s="11" t="s">
        <v>514</v>
      </c>
      <c r="F79" s="12" t="n">
        <v>10</v>
      </c>
      <c r="G79" s="12" t="n">
        <v>10</v>
      </c>
      <c r="H79" s="12" t="n">
        <v>0</v>
      </c>
      <c r="I79" s="11" t="str">
        <f aca="false">IF(G79&gt;=F79,"PASS","FAIL")</f>
        <v>PASS</v>
      </c>
      <c r="J79" s="11" t="str">
        <f aca="false">IF(H79=0,"UNOBSERVED","INVALID")</f>
        <v>UNOBSERVED</v>
      </c>
      <c r="K79" s="11" t="str">
        <f aca="false">IF(AND(I79="PASS",J79="UNOBSERVED"),"DESIGN-CLOSE / TEST OPEN","FAIL")</f>
        <v>DESIGN-CLOSE / TEST OPEN</v>
      </c>
      <c r="L79" s="11" t="s">
        <v>409</v>
      </c>
    </row>
    <row r="80" customFormat="false" ht="15" hidden="false" customHeight="false" outlineLevel="0" collapsed="false">
      <c r="A80" s="11" t="s">
        <v>515</v>
      </c>
      <c r="B80" s="11" t="s">
        <v>37</v>
      </c>
      <c r="C80" s="11" t="s">
        <v>160</v>
      </c>
      <c r="D80" s="11" t="s">
        <v>417</v>
      </c>
      <c r="E80" s="11" t="s">
        <v>516</v>
      </c>
      <c r="F80" s="12" t="n">
        <v>2</v>
      </c>
      <c r="G80" s="12" t="n">
        <v>2</v>
      </c>
      <c r="H80" s="12" t="n">
        <v>0</v>
      </c>
      <c r="I80" s="11" t="str">
        <f aca="false">IF(G80&gt;=F80,"PASS","FAIL")</f>
        <v>PASS</v>
      </c>
      <c r="J80" s="11" t="str">
        <f aca="false">IF(H80=0,"UNOBSERVED","INVALID")</f>
        <v>UNOBSERVED</v>
      </c>
      <c r="K80" s="11" t="str">
        <f aca="false">IF(AND(I80="PASS",J80="UNOBSERVED"),"DESIGN-CLOSE / TEST OPEN","FAIL")</f>
        <v>DESIGN-CLOSE / TEST OPEN</v>
      </c>
      <c r="L80" s="11" t="s">
        <v>409</v>
      </c>
    </row>
    <row r="81" customFormat="false" ht="15" hidden="false" customHeight="false" outlineLevel="0" collapsed="false">
      <c r="A81" s="11" t="s">
        <v>517</v>
      </c>
      <c r="B81" s="11" t="s">
        <v>37</v>
      </c>
      <c r="C81" s="11" t="s">
        <v>160</v>
      </c>
      <c r="D81" s="11" t="s">
        <v>420</v>
      </c>
      <c r="E81" s="11" t="s">
        <v>518</v>
      </c>
      <c r="F81" s="12" t="n">
        <v>2</v>
      </c>
      <c r="G81" s="12" t="n">
        <v>2</v>
      </c>
      <c r="H81" s="12" t="n">
        <v>0</v>
      </c>
      <c r="I81" s="11" t="str">
        <f aca="false">IF(G81&gt;=F81,"PASS","FAIL")</f>
        <v>PASS</v>
      </c>
      <c r="J81" s="11" t="str">
        <f aca="false">IF(H81=0,"UNOBSERVED","INVALID")</f>
        <v>UNOBSERVED</v>
      </c>
      <c r="K81" s="11" t="str">
        <f aca="false">IF(AND(I81="PASS",J81="UNOBSERVED"),"DESIGN-CLOSE / TEST OPEN","FAIL")</f>
        <v>DESIGN-CLOSE / TEST OPEN</v>
      </c>
      <c r="L81" s="11" t="s">
        <v>409</v>
      </c>
    </row>
    <row r="82" customFormat="false" ht="15" hidden="false" customHeight="false" outlineLevel="0" collapsed="false">
      <c r="A82" s="11" t="s">
        <v>519</v>
      </c>
      <c r="B82" s="11" t="s">
        <v>37</v>
      </c>
      <c r="C82" s="11" t="s">
        <v>160</v>
      </c>
      <c r="D82" s="11" t="s">
        <v>423</v>
      </c>
      <c r="E82" s="11" t="s">
        <v>520</v>
      </c>
      <c r="F82" s="12" t="n">
        <v>2</v>
      </c>
      <c r="G82" s="12" t="n">
        <v>2</v>
      </c>
      <c r="H82" s="12" t="n">
        <v>0</v>
      </c>
      <c r="I82" s="11" t="str">
        <f aca="false">IF(G82&gt;=F82,"PASS","FAIL")</f>
        <v>PASS</v>
      </c>
      <c r="J82" s="11" t="str">
        <f aca="false">IF(H82=0,"UNOBSERVED","INVALID")</f>
        <v>UNOBSERVED</v>
      </c>
      <c r="K82" s="11" t="str">
        <f aca="false">IF(AND(I82="PASS",J82="UNOBSERVED"),"DESIGN-CLOSE / TEST OPEN","FAIL")</f>
        <v>DESIGN-CLOSE / TEST OPEN</v>
      </c>
      <c r="L82" s="11" t="s">
        <v>409</v>
      </c>
    </row>
    <row r="83" customFormat="false" ht="15" hidden="false" customHeight="false" outlineLevel="0" collapsed="false">
      <c r="A83" s="11" t="s">
        <v>521</v>
      </c>
      <c r="B83" s="11" t="s">
        <v>38</v>
      </c>
      <c r="C83" s="11" t="s">
        <v>160</v>
      </c>
      <c r="D83" s="11" t="s">
        <v>407</v>
      </c>
      <c r="E83" s="11" t="s">
        <v>510</v>
      </c>
      <c r="F83" s="12" t="n">
        <v>8</v>
      </c>
      <c r="G83" s="12" t="n">
        <v>8</v>
      </c>
      <c r="H83" s="12" t="n">
        <v>0</v>
      </c>
      <c r="I83" s="11" t="str">
        <f aca="false">IF(G83&gt;=F83,"PASS","FAIL")</f>
        <v>PASS</v>
      </c>
      <c r="J83" s="11" t="str">
        <f aca="false">IF(H83=0,"UNOBSERVED","INVALID")</f>
        <v>UNOBSERVED</v>
      </c>
      <c r="K83" s="11" t="str">
        <f aca="false">IF(AND(I83="PASS",J83="UNOBSERVED"),"DESIGN-CLOSE / TEST OPEN","FAIL")</f>
        <v>DESIGN-CLOSE / TEST OPEN</v>
      </c>
      <c r="L83" s="11" t="s">
        <v>409</v>
      </c>
    </row>
    <row r="84" customFormat="false" ht="15" hidden="false" customHeight="false" outlineLevel="0" collapsed="false">
      <c r="A84" s="11" t="s">
        <v>522</v>
      </c>
      <c r="B84" s="11" t="s">
        <v>38</v>
      </c>
      <c r="C84" s="11" t="s">
        <v>160</v>
      </c>
      <c r="D84" s="11" t="s">
        <v>411</v>
      </c>
      <c r="E84" s="11" t="s">
        <v>512</v>
      </c>
      <c r="F84" s="12" t="n">
        <v>6</v>
      </c>
      <c r="G84" s="12" t="n">
        <v>6</v>
      </c>
      <c r="H84" s="12" t="n">
        <v>0</v>
      </c>
      <c r="I84" s="11" t="str">
        <f aca="false">IF(G84&gt;=F84,"PASS","FAIL")</f>
        <v>PASS</v>
      </c>
      <c r="J84" s="11" t="str">
        <f aca="false">IF(H84=0,"UNOBSERVED","INVALID")</f>
        <v>UNOBSERVED</v>
      </c>
      <c r="K84" s="11" t="str">
        <f aca="false">IF(AND(I84="PASS",J84="UNOBSERVED"),"DESIGN-CLOSE / TEST OPEN","FAIL")</f>
        <v>DESIGN-CLOSE / TEST OPEN</v>
      </c>
      <c r="L84" s="11" t="s">
        <v>409</v>
      </c>
    </row>
    <row r="85" customFormat="false" ht="15" hidden="false" customHeight="false" outlineLevel="0" collapsed="false">
      <c r="A85" s="11" t="s">
        <v>523</v>
      </c>
      <c r="B85" s="11" t="s">
        <v>38</v>
      </c>
      <c r="C85" s="11" t="s">
        <v>160</v>
      </c>
      <c r="D85" s="11" t="s">
        <v>414</v>
      </c>
      <c r="E85" s="11" t="s">
        <v>514</v>
      </c>
      <c r="F85" s="12" t="n">
        <v>10</v>
      </c>
      <c r="G85" s="12" t="n">
        <v>10</v>
      </c>
      <c r="H85" s="12" t="n">
        <v>0</v>
      </c>
      <c r="I85" s="11" t="str">
        <f aca="false">IF(G85&gt;=F85,"PASS","FAIL")</f>
        <v>PASS</v>
      </c>
      <c r="J85" s="11" t="str">
        <f aca="false">IF(H85=0,"UNOBSERVED","INVALID")</f>
        <v>UNOBSERVED</v>
      </c>
      <c r="K85" s="11" t="str">
        <f aca="false">IF(AND(I85="PASS",J85="UNOBSERVED"),"DESIGN-CLOSE / TEST OPEN","FAIL")</f>
        <v>DESIGN-CLOSE / TEST OPEN</v>
      </c>
      <c r="L85" s="11" t="s">
        <v>409</v>
      </c>
    </row>
    <row r="86" customFormat="false" ht="15" hidden="false" customHeight="false" outlineLevel="0" collapsed="false">
      <c r="A86" s="11" t="s">
        <v>524</v>
      </c>
      <c r="B86" s="11" t="s">
        <v>38</v>
      </c>
      <c r="C86" s="11" t="s">
        <v>160</v>
      </c>
      <c r="D86" s="11" t="s">
        <v>417</v>
      </c>
      <c r="E86" s="11" t="s">
        <v>516</v>
      </c>
      <c r="F86" s="12" t="n">
        <v>2</v>
      </c>
      <c r="G86" s="12" t="n">
        <v>2</v>
      </c>
      <c r="H86" s="12" t="n">
        <v>0</v>
      </c>
      <c r="I86" s="11" t="str">
        <f aca="false">IF(G86&gt;=F86,"PASS","FAIL")</f>
        <v>PASS</v>
      </c>
      <c r="J86" s="11" t="str">
        <f aca="false">IF(H86=0,"UNOBSERVED","INVALID")</f>
        <v>UNOBSERVED</v>
      </c>
      <c r="K86" s="11" t="str">
        <f aca="false">IF(AND(I86="PASS",J86="UNOBSERVED"),"DESIGN-CLOSE / TEST OPEN","FAIL")</f>
        <v>DESIGN-CLOSE / TEST OPEN</v>
      </c>
      <c r="L86" s="11" t="s">
        <v>409</v>
      </c>
    </row>
    <row r="87" customFormat="false" ht="15" hidden="false" customHeight="false" outlineLevel="0" collapsed="false">
      <c r="A87" s="11" t="s">
        <v>525</v>
      </c>
      <c r="B87" s="11" t="s">
        <v>38</v>
      </c>
      <c r="C87" s="11" t="s">
        <v>160</v>
      </c>
      <c r="D87" s="11" t="s">
        <v>420</v>
      </c>
      <c r="E87" s="11" t="s">
        <v>518</v>
      </c>
      <c r="F87" s="12" t="n">
        <v>2</v>
      </c>
      <c r="G87" s="12" t="n">
        <v>2</v>
      </c>
      <c r="H87" s="12" t="n">
        <v>0</v>
      </c>
      <c r="I87" s="11" t="str">
        <f aca="false">IF(G87&gt;=F87,"PASS","FAIL")</f>
        <v>PASS</v>
      </c>
      <c r="J87" s="11" t="str">
        <f aca="false">IF(H87=0,"UNOBSERVED","INVALID")</f>
        <v>UNOBSERVED</v>
      </c>
      <c r="K87" s="11" t="str">
        <f aca="false">IF(AND(I87="PASS",J87="UNOBSERVED"),"DESIGN-CLOSE / TEST OPEN","FAIL")</f>
        <v>DESIGN-CLOSE / TEST OPEN</v>
      </c>
      <c r="L87" s="11" t="s">
        <v>409</v>
      </c>
    </row>
    <row r="88" customFormat="false" ht="15" hidden="false" customHeight="false" outlineLevel="0" collapsed="false">
      <c r="A88" s="11" t="s">
        <v>526</v>
      </c>
      <c r="B88" s="11" t="s">
        <v>38</v>
      </c>
      <c r="C88" s="11" t="s">
        <v>160</v>
      </c>
      <c r="D88" s="11" t="s">
        <v>423</v>
      </c>
      <c r="E88" s="11" t="s">
        <v>520</v>
      </c>
      <c r="F88" s="12" t="n">
        <v>2</v>
      </c>
      <c r="G88" s="12" t="n">
        <v>2</v>
      </c>
      <c r="H88" s="12" t="n">
        <v>0</v>
      </c>
      <c r="I88" s="11" t="str">
        <f aca="false">IF(G88&gt;=F88,"PASS","FAIL")</f>
        <v>PASS</v>
      </c>
      <c r="J88" s="11" t="str">
        <f aca="false">IF(H88=0,"UNOBSERVED","INVALID")</f>
        <v>UNOBSERVED</v>
      </c>
      <c r="K88" s="11" t="str">
        <f aca="false">IF(AND(I88="PASS",J88="UNOBSERVED"),"DESIGN-CLOSE / TEST OPEN","FAIL")</f>
        <v>DESIGN-CLOSE / TEST OPEN</v>
      </c>
      <c r="L88" s="11" t="s">
        <v>409</v>
      </c>
    </row>
    <row r="89" customFormat="false" ht="15" hidden="false" customHeight="false" outlineLevel="0" collapsed="false">
      <c r="A89" s="11" t="s">
        <v>527</v>
      </c>
      <c r="B89" s="11" t="s">
        <v>39</v>
      </c>
      <c r="C89" s="11" t="s">
        <v>160</v>
      </c>
      <c r="D89" s="11" t="s">
        <v>407</v>
      </c>
      <c r="E89" s="11" t="s">
        <v>510</v>
      </c>
      <c r="F89" s="12" t="n">
        <v>8</v>
      </c>
      <c r="G89" s="12" t="n">
        <v>8</v>
      </c>
      <c r="H89" s="12" t="n">
        <v>0</v>
      </c>
      <c r="I89" s="11" t="str">
        <f aca="false">IF(G89&gt;=F89,"PASS","FAIL")</f>
        <v>PASS</v>
      </c>
      <c r="J89" s="11" t="str">
        <f aca="false">IF(H89=0,"UNOBSERVED","INVALID")</f>
        <v>UNOBSERVED</v>
      </c>
      <c r="K89" s="11" t="str">
        <f aca="false">IF(AND(I89="PASS",J89="UNOBSERVED"),"DESIGN-CLOSE / TEST OPEN","FAIL")</f>
        <v>DESIGN-CLOSE / TEST OPEN</v>
      </c>
      <c r="L89" s="11" t="s">
        <v>409</v>
      </c>
    </row>
    <row r="90" customFormat="false" ht="15" hidden="false" customHeight="false" outlineLevel="0" collapsed="false">
      <c r="A90" s="11" t="s">
        <v>528</v>
      </c>
      <c r="B90" s="11" t="s">
        <v>39</v>
      </c>
      <c r="C90" s="11" t="s">
        <v>160</v>
      </c>
      <c r="D90" s="11" t="s">
        <v>411</v>
      </c>
      <c r="E90" s="11" t="s">
        <v>512</v>
      </c>
      <c r="F90" s="12" t="n">
        <v>6</v>
      </c>
      <c r="G90" s="12" t="n">
        <v>6</v>
      </c>
      <c r="H90" s="12" t="n">
        <v>0</v>
      </c>
      <c r="I90" s="11" t="str">
        <f aca="false">IF(G90&gt;=F90,"PASS","FAIL")</f>
        <v>PASS</v>
      </c>
      <c r="J90" s="11" t="str">
        <f aca="false">IF(H90=0,"UNOBSERVED","INVALID")</f>
        <v>UNOBSERVED</v>
      </c>
      <c r="K90" s="11" t="str">
        <f aca="false">IF(AND(I90="PASS",J90="UNOBSERVED"),"DESIGN-CLOSE / TEST OPEN","FAIL")</f>
        <v>DESIGN-CLOSE / TEST OPEN</v>
      </c>
      <c r="L90" s="11" t="s">
        <v>409</v>
      </c>
    </row>
    <row r="91" customFormat="false" ht="15" hidden="false" customHeight="false" outlineLevel="0" collapsed="false">
      <c r="A91" s="11" t="s">
        <v>529</v>
      </c>
      <c r="B91" s="11" t="s">
        <v>39</v>
      </c>
      <c r="C91" s="11" t="s">
        <v>160</v>
      </c>
      <c r="D91" s="11" t="s">
        <v>414</v>
      </c>
      <c r="E91" s="11" t="s">
        <v>514</v>
      </c>
      <c r="F91" s="12" t="n">
        <v>10</v>
      </c>
      <c r="G91" s="12" t="n">
        <v>10</v>
      </c>
      <c r="H91" s="12" t="n">
        <v>0</v>
      </c>
      <c r="I91" s="11" t="str">
        <f aca="false">IF(G91&gt;=F91,"PASS","FAIL")</f>
        <v>PASS</v>
      </c>
      <c r="J91" s="11" t="str">
        <f aca="false">IF(H91=0,"UNOBSERVED","INVALID")</f>
        <v>UNOBSERVED</v>
      </c>
      <c r="K91" s="11" t="str">
        <f aca="false">IF(AND(I91="PASS",J91="UNOBSERVED"),"DESIGN-CLOSE / TEST OPEN","FAIL")</f>
        <v>DESIGN-CLOSE / TEST OPEN</v>
      </c>
      <c r="L91" s="11" t="s">
        <v>409</v>
      </c>
    </row>
    <row r="92" customFormat="false" ht="15" hidden="false" customHeight="false" outlineLevel="0" collapsed="false">
      <c r="A92" s="11" t="s">
        <v>530</v>
      </c>
      <c r="B92" s="11" t="s">
        <v>39</v>
      </c>
      <c r="C92" s="11" t="s">
        <v>160</v>
      </c>
      <c r="D92" s="11" t="s">
        <v>417</v>
      </c>
      <c r="E92" s="11" t="s">
        <v>516</v>
      </c>
      <c r="F92" s="12" t="n">
        <v>2</v>
      </c>
      <c r="G92" s="12" t="n">
        <v>2</v>
      </c>
      <c r="H92" s="12" t="n">
        <v>0</v>
      </c>
      <c r="I92" s="11" t="str">
        <f aca="false">IF(G92&gt;=F92,"PASS","FAIL")</f>
        <v>PASS</v>
      </c>
      <c r="J92" s="11" t="str">
        <f aca="false">IF(H92=0,"UNOBSERVED","INVALID")</f>
        <v>UNOBSERVED</v>
      </c>
      <c r="K92" s="11" t="str">
        <f aca="false">IF(AND(I92="PASS",J92="UNOBSERVED"),"DESIGN-CLOSE / TEST OPEN","FAIL")</f>
        <v>DESIGN-CLOSE / TEST OPEN</v>
      </c>
      <c r="L92" s="11" t="s">
        <v>409</v>
      </c>
    </row>
    <row r="93" customFormat="false" ht="15" hidden="false" customHeight="false" outlineLevel="0" collapsed="false">
      <c r="A93" s="11" t="s">
        <v>531</v>
      </c>
      <c r="B93" s="11" t="s">
        <v>39</v>
      </c>
      <c r="C93" s="11" t="s">
        <v>160</v>
      </c>
      <c r="D93" s="11" t="s">
        <v>420</v>
      </c>
      <c r="E93" s="11" t="s">
        <v>518</v>
      </c>
      <c r="F93" s="12" t="n">
        <v>2</v>
      </c>
      <c r="G93" s="12" t="n">
        <v>2</v>
      </c>
      <c r="H93" s="12" t="n">
        <v>0</v>
      </c>
      <c r="I93" s="11" t="str">
        <f aca="false">IF(G93&gt;=F93,"PASS","FAIL")</f>
        <v>PASS</v>
      </c>
      <c r="J93" s="11" t="str">
        <f aca="false">IF(H93=0,"UNOBSERVED","INVALID")</f>
        <v>UNOBSERVED</v>
      </c>
      <c r="K93" s="11" t="str">
        <f aca="false">IF(AND(I93="PASS",J93="UNOBSERVED"),"DESIGN-CLOSE / TEST OPEN","FAIL")</f>
        <v>DESIGN-CLOSE / TEST OPEN</v>
      </c>
      <c r="L93" s="11" t="s">
        <v>409</v>
      </c>
    </row>
    <row r="94" customFormat="false" ht="15" hidden="false" customHeight="false" outlineLevel="0" collapsed="false">
      <c r="A94" s="11" t="s">
        <v>532</v>
      </c>
      <c r="B94" s="11" t="s">
        <v>39</v>
      </c>
      <c r="C94" s="11" t="s">
        <v>160</v>
      </c>
      <c r="D94" s="11" t="s">
        <v>423</v>
      </c>
      <c r="E94" s="11" t="s">
        <v>520</v>
      </c>
      <c r="F94" s="12" t="n">
        <v>2</v>
      </c>
      <c r="G94" s="12" t="n">
        <v>2</v>
      </c>
      <c r="H94" s="12" t="n">
        <v>0</v>
      </c>
      <c r="I94" s="11" t="str">
        <f aca="false">IF(G94&gt;=F94,"PASS","FAIL")</f>
        <v>PASS</v>
      </c>
      <c r="J94" s="11" t="str">
        <f aca="false">IF(H94=0,"UNOBSERVED","INVALID")</f>
        <v>UNOBSERVED</v>
      </c>
      <c r="K94" s="11" t="str">
        <f aca="false">IF(AND(I94="PASS",J94="UNOBSERVED"),"DESIGN-CLOSE / TEST OPEN","FAIL")</f>
        <v>DESIGN-CLOSE / TEST OPEN</v>
      </c>
      <c r="L94" s="11" t="s">
        <v>409</v>
      </c>
    </row>
    <row r="95" customFormat="false" ht="15" hidden="false" customHeight="false" outlineLevel="0" collapsed="false">
      <c r="A95" s="11" t="s">
        <v>533</v>
      </c>
      <c r="B95" s="11" t="s">
        <v>40</v>
      </c>
      <c r="C95" s="11" t="s">
        <v>171</v>
      </c>
      <c r="D95" s="11" t="s">
        <v>407</v>
      </c>
      <c r="E95" s="11" t="s">
        <v>534</v>
      </c>
      <c r="F95" s="12" t="n">
        <v>5</v>
      </c>
      <c r="G95" s="12" t="n">
        <v>5</v>
      </c>
      <c r="H95" s="12" t="n">
        <v>0</v>
      </c>
      <c r="I95" s="11" t="str">
        <f aca="false">IF(G95&gt;=F95,"PASS","FAIL")</f>
        <v>PASS</v>
      </c>
      <c r="J95" s="11" t="str">
        <f aca="false">IF(H95=0,"UNOBSERVED","INVALID")</f>
        <v>UNOBSERVED</v>
      </c>
      <c r="K95" s="11" t="str">
        <f aca="false">IF(AND(I95="PASS",J95="UNOBSERVED"),"DESIGN-CLOSE / TEST OPEN","FAIL")</f>
        <v>DESIGN-CLOSE / TEST OPEN</v>
      </c>
      <c r="L95" s="11" t="s">
        <v>409</v>
      </c>
    </row>
    <row r="96" customFormat="false" ht="15" hidden="false" customHeight="false" outlineLevel="0" collapsed="false">
      <c r="A96" s="11" t="s">
        <v>535</v>
      </c>
      <c r="B96" s="11" t="s">
        <v>40</v>
      </c>
      <c r="C96" s="11" t="s">
        <v>171</v>
      </c>
      <c r="D96" s="11" t="s">
        <v>411</v>
      </c>
      <c r="E96" s="11" t="s">
        <v>536</v>
      </c>
      <c r="F96" s="12" t="n">
        <v>7</v>
      </c>
      <c r="G96" s="12" t="n">
        <v>7</v>
      </c>
      <c r="H96" s="12" t="n">
        <v>0</v>
      </c>
      <c r="I96" s="11" t="str">
        <f aca="false">IF(G96&gt;=F96,"PASS","FAIL")</f>
        <v>PASS</v>
      </c>
      <c r="J96" s="11" t="str">
        <f aca="false">IF(H96=0,"UNOBSERVED","INVALID")</f>
        <v>UNOBSERVED</v>
      </c>
      <c r="K96" s="11" t="str">
        <f aca="false">IF(AND(I96="PASS",J96="UNOBSERVED"),"DESIGN-CLOSE / TEST OPEN","FAIL")</f>
        <v>DESIGN-CLOSE / TEST OPEN</v>
      </c>
      <c r="L96" s="11" t="s">
        <v>409</v>
      </c>
    </row>
    <row r="97" customFormat="false" ht="15" hidden="false" customHeight="false" outlineLevel="0" collapsed="false">
      <c r="A97" s="11" t="s">
        <v>537</v>
      </c>
      <c r="B97" s="11" t="s">
        <v>40</v>
      </c>
      <c r="C97" s="11" t="s">
        <v>171</v>
      </c>
      <c r="D97" s="11" t="s">
        <v>414</v>
      </c>
      <c r="E97" s="11" t="s">
        <v>538</v>
      </c>
      <c r="F97" s="12" t="n">
        <v>9</v>
      </c>
      <c r="G97" s="12" t="n">
        <v>9</v>
      </c>
      <c r="H97" s="12" t="n">
        <v>0</v>
      </c>
      <c r="I97" s="11" t="str">
        <f aca="false">IF(G97&gt;=F97,"PASS","FAIL")</f>
        <v>PASS</v>
      </c>
      <c r="J97" s="11" t="str">
        <f aca="false">IF(H97=0,"UNOBSERVED","INVALID")</f>
        <v>UNOBSERVED</v>
      </c>
      <c r="K97" s="11" t="str">
        <f aca="false">IF(AND(I97="PASS",J97="UNOBSERVED"),"DESIGN-CLOSE / TEST OPEN","FAIL")</f>
        <v>DESIGN-CLOSE / TEST OPEN</v>
      </c>
      <c r="L97" s="11" t="s">
        <v>409</v>
      </c>
    </row>
    <row r="98" customFormat="false" ht="15" hidden="false" customHeight="false" outlineLevel="0" collapsed="false">
      <c r="A98" s="11" t="s">
        <v>539</v>
      </c>
      <c r="B98" s="11" t="s">
        <v>40</v>
      </c>
      <c r="C98" s="11" t="s">
        <v>171</v>
      </c>
      <c r="D98" s="11" t="s">
        <v>417</v>
      </c>
      <c r="E98" s="11" t="s">
        <v>540</v>
      </c>
      <c r="F98" s="12" t="n">
        <v>5</v>
      </c>
      <c r="G98" s="12" t="n">
        <v>5</v>
      </c>
      <c r="H98" s="12" t="n">
        <v>0</v>
      </c>
      <c r="I98" s="11" t="str">
        <f aca="false">IF(G98&gt;=F98,"PASS","FAIL")</f>
        <v>PASS</v>
      </c>
      <c r="J98" s="11" t="str">
        <f aca="false">IF(H98=0,"UNOBSERVED","INVALID")</f>
        <v>UNOBSERVED</v>
      </c>
      <c r="K98" s="11" t="str">
        <f aca="false">IF(AND(I98="PASS",J98="UNOBSERVED"),"DESIGN-CLOSE / TEST OPEN","FAIL")</f>
        <v>DESIGN-CLOSE / TEST OPEN</v>
      </c>
      <c r="L98" s="11" t="s">
        <v>409</v>
      </c>
    </row>
    <row r="99" customFormat="false" ht="15" hidden="false" customHeight="false" outlineLevel="0" collapsed="false">
      <c r="A99" s="11" t="s">
        <v>541</v>
      </c>
      <c r="B99" s="11" t="s">
        <v>40</v>
      </c>
      <c r="C99" s="11" t="s">
        <v>171</v>
      </c>
      <c r="D99" s="11" t="s">
        <v>420</v>
      </c>
      <c r="E99" s="11" t="s">
        <v>542</v>
      </c>
      <c r="F99" s="12" t="n">
        <v>5</v>
      </c>
      <c r="G99" s="12" t="n">
        <v>5</v>
      </c>
      <c r="H99" s="12" t="n">
        <v>0</v>
      </c>
      <c r="I99" s="11" t="str">
        <f aca="false">IF(G99&gt;=F99,"PASS","FAIL")</f>
        <v>PASS</v>
      </c>
      <c r="J99" s="11" t="str">
        <f aca="false">IF(H99=0,"UNOBSERVED","INVALID")</f>
        <v>UNOBSERVED</v>
      </c>
      <c r="K99" s="11" t="str">
        <f aca="false">IF(AND(I99="PASS",J99="UNOBSERVED"),"DESIGN-CLOSE / TEST OPEN","FAIL")</f>
        <v>DESIGN-CLOSE / TEST OPEN</v>
      </c>
      <c r="L99" s="11" t="s">
        <v>409</v>
      </c>
    </row>
    <row r="100" customFormat="false" ht="15" hidden="false" customHeight="false" outlineLevel="0" collapsed="false">
      <c r="A100" s="11" t="s">
        <v>543</v>
      </c>
      <c r="B100" s="11" t="s">
        <v>40</v>
      </c>
      <c r="C100" s="11" t="s">
        <v>171</v>
      </c>
      <c r="D100" s="11" t="s">
        <v>423</v>
      </c>
      <c r="E100" s="11" t="s">
        <v>544</v>
      </c>
      <c r="F100" s="12" t="n">
        <v>5</v>
      </c>
      <c r="G100" s="12" t="n">
        <v>5</v>
      </c>
      <c r="H100" s="12" t="n">
        <v>0</v>
      </c>
      <c r="I100" s="11" t="str">
        <f aca="false">IF(G100&gt;=F100,"PASS","FAIL")</f>
        <v>PASS</v>
      </c>
      <c r="J100" s="11" t="str">
        <f aca="false">IF(H100=0,"UNOBSERVED","INVALID")</f>
        <v>UNOBSERVED</v>
      </c>
      <c r="K100" s="11" t="str">
        <f aca="false">IF(AND(I100="PASS",J100="UNOBSERVED"),"DESIGN-CLOSE / TEST OPEN","FAIL")</f>
        <v>DESIGN-CLOSE / TEST OPEN</v>
      </c>
      <c r="L100" s="11" t="s">
        <v>409</v>
      </c>
    </row>
    <row r="101" customFormat="false" ht="15" hidden="false" customHeight="false" outlineLevel="0" collapsed="false">
      <c r="A101" s="11" t="s">
        <v>545</v>
      </c>
      <c r="B101" s="11" t="s">
        <v>41</v>
      </c>
      <c r="C101" s="11" t="s">
        <v>171</v>
      </c>
      <c r="D101" s="11" t="s">
        <v>407</v>
      </c>
      <c r="E101" s="11" t="s">
        <v>534</v>
      </c>
      <c r="F101" s="12" t="n">
        <v>5</v>
      </c>
      <c r="G101" s="12" t="n">
        <v>5</v>
      </c>
      <c r="H101" s="12" t="n">
        <v>0</v>
      </c>
      <c r="I101" s="11" t="str">
        <f aca="false">IF(G101&gt;=F101,"PASS","FAIL")</f>
        <v>PASS</v>
      </c>
      <c r="J101" s="11" t="str">
        <f aca="false">IF(H101=0,"UNOBSERVED","INVALID")</f>
        <v>UNOBSERVED</v>
      </c>
      <c r="K101" s="11" t="str">
        <f aca="false">IF(AND(I101="PASS",J101="UNOBSERVED"),"DESIGN-CLOSE / TEST OPEN","FAIL")</f>
        <v>DESIGN-CLOSE / TEST OPEN</v>
      </c>
      <c r="L101" s="11" t="s">
        <v>409</v>
      </c>
    </row>
    <row r="102" customFormat="false" ht="15" hidden="false" customHeight="false" outlineLevel="0" collapsed="false">
      <c r="A102" s="11" t="s">
        <v>546</v>
      </c>
      <c r="B102" s="11" t="s">
        <v>41</v>
      </c>
      <c r="C102" s="11" t="s">
        <v>171</v>
      </c>
      <c r="D102" s="11" t="s">
        <v>411</v>
      </c>
      <c r="E102" s="11" t="s">
        <v>536</v>
      </c>
      <c r="F102" s="12" t="n">
        <v>7</v>
      </c>
      <c r="G102" s="12" t="n">
        <v>7</v>
      </c>
      <c r="H102" s="12" t="n">
        <v>0</v>
      </c>
      <c r="I102" s="11" t="str">
        <f aca="false">IF(G102&gt;=F102,"PASS","FAIL")</f>
        <v>PASS</v>
      </c>
      <c r="J102" s="11" t="str">
        <f aca="false">IF(H102=0,"UNOBSERVED","INVALID")</f>
        <v>UNOBSERVED</v>
      </c>
      <c r="K102" s="11" t="str">
        <f aca="false">IF(AND(I102="PASS",J102="UNOBSERVED"),"DESIGN-CLOSE / TEST OPEN","FAIL")</f>
        <v>DESIGN-CLOSE / TEST OPEN</v>
      </c>
      <c r="L102" s="11" t="s">
        <v>409</v>
      </c>
    </row>
    <row r="103" customFormat="false" ht="15" hidden="false" customHeight="false" outlineLevel="0" collapsed="false">
      <c r="A103" s="11" t="s">
        <v>547</v>
      </c>
      <c r="B103" s="11" t="s">
        <v>41</v>
      </c>
      <c r="C103" s="11" t="s">
        <v>171</v>
      </c>
      <c r="D103" s="11" t="s">
        <v>414</v>
      </c>
      <c r="E103" s="11" t="s">
        <v>538</v>
      </c>
      <c r="F103" s="12" t="n">
        <v>9</v>
      </c>
      <c r="G103" s="12" t="n">
        <v>9</v>
      </c>
      <c r="H103" s="12" t="n">
        <v>0</v>
      </c>
      <c r="I103" s="11" t="str">
        <f aca="false">IF(G103&gt;=F103,"PASS","FAIL")</f>
        <v>PASS</v>
      </c>
      <c r="J103" s="11" t="str">
        <f aca="false">IF(H103=0,"UNOBSERVED","INVALID")</f>
        <v>UNOBSERVED</v>
      </c>
      <c r="K103" s="11" t="str">
        <f aca="false">IF(AND(I103="PASS",J103="UNOBSERVED"),"DESIGN-CLOSE / TEST OPEN","FAIL")</f>
        <v>DESIGN-CLOSE / TEST OPEN</v>
      </c>
      <c r="L103" s="11" t="s">
        <v>409</v>
      </c>
    </row>
    <row r="104" customFormat="false" ht="15" hidden="false" customHeight="false" outlineLevel="0" collapsed="false">
      <c r="A104" s="11" t="s">
        <v>548</v>
      </c>
      <c r="B104" s="11" t="s">
        <v>41</v>
      </c>
      <c r="C104" s="11" t="s">
        <v>171</v>
      </c>
      <c r="D104" s="11" t="s">
        <v>417</v>
      </c>
      <c r="E104" s="11" t="s">
        <v>540</v>
      </c>
      <c r="F104" s="12" t="n">
        <v>5</v>
      </c>
      <c r="G104" s="12" t="n">
        <v>5</v>
      </c>
      <c r="H104" s="12" t="n">
        <v>0</v>
      </c>
      <c r="I104" s="11" t="str">
        <f aca="false">IF(G104&gt;=F104,"PASS","FAIL")</f>
        <v>PASS</v>
      </c>
      <c r="J104" s="11" t="str">
        <f aca="false">IF(H104=0,"UNOBSERVED","INVALID")</f>
        <v>UNOBSERVED</v>
      </c>
      <c r="K104" s="11" t="str">
        <f aca="false">IF(AND(I104="PASS",J104="UNOBSERVED"),"DESIGN-CLOSE / TEST OPEN","FAIL")</f>
        <v>DESIGN-CLOSE / TEST OPEN</v>
      </c>
      <c r="L104" s="11" t="s">
        <v>409</v>
      </c>
    </row>
    <row r="105" customFormat="false" ht="15" hidden="false" customHeight="false" outlineLevel="0" collapsed="false">
      <c r="A105" s="11" t="s">
        <v>549</v>
      </c>
      <c r="B105" s="11" t="s">
        <v>41</v>
      </c>
      <c r="C105" s="11" t="s">
        <v>171</v>
      </c>
      <c r="D105" s="11" t="s">
        <v>420</v>
      </c>
      <c r="E105" s="11" t="s">
        <v>542</v>
      </c>
      <c r="F105" s="12" t="n">
        <v>5</v>
      </c>
      <c r="G105" s="12" t="n">
        <v>5</v>
      </c>
      <c r="H105" s="12" t="n">
        <v>0</v>
      </c>
      <c r="I105" s="11" t="str">
        <f aca="false">IF(G105&gt;=F105,"PASS","FAIL")</f>
        <v>PASS</v>
      </c>
      <c r="J105" s="11" t="str">
        <f aca="false">IF(H105=0,"UNOBSERVED","INVALID")</f>
        <v>UNOBSERVED</v>
      </c>
      <c r="K105" s="11" t="str">
        <f aca="false">IF(AND(I105="PASS",J105="UNOBSERVED"),"DESIGN-CLOSE / TEST OPEN","FAIL")</f>
        <v>DESIGN-CLOSE / TEST OPEN</v>
      </c>
      <c r="L105" s="11" t="s">
        <v>409</v>
      </c>
    </row>
    <row r="106" customFormat="false" ht="15" hidden="false" customHeight="false" outlineLevel="0" collapsed="false">
      <c r="A106" s="11" t="s">
        <v>550</v>
      </c>
      <c r="B106" s="11" t="s">
        <v>41</v>
      </c>
      <c r="C106" s="11" t="s">
        <v>171</v>
      </c>
      <c r="D106" s="11" t="s">
        <v>423</v>
      </c>
      <c r="E106" s="11" t="s">
        <v>544</v>
      </c>
      <c r="F106" s="12" t="n">
        <v>5</v>
      </c>
      <c r="G106" s="12" t="n">
        <v>5</v>
      </c>
      <c r="H106" s="12" t="n">
        <v>0</v>
      </c>
      <c r="I106" s="11" t="str">
        <f aca="false">IF(G106&gt;=F106,"PASS","FAIL")</f>
        <v>PASS</v>
      </c>
      <c r="J106" s="11" t="str">
        <f aca="false">IF(H106=0,"UNOBSERVED","INVALID")</f>
        <v>UNOBSERVED</v>
      </c>
      <c r="K106" s="11" t="str">
        <f aca="false">IF(AND(I106="PASS",J106="UNOBSERVED"),"DESIGN-CLOSE / TEST OPEN","FAIL")</f>
        <v>DESIGN-CLOSE / TEST OPEN</v>
      </c>
      <c r="L106" s="11" t="s">
        <v>409</v>
      </c>
    </row>
    <row r="107" customFormat="false" ht="15" hidden="false" customHeight="false" outlineLevel="0" collapsed="false">
      <c r="A107" s="11" t="s">
        <v>551</v>
      </c>
      <c r="B107" s="11" t="s">
        <v>42</v>
      </c>
      <c r="C107" s="11" t="s">
        <v>171</v>
      </c>
      <c r="D107" s="11" t="s">
        <v>407</v>
      </c>
      <c r="E107" s="11" t="s">
        <v>534</v>
      </c>
      <c r="F107" s="12" t="n">
        <v>5</v>
      </c>
      <c r="G107" s="12" t="n">
        <v>5</v>
      </c>
      <c r="H107" s="12" t="n">
        <v>0</v>
      </c>
      <c r="I107" s="11" t="str">
        <f aca="false">IF(G107&gt;=F107,"PASS","FAIL")</f>
        <v>PASS</v>
      </c>
      <c r="J107" s="11" t="str">
        <f aca="false">IF(H107=0,"UNOBSERVED","INVALID")</f>
        <v>UNOBSERVED</v>
      </c>
      <c r="K107" s="11" t="str">
        <f aca="false">IF(AND(I107="PASS",J107="UNOBSERVED"),"DESIGN-CLOSE / TEST OPEN","FAIL")</f>
        <v>DESIGN-CLOSE / TEST OPEN</v>
      </c>
      <c r="L107" s="11" t="s">
        <v>409</v>
      </c>
    </row>
    <row r="108" customFormat="false" ht="15" hidden="false" customHeight="false" outlineLevel="0" collapsed="false">
      <c r="A108" s="11" t="s">
        <v>552</v>
      </c>
      <c r="B108" s="11" t="s">
        <v>42</v>
      </c>
      <c r="C108" s="11" t="s">
        <v>171</v>
      </c>
      <c r="D108" s="11" t="s">
        <v>411</v>
      </c>
      <c r="E108" s="11" t="s">
        <v>536</v>
      </c>
      <c r="F108" s="12" t="n">
        <v>7</v>
      </c>
      <c r="G108" s="12" t="n">
        <v>7</v>
      </c>
      <c r="H108" s="12" t="n">
        <v>0</v>
      </c>
      <c r="I108" s="11" t="str">
        <f aca="false">IF(G108&gt;=F108,"PASS","FAIL")</f>
        <v>PASS</v>
      </c>
      <c r="J108" s="11" t="str">
        <f aca="false">IF(H108=0,"UNOBSERVED","INVALID")</f>
        <v>UNOBSERVED</v>
      </c>
      <c r="K108" s="11" t="str">
        <f aca="false">IF(AND(I108="PASS",J108="UNOBSERVED"),"DESIGN-CLOSE / TEST OPEN","FAIL")</f>
        <v>DESIGN-CLOSE / TEST OPEN</v>
      </c>
      <c r="L108" s="11" t="s">
        <v>409</v>
      </c>
    </row>
    <row r="109" customFormat="false" ht="15" hidden="false" customHeight="false" outlineLevel="0" collapsed="false">
      <c r="A109" s="11" t="s">
        <v>553</v>
      </c>
      <c r="B109" s="11" t="s">
        <v>42</v>
      </c>
      <c r="C109" s="11" t="s">
        <v>171</v>
      </c>
      <c r="D109" s="11" t="s">
        <v>414</v>
      </c>
      <c r="E109" s="11" t="s">
        <v>538</v>
      </c>
      <c r="F109" s="12" t="n">
        <v>9</v>
      </c>
      <c r="G109" s="12" t="n">
        <v>9</v>
      </c>
      <c r="H109" s="12" t="n">
        <v>0</v>
      </c>
      <c r="I109" s="11" t="str">
        <f aca="false">IF(G109&gt;=F109,"PASS","FAIL")</f>
        <v>PASS</v>
      </c>
      <c r="J109" s="11" t="str">
        <f aca="false">IF(H109=0,"UNOBSERVED","INVALID")</f>
        <v>UNOBSERVED</v>
      </c>
      <c r="K109" s="11" t="str">
        <f aca="false">IF(AND(I109="PASS",J109="UNOBSERVED"),"DESIGN-CLOSE / TEST OPEN","FAIL")</f>
        <v>DESIGN-CLOSE / TEST OPEN</v>
      </c>
      <c r="L109" s="11" t="s">
        <v>409</v>
      </c>
    </row>
    <row r="110" customFormat="false" ht="15" hidden="false" customHeight="false" outlineLevel="0" collapsed="false">
      <c r="A110" s="11" t="s">
        <v>554</v>
      </c>
      <c r="B110" s="11" t="s">
        <v>42</v>
      </c>
      <c r="C110" s="11" t="s">
        <v>171</v>
      </c>
      <c r="D110" s="11" t="s">
        <v>417</v>
      </c>
      <c r="E110" s="11" t="s">
        <v>540</v>
      </c>
      <c r="F110" s="12" t="n">
        <v>5</v>
      </c>
      <c r="G110" s="12" t="n">
        <v>5</v>
      </c>
      <c r="H110" s="12" t="n">
        <v>0</v>
      </c>
      <c r="I110" s="11" t="str">
        <f aca="false">IF(G110&gt;=F110,"PASS","FAIL")</f>
        <v>PASS</v>
      </c>
      <c r="J110" s="11" t="str">
        <f aca="false">IF(H110=0,"UNOBSERVED","INVALID")</f>
        <v>UNOBSERVED</v>
      </c>
      <c r="K110" s="11" t="str">
        <f aca="false">IF(AND(I110="PASS",J110="UNOBSERVED"),"DESIGN-CLOSE / TEST OPEN","FAIL")</f>
        <v>DESIGN-CLOSE / TEST OPEN</v>
      </c>
      <c r="L110" s="11" t="s">
        <v>409</v>
      </c>
    </row>
    <row r="111" customFormat="false" ht="15" hidden="false" customHeight="false" outlineLevel="0" collapsed="false">
      <c r="A111" s="11" t="s">
        <v>555</v>
      </c>
      <c r="B111" s="11" t="s">
        <v>42</v>
      </c>
      <c r="C111" s="11" t="s">
        <v>171</v>
      </c>
      <c r="D111" s="11" t="s">
        <v>420</v>
      </c>
      <c r="E111" s="11" t="s">
        <v>542</v>
      </c>
      <c r="F111" s="12" t="n">
        <v>5</v>
      </c>
      <c r="G111" s="12" t="n">
        <v>5</v>
      </c>
      <c r="H111" s="12" t="n">
        <v>0</v>
      </c>
      <c r="I111" s="11" t="str">
        <f aca="false">IF(G111&gt;=F111,"PASS","FAIL")</f>
        <v>PASS</v>
      </c>
      <c r="J111" s="11" t="str">
        <f aca="false">IF(H111=0,"UNOBSERVED","INVALID")</f>
        <v>UNOBSERVED</v>
      </c>
      <c r="K111" s="11" t="str">
        <f aca="false">IF(AND(I111="PASS",J111="UNOBSERVED"),"DESIGN-CLOSE / TEST OPEN","FAIL")</f>
        <v>DESIGN-CLOSE / TEST OPEN</v>
      </c>
      <c r="L111" s="11" t="s">
        <v>409</v>
      </c>
    </row>
    <row r="112" customFormat="false" ht="15" hidden="false" customHeight="false" outlineLevel="0" collapsed="false">
      <c r="A112" s="13" t="s">
        <v>556</v>
      </c>
      <c r="B112" s="13" t="s">
        <v>42</v>
      </c>
      <c r="C112" s="13" t="s">
        <v>171</v>
      </c>
      <c r="D112" s="13" t="s">
        <v>423</v>
      </c>
      <c r="E112" s="13" t="s">
        <v>544</v>
      </c>
      <c r="F112" s="20" t="n">
        <v>5</v>
      </c>
      <c r="G112" s="20" t="n">
        <v>5</v>
      </c>
      <c r="H112" s="20" t="n">
        <v>0</v>
      </c>
      <c r="I112" s="13" t="str">
        <f aca="false">IF(G112&gt;=F112,"PASS","FAIL")</f>
        <v>PASS</v>
      </c>
      <c r="J112" s="13" t="str">
        <f aca="false">IF(H112=0,"UNOBSERVED","INVALID")</f>
        <v>UNOBSERVED</v>
      </c>
      <c r="K112" s="13" t="str">
        <f aca="false">IF(AND(I112="PASS",J112="UNOBSERVED"),"DESIGN-CLOSE / TEST OPEN","FAIL")</f>
        <v>DESIGN-CLOSE / TEST OPEN</v>
      </c>
      <c r="L112" s="13" t="s">
        <v>409</v>
      </c>
    </row>
  </sheetData>
  <mergeCells count="1">
    <mergeCell ref="A2:L2"/>
  </mergeCells>
  <conditionalFormatting sqref="I5:K112">
    <cfRule type="containsText" priority="2" operator="containsText" aboveAverage="0" equalAverage="0" bottom="0" percent="0" rank="0" text="FAIL" dxfId="3">
      <formula>NOT(ISERROR(SEARCH("FAIL",I5)))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62"/>
    <col collapsed="false" customWidth="true" hidden="false" outlineLevel="0" max="7" min="7" style="0" width="64"/>
    <col collapsed="false" customWidth="true" hidden="false" outlineLevel="0" max="9" min="8" style="0" width="19"/>
    <col collapsed="false" customWidth="true" hidden="false" outlineLevel="0" max="10" min="10" style="0" width="20"/>
    <col collapsed="false" customWidth="true" hidden="false" outlineLevel="0" max="11" min="11" style="0" width="28"/>
  </cols>
  <sheetData>
    <row r="2" customFormat="false" ht="18.55" hidden="false" customHeight="false" outlineLevel="0" collapsed="false">
      <c r="A2" s="1" t="s">
        <v>557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0" hidden="false" customHeight="true" outlineLevel="0" collapsed="false">
      <c r="A4" s="3" t="s">
        <v>558</v>
      </c>
      <c r="B4" s="4" t="s">
        <v>75</v>
      </c>
      <c r="C4" s="4" t="s">
        <v>76</v>
      </c>
      <c r="D4" s="4" t="s">
        <v>231</v>
      </c>
      <c r="E4" s="4" t="s">
        <v>559</v>
      </c>
      <c r="F4" s="4" t="s">
        <v>560</v>
      </c>
      <c r="G4" s="4" t="s">
        <v>561</v>
      </c>
      <c r="H4" s="4" t="s">
        <v>102</v>
      </c>
      <c r="I4" s="4" t="s">
        <v>562</v>
      </c>
      <c r="J4" s="4" t="s">
        <v>3</v>
      </c>
      <c r="K4" s="5" t="s">
        <v>46</v>
      </c>
    </row>
    <row r="5" customFormat="false" ht="23.85" hidden="false" customHeight="false" outlineLevel="0" collapsed="false">
      <c r="A5" s="7" t="s">
        <v>563</v>
      </c>
      <c r="B5" s="7" t="s">
        <v>10</v>
      </c>
      <c r="C5" s="7" t="s">
        <v>107</v>
      </c>
      <c r="D5" s="7" t="s">
        <v>564</v>
      </c>
      <c r="E5" s="7" t="s">
        <v>565</v>
      </c>
      <c r="F5" s="7" t="s">
        <v>566</v>
      </c>
      <c r="G5" s="7" t="s">
        <v>567</v>
      </c>
      <c r="H5" s="8" t="n">
        <v>0</v>
      </c>
      <c r="I5" s="8" t="n">
        <f aca="false">COUNTIF($B$5:$B$58,B5)</f>
        <v>3</v>
      </c>
      <c r="J5" s="7" t="str">
        <f aca="false">IF(AND(E5&lt;&gt;"",G5&lt;&gt;"",H5=0,I5=3),"OPEN / UNPROVEN","FAIL")</f>
        <v>OPEN / UNPROVEN</v>
      </c>
      <c r="K5" s="7" t="s">
        <v>568</v>
      </c>
    </row>
    <row r="6" customFormat="false" ht="23.85" hidden="false" customHeight="false" outlineLevel="0" collapsed="false">
      <c r="A6" s="11" t="s">
        <v>569</v>
      </c>
      <c r="B6" s="11" t="s">
        <v>10</v>
      </c>
      <c r="C6" s="11" t="s">
        <v>107</v>
      </c>
      <c r="D6" s="11" t="s">
        <v>257</v>
      </c>
      <c r="E6" s="11" t="s">
        <v>570</v>
      </c>
      <c r="F6" s="11" t="s">
        <v>571</v>
      </c>
      <c r="G6" s="11" t="s">
        <v>572</v>
      </c>
      <c r="H6" s="12" t="n">
        <v>0</v>
      </c>
      <c r="I6" s="12" t="n">
        <f aca="false">COUNTIF($B$5:$B$58,B6)</f>
        <v>3</v>
      </c>
      <c r="J6" s="11" t="str">
        <f aca="false">IF(AND(E6&lt;&gt;"",G6&lt;&gt;"",H6=0,I6=3),"OPEN / UNPROVEN","FAIL")</f>
        <v>OPEN / UNPROVEN</v>
      </c>
      <c r="K6" s="11" t="s">
        <v>568</v>
      </c>
    </row>
    <row r="7" customFormat="false" ht="23.85" hidden="false" customHeight="false" outlineLevel="0" collapsed="false">
      <c r="A7" s="11" t="s">
        <v>573</v>
      </c>
      <c r="B7" s="11" t="s">
        <v>10</v>
      </c>
      <c r="C7" s="11" t="s">
        <v>107</v>
      </c>
      <c r="D7" s="11" t="s">
        <v>574</v>
      </c>
      <c r="E7" s="11" t="s">
        <v>575</v>
      </c>
      <c r="F7" s="11" t="s">
        <v>576</v>
      </c>
      <c r="G7" s="11" t="s">
        <v>577</v>
      </c>
      <c r="H7" s="12" t="n">
        <v>0</v>
      </c>
      <c r="I7" s="12" t="n">
        <f aca="false">COUNTIF($B$5:$B$58,B7)</f>
        <v>3</v>
      </c>
      <c r="J7" s="11" t="str">
        <f aca="false">IF(AND(E7&lt;&gt;"",G7&lt;&gt;"",H7=0,I7=3),"OPEN / UNPROVEN","FAIL")</f>
        <v>OPEN / UNPROVEN</v>
      </c>
      <c r="K7" s="11" t="s">
        <v>568</v>
      </c>
    </row>
    <row r="8" customFormat="false" ht="23.85" hidden="false" customHeight="false" outlineLevel="0" collapsed="false">
      <c r="A8" s="11" t="s">
        <v>578</v>
      </c>
      <c r="B8" s="11" t="s">
        <v>12</v>
      </c>
      <c r="C8" s="11" t="s">
        <v>107</v>
      </c>
      <c r="D8" s="11" t="s">
        <v>579</v>
      </c>
      <c r="E8" s="11" t="s">
        <v>580</v>
      </c>
      <c r="F8" s="11" t="s">
        <v>581</v>
      </c>
      <c r="G8" s="11" t="s">
        <v>582</v>
      </c>
      <c r="H8" s="12" t="n">
        <v>0</v>
      </c>
      <c r="I8" s="12" t="n">
        <f aca="false">COUNTIF($B$5:$B$58,B8)</f>
        <v>3</v>
      </c>
      <c r="J8" s="11" t="str">
        <f aca="false">IF(AND(E8&lt;&gt;"",G8&lt;&gt;"",H8=0,I8=3),"OPEN / UNPROVEN","FAIL")</f>
        <v>OPEN / UNPROVEN</v>
      </c>
      <c r="K8" s="11" t="s">
        <v>568</v>
      </c>
    </row>
    <row r="9" customFormat="false" ht="15" hidden="false" customHeight="false" outlineLevel="0" collapsed="false">
      <c r="A9" s="11" t="s">
        <v>583</v>
      </c>
      <c r="B9" s="11" t="s">
        <v>12</v>
      </c>
      <c r="C9" s="11" t="s">
        <v>107</v>
      </c>
      <c r="D9" s="11" t="s">
        <v>584</v>
      </c>
      <c r="E9" s="11" t="s">
        <v>585</v>
      </c>
      <c r="F9" s="11" t="s">
        <v>586</v>
      </c>
      <c r="G9" s="11" t="s">
        <v>587</v>
      </c>
      <c r="H9" s="12" t="n">
        <v>0</v>
      </c>
      <c r="I9" s="12" t="n">
        <f aca="false">COUNTIF($B$5:$B$58,B9)</f>
        <v>3</v>
      </c>
      <c r="J9" s="11" t="str">
        <f aca="false">IF(AND(E9&lt;&gt;"",G9&lt;&gt;"",H9=0,I9=3),"OPEN / UNPROVEN","FAIL")</f>
        <v>OPEN / UNPROVEN</v>
      </c>
      <c r="K9" s="11" t="s">
        <v>568</v>
      </c>
    </row>
    <row r="10" customFormat="false" ht="15" hidden="false" customHeight="false" outlineLevel="0" collapsed="false">
      <c r="A10" s="11" t="s">
        <v>588</v>
      </c>
      <c r="B10" s="11" t="s">
        <v>12</v>
      </c>
      <c r="C10" s="11" t="s">
        <v>107</v>
      </c>
      <c r="D10" s="11" t="s">
        <v>589</v>
      </c>
      <c r="E10" s="11" t="s">
        <v>590</v>
      </c>
      <c r="F10" s="11" t="s">
        <v>591</v>
      </c>
      <c r="G10" s="11" t="s">
        <v>592</v>
      </c>
      <c r="H10" s="12" t="n">
        <v>0</v>
      </c>
      <c r="I10" s="12" t="n">
        <f aca="false">COUNTIF($B$5:$B$58,B10)</f>
        <v>3</v>
      </c>
      <c r="J10" s="11" t="str">
        <f aca="false">IF(AND(E10&lt;&gt;"",G10&lt;&gt;"",H10=0,I10=3),"OPEN / UNPROVEN","FAIL")</f>
        <v>OPEN / UNPROVEN</v>
      </c>
      <c r="K10" s="11" t="s">
        <v>568</v>
      </c>
    </row>
    <row r="11" customFormat="false" ht="15" hidden="false" customHeight="false" outlineLevel="0" collapsed="false">
      <c r="A11" s="11" t="s">
        <v>593</v>
      </c>
      <c r="B11" s="11" t="s">
        <v>15</v>
      </c>
      <c r="C11" s="11" t="s">
        <v>107</v>
      </c>
      <c r="D11" s="11" t="s">
        <v>594</v>
      </c>
      <c r="E11" s="11" t="s">
        <v>595</v>
      </c>
      <c r="F11" s="11" t="s">
        <v>596</v>
      </c>
      <c r="G11" s="11" t="s">
        <v>597</v>
      </c>
      <c r="H11" s="12" t="n">
        <v>0</v>
      </c>
      <c r="I11" s="12" t="n">
        <f aca="false">COUNTIF($B$5:$B$58,B11)</f>
        <v>3</v>
      </c>
      <c r="J11" s="11" t="str">
        <f aca="false">IF(AND(E11&lt;&gt;"",G11&lt;&gt;"",H11=0,I11=3),"OPEN / UNPROVEN","FAIL")</f>
        <v>OPEN / UNPROVEN</v>
      </c>
      <c r="K11" s="11" t="s">
        <v>568</v>
      </c>
    </row>
    <row r="12" customFormat="false" ht="15" hidden="false" customHeight="false" outlineLevel="0" collapsed="false">
      <c r="A12" s="11" t="s">
        <v>598</v>
      </c>
      <c r="B12" s="11" t="s">
        <v>15</v>
      </c>
      <c r="C12" s="11" t="s">
        <v>107</v>
      </c>
      <c r="D12" s="11" t="s">
        <v>599</v>
      </c>
      <c r="E12" s="11" t="s">
        <v>600</v>
      </c>
      <c r="F12" s="11" t="s">
        <v>601</v>
      </c>
      <c r="G12" s="11" t="s">
        <v>602</v>
      </c>
      <c r="H12" s="12" t="n">
        <v>0</v>
      </c>
      <c r="I12" s="12" t="n">
        <f aca="false">COUNTIF($B$5:$B$58,B12)</f>
        <v>3</v>
      </c>
      <c r="J12" s="11" t="str">
        <f aca="false">IF(AND(E12&lt;&gt;"",G12&lt;&gt;"",H12=0,I12=3),"OPEN / UNPROVEN","FAIL")</f>
        <v>OPEN / UNPROVEN</v>
      </c>
      <c r="K12" s="11" t="s">
        <v>568</v>
      </c>
    </row>
    <row r="13" customFormat="false" ht="15" hidden="false" customHeight="false" outlineLevel="0" collapsed="false">
      <c r="A13" s="11" t="s">
        <v>603</v>
      </c>
      <c r="B13" s="11" t="s">
        <v>15</v>
      </c>
      <c r="C13" s="11" t="s">
        <v>107</v>
      </c>
      <c r="D13" s="11" t="s">
        <v>604</v>
      </c>
      <c r="E13" s="11" t="s">
        <v>605</v>
      </c>
      <c r="F13" s="11" t="s">
        <v>606</v>
      </c>
      <c r="G13" s="11" t="s">
        <v>607</v>
      </c>
      <c r="H13" s="12" t="n">
        <v>0</v>
      </c>
      <c r="I13" s="12" t="n">
        <f aca="false">COUNTIF($B$5:$B$58,B13)</f>
        <v>3</v>
      </c>
      <c r="J13" s="11" t="str">
        <f aca="false">IF(AND(E13&lt;&gt;"",G13&lt;&gt;"",H13=0,I13=3),"OPEN / UNPROVEN","FAIL")</f>
        <v>OPEN / UNPROVEN</v>
      </c>
      <c r="K13" s="11" t="s">
        <v>568</v>
      </c>
    </row>
    <row r="14" customFormat="false" ht="15" hidden="false" customHeight="false" outlineLevel="0" collapsed="false">
      <c r="A14" s="11" t="s">
        <v>608</v>
      </c>
      <c r="B14" s="11" t="s">
        <v>17</v>
      </c>
      <c r="C14" s="11" t="s">
        <v>123</v>
      </c>
      <c r="D14" s="11" t="s">
        <v>275</v>
      </c>
      <c r="E14" s="11" t="s">
        <v>609</v>
      </c>
      <c r="F14" s="11" t="s">
        <v>610</v>
      </c>
      <c r="G14" s="11" t="s">
        <v>611</v>
      </c>
      <c r="H14" s="12" t="n">
        <v>0</v>
      </c>
      <c r="I14" s="12" t="n">
        <f aca="false">COUNTIF($B$5:$B$58,B14)</f>
        <v>3</v>
      </c>
      <c r="J14" s="11" t="str">
        <f aca="false">IF(AND(E14&lt;&gt;"",G14&lt;&gt;"",H14=0,I14=3),"OPEN / UNPROVEN","FAIL")</f>
        <v>OPEN / UNPROVEN</v>
      </c>
      <c r="K14" s="11" t="s">
        <v>568</v>
      </c>
    </row>
    <row r="15" customFormat="false" ht="15" hidden="false" customHeight="false" outlineLevel="0" collapsed="false">
      <c r="A15" s="11" t="s">
        <v>612</v>
      </c>
      <c r="B15" s="11" t="s">
        <v>17</v>
      </c>
      <c r="C15" s="11" t="s">
        <v>123</v>
      </c>
      <c r="D15" s="11" t="s">
        <v>613</v>
      </c>
      <c r="E15" s="11" t="s">
        <v>614</v>
      </c>
      <c r="F15" s="11" t="s">
        <v>615</v>
      </c>
      <c r="G15" s="11" t="s">
        <v>616</v>
      </c>
      <c r="H15" s="12" t="n">
        <v>0</v>
      </c>
      <c r="I15" s="12" t="n">
        <f aca="false">COUNTIF($B$5:$B$58,B15)</f>
        <v>3</v>
      </c>
      <c r="J15" s="11" t="str">
        <f aca="false">IF(AND(E15&lt;&gt;"",G15&lt;&gt;"",H15=0,I15=3),"OPEN / UNPROVEN","FAIL")</f>
        <v>OPEN / UNPROVEN</v>
      </c>
      <c r="K15" s="11" t="s">
        <v>568</v>
      </c>
    </row>
    <row r="16" customFormat="false" ht="15" hidden="false" customHeight="false" outlineLevel="0" collapsed="false">
      <c r="A16" s="11" t="s">
        <v>617</v>
      </c>
      <c r="B16" s="11" t="s">
        <v>17</v>
      </c>
      <c r="C16" s="11" t="s">
        <v>123</v>
      </c>
      <c r="D16" s="11" t="s">
        <v>618</v>
      </c>
      <c r="E16" s="11" t="s">
        <v>619</v>
      </c>
      <c r="F16" s="11" t="s">
        <v>620</v>
      </c>
      <c r="G16" s="11" t="s">
        <v>621</v>
      </c>
      <c r="H16" s="12" t="n">
        <v>0</v>
      </c>
      <c r="I16" s="12" t="n">
        <f aca="false">COUNTIF($B$5:$B$58,B16)</f>
        <v>3</v>
      </c>
      <c r="J16" s="11" t="str">
        <f aca="false">IF(AND(E16&lt;&gt;"",G16&lt;&gt;"",H16=0,I16=3),"OPEN / UNPROVEN","FAIL")</f>
        <v>OPEN / UNPROVEN</v>
      </c>
      <c r="K16" s="11" t="s">
        <v>568</v>
      </c>
    </row>
    <row r="17" customFormat="false" ht="15" hidden="false" customHeight="false" outlineLevel="0" collapsed="false">
      <c r="A17" s="11" t="s">
        <v>622</v>
      </c>
      <c r="B17" s="11" t="s">
        <v>19</v>
      </c>
      <c r="C17" s="11" t="s">
        <v>123</v>
      </c>
      <c r="D17" s="11" t="s">
        <v>623</v>
      </c>
      <c r="E17" s="11" t="s">
        <v>624</v>
      </c>
      <c r="F17" s="11" t="s">
        <v>625</v>
      </c>
      <c r="G17" s="11" t="s">
        <v>626</v>
      </c>
      <c r="H17" s="12" t="n">
        <v>0</v>
      </c>
      <c r="I17" s="12" t="n">
        <f aca="false">COUNTIF($B$5:$B$58,B17)</f>
        <v>3</v>
      </c>
      <c r="J17" s="11" t="str">
        <f aca="false">IF(AND(E17&lt;&gt;"",G17&lt;&gt;"",H17=0,I17=3),"OPEN / UNPROVEN","FAIL")</f>
        <v>OPEN / UNPROVEN</v>
      </c>
      <c r="K17" s="11" t="s">
        <v>568</v>
      </c>
    </row>
    <row r="18" customFormat="false" ht="15" hidden="false" customHeight="false" outlineLevel="0" collapsed="false">
      <c r="A18" s="11" t="s">
        <v>627</v>
      </c>
      <c r="B18" s="11" t="s">
        <v>19</v>
      </c>
      <c r="C18" s="11" t="s">
        <v>123</v>
      </c>
      <c r="D18" s="11" t="s">
        <v>628</v>
      </c>
      <c r="E18" s="11" t="s">
        <v>629</v>
      </c>
      <c r="F18" s="11" t="s">
        <v>630</v>
      </c>
      <c r="G18" s="11" t="s">
        <v>631</v>
      </c>
      <c r="H18" s="12" t="n">
        <v>0</v>
      </c>
      <c r="I18" s="12" t="n">
        <f aca="false">COUNTIF($B$5:$B$58,B18)</f>
        <v>3</v>
      </c>
      <c r="J18" s="11" t="str">
        <f aca="false">IF(AND(E18&lt;&gt;"",G18&lt;&gt;"",H18=0,I18=3),"OPEN / UNPROVEN","FAIL")</f>
        <v>OPEN / UNPROVEN</v>
      </c>
      <c r="K18" s="11" t="s">
        <v>568</v>
      </c>
    </row>
    <row r="19" customFormat="false" ht="23.85" hidden="false" customHeight="false" outlineLevel="0" collapsed="false">
      <c r="A19" s="11" t="s">
        <v>632</v>
      </c>
      <c r="B19" s="11" t="s">
        <v>19</v>
      </c>
      <c r="C19" s="11" t="s">
        <v>123</v>
      </c>
      <c r="D19" s="11" t="s">
        <v>633</v>
      </c>
      <c r="E19" s="11" t="s">
        <v>634</v>
      </c>
      <c r="F19" s="11" t="s">
        <v>635</v>
      </c>
      <c r="G19" s="11" t="s">
        <v>636</v>
      </c>
      <c r="H19" s="12" t="n">
        <v>0</v>
      </c>
      <c r="I19" s="12" t="n">
        <f aca="false">COUNTIF($B$5:$B$58,B19)</f>
        <v>3</v>
      </c>
      <c r="J19" s="11" t="str">
        <f aca="false">IF(AND(E19&lt;&gt;"",G19&lt;&gt;"",H19=0,I19=3),"OPEN / UNPROVEN","FAIL")</f>
        <v>OPEN / UNPROVEN</v>
      </c>
      <c r="K19" s="11" t="s">
        <v>568</v>
      </c>
    </row>
    <row r="20" customFormat="false" ht="15" hidden="false" customHeight="false" outlineLevel="0" collapsed="false">
      <c r="A20" s="11" t="s">
        <v>637</v>
      </c>
      <c r="B20" s="11" t="s">
        <v>21</v>
      </c>
      <c r="C20" s="11" t="s">
        <v>123</v>
      </c>
      <c r="D20" s="11" t="s">
        <v>638</v>
      </c>
      <c r="E20" s="11" t="s">
        <v>639</v>
      </c>
      <c r="F20" s="11" t="s">
        <v>640</v>
      </c>
      <c r="G20" s="11" t="s">
        <v>641</v>
      </c>
      <c r="H20" s="12" t="n">
        <v>0</v>
      </c>
      <c r="I20" s="12" t="n">
        <f aca="false">COUNTIF($B$5:$B$58,B20)</f>
        <v>3</v>
      </c>
      <c r="J20" s="11" t="str">
        <f aca="false">IF(AND(E20&lt;&gt;"",G20&lt;&gt;"",H20=0,I20=3),"OPEN / UNPROVEN","FAIL")</f>
        <v>OPEN / UNPROVEN</v>
      </c>
      <c r="K20" s="11" t="s">
        <v>568</v>
      </c>
    </row>
    <row r="21" customFormat="false" ht="15" hidden="false" customHeight="false" outlineLevel="0" collapsed="false">
      <c r="A21" s="11" t="s">
        <v>642</v>
      </c>
      <c r="B21" s="11" t="s">
        <v>21</v>
      </c>
      <c r="C21" s="11" t="s">
        <v>123</v>
      </c>
      <c r="D21" s="11" t="s">
        <v>643</v>
      </c>
      <c r="E21" s="11" t="s">
        <v>644</v>
      </c>
      <c r="F21" s="11" t="s">
        <v>645</v>
      </c>
      <c r="G21" s="11" t="s">
        <v>646</v>
      </c>
      <c r="H21" s="12" t="n">
        <v>0</v>
      </c>
      <c r="I21" s="12" t="n">
        <f aca="false">COUNTIF($B$5:$B$58,B21)</f>
        <v>3</v>
      </c>
      <c r="J21" s="11" t="str">
        <f aca="false">IF(AND(E21&lt;&gt;"",G21&lt;&gt;"",H21=0,I21=3),"OPEN / UNPROVEN","FAIL")</f>
        <v>OPEN / UNPROVEN</v>
      </c>
      <c r="K21" s="11" t="s">
        <v>568</v>
      </c>
    </row>
    <row r="22" customFormat="false" ht="23.85" hidden="false" customHeight="false" outlineLevel="0" collapsed="false">
      <c r="A22" s="11" t="s">
        <v>647</v>
      </c>
      <c r="B22" s="11" t="s">
        <v>21</v>
      </c>
      <c r="C22" s="11" t="s">
        <v>123</v>
      </c>
      <c r="D22" s="11" t="s">
        <v>648</v>
      </c>
      <c r="E22" s="11" t="s">
        <v>649</v>
      </c>
      <c r="F22" s="11" t="s">
        <v>650</v>
      </c>
      <c r="G22" s="11" t="s">
        <v>651</v>
      </c>
      <c r="H22" s="12" t="n">
        <v>0</v>
      </c>
      <c r="I22" s="12" t="n">
        <f aca="false">COUNTIF($B$5:$B$58,B22)</f>
        <v>3</v>
      </c>
      <c r="J22" s="11" t="str">
        <f aca="false">IF(AND(E22&lt;&gt;"",G22&lt;&gt;"",H22=0,I22=3),"OPEN / UNPROVEN","FAIL")</f>
        <v>OPEN / UNPROVEN</v>
      </c>
      <c r="K22" s="11" t="s">
        <v>568</v>
      </c>
    </row>
    <row r="23" customFormat="false" ht="23.85" hidden="false" customHeight="false" outlineLevel="0" collapsed="false">
      <c r="A23" s="11" t="s">
        <v>652</v>
      </c>
      <c r="B23" s="11" t="s">
        <v>24</v>
      </c>
      <c r="C23" s="11" t="s">
        <v>136</v>
      </c>
      <c r="D23" s="11" t="s">
        <v>653</v>
      </c>
      <c r="E23" s="11" t="s">
        <v>654</v>
      </c>
      <c r="F23" s="11" t="s">
        <v>655</v>
      </c>
      <c r="G23" s="11" t="s">
        <v>656</v>
      </c>
      <c r="H23" s="12" t="n">
        <v>0</v>
      </c>
      <c r="I23" s="12" t="n">
        <f aca="false">COUNTIF($B$5:$B$58,B23)</f>
        <v>3</v>
      </c>
      <c r="J23" s="11" t="str">
        <f aca="false">IF(AND(E23&lt;&gt;"",G23&lt;&gt;"",H23=0,I23=3),"OPEN / UNPROVEN","FAIL")</f>
        <v>OPEN / UNPROVEN</v>
      </c>
      <c r="K23" s="11" t="s">
        <v>568</v>
      </c>
    </row>
    <row r="24" customFormat="false" ht="15" hidden="false" customHeight="false" outlineLevel="0" collapsed="false">
      <c r="A24" s="11" t="s">
        <v>657</v>
      </c>
      <c r="B24" s="11" t="s">
        <v>24</v>
      </c>
      <c r="C24" s="11" t="s">
        <v>136</v>
      </c>
      <c r="D24" s="11" t="s">
        <v>658</v>
      </c>
      <c r="E24" s="11" t="s">
        <v>659</v>
      </c>
      <c r="F24" s="11" t="s">
        <v>660</v>
      </c>
      <c r="G24" s="11" t="s">
        <v>661</v>
      </c>
      <c r="H24" s="12" t="n">
        <v>0</v>
      </c>
      <c r="I24" s="12" t="n">
        <f aca="false">COUNTIF($B$5:$B$58,B24)</f>
        <v>3</v>
      </c>
      <c r="J24" s="11" t="str">
        <f aca="false">IF(AND(E24&lt;&gt;"",G24&lt;&gt;"",H24=0,I24=3),"OPEN / UNPROVEN","FAIL")</f>
        <v>OPEN / UNPROVEN</v>
      </c>
      <c r="K24" s="11" t="s">
        <v>568</v>
      </c>
    </row>
    <row r="25" customFormat="false" ht="15" hidden="false" customHeight="false" outlineLevel="0" collapsed="false">
      <c r="A25" s="11" t="s">
        <v>662</v>
      </c>
      <c r="B25" s="11" t="s">
        <v>24</v>
      </c>
      <c r="C25" s="11" t="s">
        <v>136</v>
      </c>
      <c r="D25" s="11" t="s">
        <v>663</v>
      </c>
      <c r="E25" s="11" t="s">
        <v>664</v>
      </c>
      <c r="F25" s="11" t="s">
        <v>665</v>
      </c>
      <c r="G25" s="11" t="s">
        <v>666</v>
      </c>
      <c r="H25" s="12" t="n">
        <v>0</v>
      </c>
      <c r="I25" s="12" t="n">
        <f aca="false">COUNTIF($B$5:$B$58,B25)</f>
        <v>3</v>
      </c>
      <c r="J25" s="11" t="str">
        <f aca="false">IF(AND(E25&lt;&gt;"",G25&lt;&gt;"",H25=0,I25=3),"OPEN / UNPROVEN","FAIL")</f>
        <v>OPEN / UNPROVEN</v>
      </c>
      <c r="K25" s="11" t="s">
        <v>568</v>
      </c>
    </row>
    <row r="26" customFormat="false" ht="15" hidden="false" customHeight="false" outlineLevel="0" collapsed="false">
      <c r="A26" s="11" t="s">
        <v>667</v>
      </c>
      <c r="B26" s="11" t="s">
        <v>27</v>
      </c>
      <c r="C26" s="11" t="s">
        <v>136</v>
      </c>
      <c r="D26" s="11" t="s">
        <v>668</v>
      </c>
      <c r="E26" s="11" t="s">
        <v>669</v>
      </c>
      <c r="F26" s="11" t="s">
        <v>670</v>
      </c>
      <c r="G26" s="11" t="s">
        <v>671</v>
      </c>
      <c r="H26" s="12" t="n">
        <v>0</v>
      </c>
      <c r="I26" s="12" t="n">
        <f aca="false">COUNTIF($B$5:$B$58,B26)</f>
        <v>3</v>
      </c>
      <c r="J26" s="11" t="str">
        <f aca="false">IF(AND(E26&lt;&gt;"",G26&lt;&gt;"",H26=0,I26=3),"OPEN / UNPROVEN","FAIL")</f>
        <v>OPEN / UNPROVEN</v>
      </c>
      <c r="K26" s="11" t="s">
        <v>568</v>
      </c>
    </row>
    <row r="27" customFormat="false" ht="15" hidden="false" customHeight="false" outlineLevel="0" collapsed="false">
      <c r="A27" s="11" t="s">
        <v>672</v>
      </c>
      <c r="B27" s="11" t="s">
        <v>27</v>
      </c>
      <c r="C27" s="11" t="s">
        <v>136</v>
      </c>
      <c r="D27" s="11" t="s">
        <v>673</v>
      </c>
      <c r="E27" s="11" t="s">
        <v>674</v>
      </c>
      <c r="F27" s="11" t="s">
        <v>675</v>
      </c>
      <c r="G27" s="11" t="s">
        <v>676</v>
      </c>
      <c r="H27" s="12" t="n">
        <v>0</v>
      </c>
      <c r="I27" s="12" t="n">
        <f aca="false">COUNTIF($B$5:$B$58,B27)</f>
        <v>3</v>
      </c>
      <c r="J27" s="11" t="str">
        <f aca="false">IF(AND(E27&lt;&gt;"",G27&lt;&gt;"",H27=0,I27=3),"OPEN / UNPROVEN","FAIL")</f>
        <v>OPEN / UNPROVEN</v>
      </c>
      <c r="K27" s="11" t="s">
        <v>568</v>
      </c>
    </row>
    <row r="28" customFormat="false" ht="15" hidden="false" customHeight="false" outlineLevel="0" collapsed="false">
      <c r="A28" s="11" t="s">
        <v>677</v>
      </c>
      <c r="B28" s="11" t="s">
        <v>27</v>
      </c>
      <c r="C28" s="11" t="s">
        <v>136</v>
      </c>
      <c r="D28" s="11" t="s">
        <v>678</v>
      </c>
      <c r="E28" s="11" t="s">
        <v>679</v>
      </c>
      <c r="F28" s="11" t="s">
        <v>680</v>
      </c>
      <c r="G28" s="11" t="s">
        <v>681</v>
      </c>
      <c r="H28" s="12" t="n">
        <v>0</v>
      </c>
      <c r="I28" s="12" t="n">
        <f aca="false">COUNTIF($B$5:$B$58,B28)</f>
        <v>3</v>
      </c>
      <c r="J28" s="11" t="str">
        <f aca="false">IF(AND(E28&lt;&gt;"",G28&lt;&gt;"",H28=0,I28=3),"OPEN / UNPROVEN","FAIL")</f>
        <v>OPEN / UNPROVEN</v>
      </c>
      <c r="K28" s="11" t="s">
        <v>568</v>
      </c>
    </row>
    <row r="29" customFormat="false" ht="15" hidden="false" customHeight="false" outlineLevel="0" collapsed="false">
      <c r="A29" s="11" t="s">
        <v>682</v>
      </c>
      <c r="B29" s="11" t="s">
        <v>30</v>
      </c>
      <c r="C29" s="11" t="s">
        <v>136</v>
      </c>
      <c r="D29" s="11" t="s">
        <v>683</v>
      </c>
      <c r="E29" s="11" t="s">
        <v>684</v>
      </c>
      <c r="F29" s="11" t="s">
        <v>685</v>
      </c>
      <c r="G29" s="11" t="s">
        <v>686</v>
      </c>
      <c r="H29" s="12" t="n">
        <v>0</v>
      </c>
      <c r="I29" s="12" t="n">
        <f aca="false">COUNTIF($B$5:$B$58,B29)</f>
        <v>3</v>
      </c>
      <c r="J29" s="11" t="str">
        <f aca="false">IF(AND(E29&lt;&gt;"",G29&lt;&gt;"",H29=0,I29=3),"OPEN / UNPROVEN","FAIL")</f>
        <v>OPEN / UNPROVEN</v>
      </c>
      <c r="K29" s="11" t="s">
        <v>568</v>
      </c>
    </row>
    <row r="30" customFormat="false" ht="15" hidden="false" customHeight="false" outlineLevel="0" collapsed="false">
      <c r="A30" s="11" t="s">
        <v>687</v>
      </c>
      <c r="B30" s="11" t="s">
        <v>30</v>
      </c>
      <c r="C30" s="11" t="s">
        <v>136</v>
      </c>
      <c r="D30" s="11" t="s">
        <v>688</v>
      </c>
      <c r="E30" s="11" t="s">
        <v>689</v>
      </c>
      <c r="F30" s="11" t="s">
        <v>690</v>
      </c>
      <c r="G30" s="11" t="s">
        <v>691</v>
      </c>
      <c r="H30" s="12" t="n">
        <v>0</v>
      </c>
      <c r="I30" s="12" t="n">
        <f aca="false">COUNTIF($B$5:$B$58,B30)</f>
        <v>3</v>
      </c>
      <c r="J30" s="11" t="str">
        <f aca="false">IF(AND(E30&lt;&gt;"",G30&lt;&gt;"",H30=0,I30=3),"OPEN / UNPROVEN","FAIL")</f>
        <v>OPEN / UNPROVEN</v>
      </c>
      <c r="K30" s="11" t="s">
        <v>568</v>
      </c>
    </row>
    <row r="31" customFormat="false" ht="15" hidden="false" customHeight="false" outlineLevel="0" collapsed="false">
      <c r="A31" s="11" t="s">
        <v>692</v>
      </c>
      <c r="B31" s="11" t="s">
        <v>30</v>
      </c>
      <c r="C31" s="11" t="s">
        <v>136</v>
      </c>
      <c r="D31" s="11" t="s">
        <v>693</v>
      </c>
      <c r="E31" s="11" t="s">
        <v>694</v>
      </c>
      <c r="F31" s="11" t="s">
        <v>695</v>
      </c>
      <c r="G31" s="11" t="s">
        <v>696</v>
      </c>
      <c r="H31" s="12" t="n">
        <v>0</v>
      </c>
      <c r="I31" s="12" t="n">
        <f aca="false">COUNTIF($B$5:$B$58,B31)</f>
        <v>3</v>
      </c>
      <c r="J31" s="11" t="str">
        <f aca="false">IF(AND(E31&lt;&gt;"",G31&lt;&gt;"",H31=0,I31=3),"OPEN / UNPROVEN","FAIL")</f>
        <v>OPEN / UNPROVEN</v>
      </c>
      <c r="K31" s="11" t="s">
        <v>568</v>
      </c>
    </row>
    <row r="32" customFormat="false" ht="23.85" hidden="false" customHeight="false" outlineLevel="0" collapsed="false">
      <c r="A32" s="11" t="s">
        <v>697</v>
      </c>
      <c r="B32" s="11" t="s">
        <v>32</v>
      </c>
      <c r="C32" s="11" t="s">
        <v>147</v>
      </c>
      <c r="D32" s="11" t="s">
        <v>698</v>
      </c>
      <c r="E32" s="11" t="s">
        <v>699</v>
      </c>
      <c r="F32" s="11" t="s">
        <v>700</v>
      </c>
      <c r="G32" s="11" t="s">
        <v>701</v>
      </c>
      <c r="H32" s="12" t="n">
        <v>0</v>
      </c>
      <c r="I32" s="12" t="n">
        <f aca="false">COUNTIF($B$5:$B$58,B32)</f>
        <v>3</v>
      </c>
      <c r="J32" s="11" t="str">
        <f aca="false">IF(AND(E32&lt;&gt;"",G32&lt;&gt;"",H32=0,I32=3),"OPEN / UNPROVEN","FAIL")</f>
        <v>OPEN / UNPROVEN</v>
      </c>
      <c r="K32" s="11" t="s">
        <v>568</v>
      </c>
    </row>
    <row r="33" customFormat="false" ht="15" hidden="false" customHeight="false" outlineLevel="0" collapsed="false">
      <c r="A33" s="11" t="s">
        <v>702</v>
      </c>
      <c r="B33" s="11" t="s">
        <v>32</v>
      </c>
      <c r="C33" s="11" t="s">
        <v>147</v>
      </c>
      <c r="D33" s="11" t="s">
        <v>703</v>
      </c>
      <c r="E33" s="11" t="s">
        <v>704</v>
      </c>
      <c r="F33" s="11" t="s">
        <v>705</v>
      </c>
      <c r="G33" s="11" t="s">
        <v>706</v>
      </c>
      <c r="H33" s="12" t="n">
        <v>0</v>
      </c>
      <c r="I33" s="12" t="n">
        <f aca="false">COUNTIF($B$5:$B$58,B33)</f>
        <v>3</v>
      </c>
      <c r="J33" s="11" t="str">
        <f aca="false">IF(AND(E33&lt;&gt;"",G33&lt;&gt;"",H33=0,I33=3),"OPEN / UNPROVEN","FAIL")</f>
        <v>OPEN / UNPROVEN</v>
      </c>
      <c r="K33" s="11" t="s">
        <v>568</v>
      </c>
    </row>
    <row r="34" customFormat="false" ht="15" hidden="false" customHeight="false" outlineLevel="0" collapsed="false">
      <c r="A34" s="11" t="s">
        <v>707</v>
      </c>
      <c r="B34" s="11" t="s">
        <v>32</v>
      </c>
      <c r="C34" s="11" t="s">
        <v>147</v>
      </c>
      <c r="D34" s="11" t="s">
        <v>708</v>
      </c>
      <c r="E34" s="11" t="s">
        <v>709</v>
      </c>
      <c r="F34" s="11" t="s">
        <v>710</v>
      </c>
      <c r="G34" s="11" t="s">
        <v>711</v>
      </c>
      <c r="H34" s="12" t="n">
        <v>0</v>
      </c>
      <c r="I34" s="12" t="n">
        <f aca="false">COUNTIF($B$5:$B$58,B34)</f>
        <v>3</v>
      </c>
      <c r="J34" s="11" t="str">
        <f aca="false">IF(AND(E34&lt;&gt;"",G34&lt;&gt;"",H34=0,I34=3),"OPEN / UNPROVEN","FAIL")</f>
        <v>OPEN / UNPROVEN</v>
      </c>
      <c r="K34" s="11" t="s">
        <v>568</v>
      </c>
    </row>
    <row r="35" customFormat="false" ht="15" hidden="false" customHeight="false" outlineLevel="0" collapsed="false">
      <c r="A35" s="11" t="s">
        <v>712</v>
      </c>
      <c r="B35" s="11" t="s">
        <v>34</v>
      </c>
      <c r="C35" s="11" t="s">
        <v>147</v>
      </c>
      <c r="D35" s="11" t="s">
        <v>713</v>
      </c>
      <c r="E35" s="11" t="s">
        <v>714</v>
      </c>
      <c r="F35" s="11" t="s">
        <v>715</v>
      </c>
      <c r="G35" s="11" t="s">
        <v>716</v>
      </c>
      <c r="H35" s="12" t="n">
        <v>0</v>
      </c>
      <c r="I35" s="12" t="n">
        <f aca="false">COUNTIF($B$5:$B$58,B35)</f>
        <v>3</v>
      </c>
      <c r="J35" s="11" t="str">
        <f aca="false">IF(AND(E35&lt;&gt;"",G35&lt;&gt;"",H35=0,I35=3),"OPEN / UNPROVEN","FAIL")</f>
        <v>OPEN / UNPROVEN</v>
      </c>
      <c r="K35" s="11" t="s">
        <v>568</v>
      </c>
    </row>
    <row r="36" customFormat="false" ht="15" hidden="false" customHeight="false" outlineLevel="0" collapsed="false">
      <c r="A36" s="11" t="s">
        <v>717</v>
      </c>
      <c r="B36" s="11" t="s">
        <v>34</v>
      </c>
      <c r="C36" s="11" t="s">
        <v>147</v>
      </c>
      <c r="D36" s="11" t="s">
        <v>718</v>
      </c>
      <c r="E36" s="11" t="s">
        <v>719</v>
      </c>
      <c r="F36" s="11" t="s">
        <v>720</v>
      </c>
      <c r="G36" s="11" t="s">
        <v>721</v>
      </c>
      <c r="H36" s="12" t="n">
        <v>0</v>
      </c>
      <c r="I36" s="12" t="n">
        <f aca="false">COUNTIF($B$5:$B$58,B36)</f>
        <v>3</v>
      </c>
      <c r="J36" s="11" t="str">
        <f aca="false">IF(AND(E36&lt;&gt;"",G36&lt;&gt;"",H36=0,I36=3),"OPEN / UNPROVEN","FAIL")</f>
        <v>OPEN / UNPROVEN</v>
      </c>
      <c r="K36" s="11" t="s">
        <v>568</v>
      </c>
    </row>
    <row r="37" customFormat="false" ht="15" hidden="false" customHeight="false" outlineLevel="0" collapsed="false">
      <c r="A37" s="11" t="s">
        <v>722</v>
      </c>
      <c r="B37" s="11" t="s">
        <v>34</v>
      </c>
      <c r="C37" s="11" t="s">
        <v>147</v>
      </c>
      <c r="D37" s="11" t="s">
        <v>723</v>
      </c>
      <c r="E37" s="11" t="s">
        <v>724</v>
      </c>
      <c r="F37" s="11" t="s">
        <v>725</v>
      </c>
      <c r="G37" s="11" t="s">
        <v>726</v>
      </c>
      <c r="H37" s="12" t="n">
        <v>0</v>
      </c>
      <c r="I37" s="12" t="n">
        <f aca="false">COUNTIF($B$5:$B$58,B37)</f>
        <v>3</v>
      </c>
      <c r="J37" s="11" t="str">
        <f aca="false">IF(AND(E37&lt;&gt;"",G37&lt;&gt;"",H37=0,I37=3),"OPEN / UNPROVEN","FAIL")</f>
        <v>OPEN / UNPROVEN</v>
      </c>
      <c r="K37" s="11" t="s">
        <v>568</v>
      </c>
    </row>
    <row r="38" customFormat="false" ht="23.85" hidden="false" customHeight="false" outlineLevel="0" collapsed="false">
      <c r="A38" s="11" t="s">
        <v>727</v>
      </c>
      <c r="B38" s="11" t="s">
        <v>36</v>
      </c>
      <c r="C38" s="11" t="s">
        <v>147</v>
      </c>
      <c r="D38" s="11" t="s">
        <v>728</v>
      </c>
      <c r="E38" s="11" t="s">
        <v>729</v>
      </c>
      <c r="F38" s="11" t="s">
        <v>730</v>
      </c>
      <c r="G38" s="11" t="s">
        <v>731</v>
      </c>
      <c r="H38" s="12" t="n">
        <v>0</v>
      </c>
      <c r="I38" s="12" t="n">
        <f aca="false">COUNTIF($B$5:$B$58,B38)</f>
        <v>3</v>
      </c>
      <c r="J38" s="11" t="str">
        <f aca="false">IF(AND(E38&lt;&gt;"",G38&lt;&gt;"",H38=0,I38=3),"OPEN / UNPROVEN","FAIL")</f>
        <v>OPEN / UNPROVEN</v>
      </c>
      <c r="K38" s="11" t="s">
        <v>568</v>
      </c>
    </row>
    <row r="39" customFormat="false" ht="15" hidden="false" customHeight="false" outlineLevel="0" collapsed="false">
      <c r="A39" s="11" t="s">
        <v>732</v>
      </c>
      <c r="B39" s="11" t="s">
        <v>36</v>
      </c>
      <c r="C39" s="11" t="s">
        <v>147</v>
      </c>
      <c r="D39" s="11" t="s">
        <v>733</v>
      </c>
      <c r="E39" s="11" t="s">
        <v>734</v>
      </c>
      <c r="F39" s="11" t="s">
        <v>735</v>
      </c>
      <c r="G39" s="11" t="s">
        <v>736</v>
      </c>
      <c r="H39" s="12" t="n">
        <v>0</v>
      </c>
      <c r="I39" s="12" t="n">
        <f aca="false">COUNTIF($B$5:$B$58,B39)</f>
        <v>3</v>
      </c>
      <c r="J39" s="11" t="str">
        <f aca="false">IF(AND(E39&lt;&gt;"",G39&lt;&gt;"",H39=0,I39=3),"OPEN / UNPROVEN","FAIL")</f>
        <v>OPEN / UNPROVEN</v>
      </c>
      <c r="K39" s="11" t="s">
        <v>568</v>
      </c>
    </row>
    <row r="40" customFormat="false" ht="15" hidden="false" customHeight="false" outlineLevel="0" collapsed="false">
      <c r="A40" s="11" t="s">
        <v>737</v>
      </c>
      <c r="B40" s="11" t="s">
        <v>36</v>
      </c>
      <c r="C40" s="11" t="s">
        <v>147</v>
      </c>
      <c r="D40" s="11" t="s">
        <v>738</v>
      </c>
      <c r="E40" s="11" t="s">
        <v>739</v>
      </c>
      <c r="F40" s="11" t="s">
        <v>740</v>
      </c>
      <c r="G40" s="11" t="s">
        <v>741</v>
      </c>
      <c r="H40" s="12" t="n">
        <v>0</v>
      </c>
      <c r="I40" s="12" t="n">
        <f aca="false">COUNTIF($B$5:$B$58,B40)</f>
        <v>3</v>
      </c>
      <c r="J40" s="11" t="str">
        <f aca="false">IF(AND(E40&lt;&gt;"",G40&lt;&gt;"",H40=0,I40=3),"OPEN / UNPROVEN","FAIL")</f>
        <v>OPEN / UNPROVEN</v>
      </c>
      <c r="K40" s="11" t="s">
        <v>568</v>
      </c>
    </row>
    <row r="41" customFormat="false" ht="15" hidden="false" customHeight="false" outlineLevel="0" collapsed="false">
      <c r="A41" s="11" t="s">
        <v>742</v>
      </c>
      <c r="B41" s="11" t="s">
        <v>37</v>
      </c>
      <c r="C41" s="11" t="s">
        <v>160</v>
      </c>
      <c r="D41" s="11" t="s">
        <v>743</v>
      </c>
      <c r="E41" s="11" t="s">
        <v>744</v>
      </c>
      <c r="F41" s="11" t="s">
        <v>745</v>
      </c>
      <c r="G41" s="11" t="s">
        <v>746</v>
      </c>
      <c r="H41" s="12" t="n">
        <v>0</v>
      </c>
      <c r="I41" s="12" t="n">
        <f aca="false">COUNTIF($B$5:$B$58,B41)</f>
        <v>3</v>
      </c>
      <c r="J41" s="11" t="str">
        <f aca="false">IF(AND(E41&lt;&gt;"",G41&lt;&gt;"",H41=0,I41=3),"OPEN / UNPROVEN","FAIL")</f>
        <v>OPEN / UNPROVEN</v>
      </c>
      <c r="K41" s="11" t="s">
        <v>568</v>
      </c>
    </row>
    <row r="42" customFormat="false" ht="15" hidden="false" customHeight="false" outlineLevel="0" collapsed="false">
      <c r="A42" s="11" t="s">
        <v>747</v>
      </c>
      <c r="B42" s="11" t="s">
        <v>37</v>
      </c>
      <c r="C42" s="11" t="s">
        <v>160</v>
      </c>
      <c r="D42" s="11" t="s">
        <v>748</v>
      </c>
      <c r="E42" s="11" t="s">
        <v>749</v>
      </c>
      <c r="F42" s="11" t="s">
        <v>750</v>
      </c>
      <c r="G42" s="11" t="s">
        <v>751</v>
      </c>
      <c r="H42" s="12" t="n">
        <v>0</v>
      </c>
      <c r="I42" s="12" t="n">
        <f aca="false">COUNTIF($B$5:$B$58,B42)</f>
        <v>3</v>
      </c>
      <c r="J42" s="11" t="str">
        <f aca="false">IF(AND(E42&lt;&gt;"",G42&lt;&gt;"",H42=0,I42=3),"OPEN / UNPROVEN","FAIL")</f>
        <v>OPEN / UNPROVEN</v>
      </c>
      <c r="K42" s="11" t="s">
        <v>568</v>
      </c>
    </row>
    <row r="43" customFormat="false" ht="15" hidden="false" customHeight="false" outlineLevel="0" collapsed="false">
      <c r="A43" s="11" t="s">
        <v>752</v>
      </c>
      <c r="B43" s="11" t="s">
        <v>37</v>
      </c>
      <c r="C43" s="11" t="s">
        <v>160</v>
      </c>
      <c r="D43" s="11" t="s">
        <v>753</v>
      </c>
      <c r="E43" s="11" t="s">
        <v>754</v>
      </c>
      <c r="F43" s="11" t="s">
        <v>755</v>
      </c>
      <c r="G43" s="11" t="s">
        <v>756</v>
      </c>
      <c r="H43" s="12" t="n">
        <v>0</v>
      </c>
      <c r="I43" s="12" t="n">
        <f aca="false">COUNTIF($B$5:$B$58,B43)</f>
        <v>3</v>
      </c>
      <c r="J43" s="11" t="str">
        <f aca="false">IF(AND(E43&lt;&gt;"",G43&lt;&gt;"",H43=0,I43=3),"OPEN / UNPROVEN","FAIL")</f>
        <v>OPEN / UNPROVEN</v>
      </c>
      <c r="K43" s="11" t="s">
        <v>568</v>
      </c>
    </row>
    <row r="44" customFormat="false" ht="15" hidden="false" customHeight="false" outlineLevel="0" collapsed="false">
      <c r="A44" s="11" t="s">
        <v>757</v>
      </c>
      <c r="B44" s="11" t="s">
        <v>38</v>
      </c>
      <c r="C44" s="11" t="s">
        <v>160</v>
      </c>
      <c r="D44" s="11" t="s">
        <v>758</v>
      </c>
      <c r="E44" s="11" t="s">
        <v>759</v>
      </c>
      <c r="F44" s="11" t="s">
        <v>760</v>
      </c>
      <c r="G44" s="11" t="s">
        <v>761</v>
      </c>
      <c r="H44" s="12" t="n">
        <v>0</v>
      </c>
      <c r="I44" s="12" t="n">
        <f aca="false">COUNTIF($B$5:$B$58,B44)</f>
        <v>3</v>
      </c>
      <c r="J44" s="11" t="str">
        <f aca="false">IF(AND(E44&lt;&gt;"",G44&lt;&gt;"",H44=0,I44=3),"OPEN / UNPROVEN","FAIL")</f>
        <v>OPEN / UNPROVEN</v>
      </c>
      <c r="K44" s="11" t="s">
        <v>568</v>
      </c>
    </row>
    <row r="45" customFormat="false" ht="15" hidden="false" customHeight="false" outlineLevel="0" collapsed="false">
      <c r="A45" s="11" t="s">
        <v>762</v>
      </c>
      <c r="B45" s="11" t="s">
        <v>38</v>
      </c>
      <c r="C45" s="11" t="s">
        <v>160</v>
      </c>
      <c r="D45" s="11" t="s">
        <v>763</v>
      </c>
      <c r="E45" s="11" t="s">
        <v>764</v>
      </c>
      <c r="F45" s="11" t="s">
        <v>765</v>
      </c>
      <c r="G45" s="11" t="s">
        <v>766</v>
      </c>
      <c r="H45" s="12" t="n">
        <v>0</v>
      </c>
      <c r="I45" s="12" t="n">
        <f aca="false">COUNTIF($B$5:$B$58,B45)</f>
        <v>3</v>
      </c>
      <c r="J45" s="11" t="str">
        <f aca="false">IF(AND(E45&lt;&gt;"",G45&lt;&gt;"",H45=0,I45=3),"OPEN / UNPROVEN","FAIL")</f>
        <v>OPEN / UNPROVEN</v>
      </c>
      <c r="K45" s="11" t="s">
        <v>568</v>
      </c>
    </row>
    <row r="46" customFormat="false" ht="15" hidden="false" customHeight="false" outlineLevel="0" collapsed="false">
      <c r="A46" s="11" t="s">
        <v>767</v>
      </c>
      <c r="B46" s="11" t="s">
        <v>38</v>
      </c>
      <c r="C46" s="11" t="s">
        <v>160</v>
      </c>
      <c r="D46" s="11" t="s">
        <v>768</v>
      </c>
      <c r="E46" s="11" t="s">
        <v>769</v>
      </c>
      <c r="F46" s="11" t="s">
        <v>770</v>
      </c>
      <c r="G46" s="11" t="s">
        <v>771</v>
      </c>
      <c r="H46" s="12" t="n">
        <v>0</v>
      </c>
      <c r="I46" s="12" t="n">
        <f aca="false">COUNTIF($B$5:$B$58,B46)</f>
        <v>3</v>
      </c>
      <c r="J46" s="11" t="str">
        <f aca="false">IF(AND(E46&lt;&gt;"",G46&lt;&gt;"",H46=0,I46=3),"OPEN / UNPROVEN","FAIL")</f>
        <v>OPEN / UNPROVEN</v>
      </c>
      <c r="K46" s="11" t="s">
        <v>568</v>
      </c>
    </row>
    <row r="47" customFormat="false" ht="15" hidden="false" customHeight="false" outlineLevel="0" collapsed="false">
      <c r="A47" s="11" t="s">
        <v>772</v>
      </c>
      <c r="B47" s="11" t="s">
        <v>39</v>
      </c>
      <c r="C47" s="11" t="s">
        <v>160</v>
      </c>
      <c r="D47" s="11" t="s">
        <v>773</v>
      </c>
      <c r="E47" s="11" t="s">
        <v>774</v>
      </c>
      <c r="F47" s="11" t="s">
        <v>775</v>
      </c>
      <c r="G47" s="11" t="s">
        <v>776</v>
      </c>
      <c r="H47" s="12" t="n">
        <v>0</v>
      </c>
      <c r="I47" s="12" t="n">
        <f aca="false">COUNTIF($B$5:$B$58,B47)</f>
        <v>3</v>
      </c>
      <c r="J47" s="11" t="str">
        <f aca="false">IF(AND(E47&lt;&gt;"",G47&lt;&gt;"",H47=0,I47=3),"OPEN / UNPROVEN","FAIL")</f>
        <v>OPEN / UNPROVEN</v>
      </c>
      <c r="K47" s="11" t="s">
        <v>568</v>
      </c>
    </row>
    <row r="48" customFormat="false" ht="15" hidden="false" customHeight="false" outlineLevel="0" collapsed="false">
      <c r="A48" s="11" t="s">
        <v>777</v>
      </c>
      <c r="B48" s="11" t="s">
        <v>39</v>
      </c>
      <c r="C48" s="11" t="s">
        <v>160</v>
      </c>
      <c r="D48" s="11" t="s">
        <v>778</v>
      </c>
      <c r="E48" s="11" t="s">
        <v>779</v>
      </c>
      <c r="F48" s="11" t="s">
        <v>780</v>
      </c>
      <c r="G48" s="11" t="s">
        <v>781</v>
      </c>
      <c r="H48" s="12" t="n">
        <v>0</v>
      </c>
      <c r="I48" s="12" t="n">
        <f aca="false">COUNTIF($B$5:$B$58,B48)</f>
        <v>3</v>
      </c>
      <c r="J48" s="11" t="str">
        <f aca="false">IF(AND(E48&lt;&gt;"",G48&lt;&gt;"",H48=0,I48=3),"OPEN / UNPROVEN","FAIL")</f>
        <v>OPEN / UNPROVEN</v>
      </c>
      <c r="K48" s="11" t="s">
        <v>568</v>
      </c>
    </row>
    <row r="49" customFormat="false" ht="15" hidden="false" customHeight="false" outlineLevel="0" collapsed="false">
      <c r="A49" s="11" t="s">
        <v>782</v>
      </c>
      <c r="B49" s="11" t="s">
        <v>39</v>
      </c>
      <c r="C49" s="11" t="s">
        <v>160</v>
      </c>
      <c r="D49" s="11" t="s">
        <v>783</v>
      </c>
      <c r="E49" s="11" t="s">
        <v>784</v>
      </c>
      <c r="F49" s="11" t="s">
        <v>785</v>
      </c>
      <c r="G49" s="11" t="s">
        <v>786</v>
      </c>
      <c r="H49" s="12" t="n">
        <v>0</v>
      </c>
      <c r="I49" s="12" t="n">
        <f aca="false">COUNTIF($B$5:$B$58,B49)</f>
        <v>3</v>
      </c>
      <c r="J49" s="11" t="str">
        <f aca="false">IF(AND(E49&lt;&gt;"",G49&lt;&gt;"",H49=0,I49=3),"OPEN / UNPROVEN","FAIL")</f>
        <v>OPEN / UNPROVEN</v>
      </c>
      <c r="K49" s="11" t="s">
        <v>568</v>
      </c>
    </row>
    <row r="50" customFormat="false" ht="15" hidden="false" customHeight="false" outlineLevel="0" collapsed="false">
      <c r="A50" s="11" t="s">
        <v>787</v>
      </c>
      <c r="B50" s="11" t="s">
        <v>40</v>
      </c>
      <c r="C50" s="11" t="s">
        <v>171</v>
      </c>
      <c r="D50" s="11" t="s">
        <v>788</v>
      </c>
      <c r="E50" s="11" t="s">
        <v>789</v>
      </c>
      <c r="F50" s="11" t="s">
        <v>790</v>
      </c>
      <c r="G50" s="11" t="s">
        <v>791</v>
      </c>
      <c r="H50" s="12" t="n">
        <v>0</v>
      </c>
      <c r="I50" s="12" t="n">
        <f aca="false">COUNTIF($B$5:$B$58,B50)</f>
        <v>3</v>
      </c>
      <c r="J50" s="11" t="str">
        <f aca="false">IF(AND(E50&lt;&gt;"",G50&lt;&gt;"",H50=0,I50=3),"OPEN / UNPROVEN","FAIL")</f>
        <v>OPEN / UNPROVEN</v>
      </c>
      <c r="K50" s="11" t="s">
        <v>568</v>
      </c>
    </row>
    <row r="51" customFormat="false" ht="15" hidden="false" customHeight="false" outlineLevel="0" collapsed="false">
      <c r="A51" s="11" t="s">
        <v>792</v>
      </c>
      <c r="B51" s="11" t="s">
        <v>40</v>
      </c>
      <c r="C51" s="11" t="s">
        <v>171</v>
      </c>
      <c r="D51" s="11" t="s">
        <v>793</v>
      </c>
      <c r="E51" s="11" t="s">
        <v>794</v>
      </c>
      <c r="F51" s="11" t="s">
        <v>795</v>
      </c>
      <c r="G51" s="11" t="s">
        <v>796</v>
      </c>
      <c r="H51" s="12" t="n">
        <v>0</v>
      </c>
      <c r="I51" s="12" t="n">
        <f aca="false">COUNTIF($B$5:$B$58,B51)</f>
        <v>3</v>
      </c>
      <c r="J51" s="11" t="str">
        <f aca="false">IF(AND(E51&lt;&gt;"",G51&lt;&gt;"",H51=0,I51=3),"OPEN / UNPROVEN","FAIL")</f>
        <v>OPEN / UNPROVEN</v>
      </c>
      <c r="K51" s="11" t="s">
        <v>568</v>
      </c>
    </row>
    <row r="52" customFormat="false" ht="15" hidden="false" customHeight="false" outlineLevel="0" collapsed="false">
      <c r="A52" s="11" t="s">
        <v>797</v>
      </c>
      <c r="B52" s="11" t="s">
        <v>40</v>
      </c>
      <c r="C52" s="11" t="s">
        <v>171</v>
      </c>
      <c r="D52" s="11" t="s">
        <v>798</v>
      </c>
      <c r="E52" s="11" t="s">
        <v>799</v>
      </c>
      <c r="F52" s="11" t="s">
        <v>800</v>
      </c>
      <c r="G52" s="11" t="s">
        <v>801</v>
      </c>
      <c r="H52" s="12" t="n">
        <v>0</v>
      </c>
      <c r="I52" s="12" t="n">
        <f aca="false">COUNTIF($B$5:$B$58,B52)</f>
        <v>3</v>
      </c>
      <c r="J52" s="11" t="str">
        <f aca="false">IF(AND(E52&lt;&gt;"",G52&lt;&gt;"",H52=0,I52=3),"OPEN / UNPROVEN","FAIL")</f>
        <v>OPEN / UNPROVEN</v>
      </c>
      <c r="K52" s="11" t="s">
        <v>568</v>
      </c>
    </row>
    <row r="53" customFormat="false" ht="15" hidden="false" customHeight="false" outlineLevel="0" collapsed="false">
      <c r="A53" s="11" t="s">
        <v>802</v>
      </c>
      <c r="B53" s="11" t="s">
        <v>41</v>
      </c>
      <c r="C53" s="11" t="s">
        <v>171</v>
      </c>
      <c r="D53" s="11" t="s">
        <v>803</v>
      </c>
      <c r="E53" s="11" t="s">
        <v>804</v>
      </c>
      <c r="F53" s="11" t="s">
        <v>805</v>
      </c>
      <c r="G53" s="11" t="s">
        <v>806</v>
      </c>
      <c r="H53" s="12" t="n">
        <v>0</v>
      </c>
      <c r="I53" s="12" t="n">
        <f aca="false">COUNTIF($B$5:$B$58,B53)</f>
        <v>3</v>
      </c>
      <c r="J53" s="11" t="str">
        <f aca="false">IF(AND(E53&lt;&gt;"",G53&lt;&gt;"",H53=0,I53=3),"OPEN / UNPROVEN","FAIL")</f>
        <v>OPEN / UNPROVEN</v>
      </c>
      <c r="K53" s="11" t="s">
        <v>568</v>
      </c>
    </row>
    <row r="54" customFormat="false" ht="15" hidden="false" customHeight="false" outlineLevel="0" collapsed="false">
      <c r="A54" s="11" t="s">
        <v>807</v>
      </c>
      <c r="B54" s="11" t="s">
        <v>41</v>
      </c>
      <c r="C54" s="11" t="s">
        <v>171</v>
      </c>
      <c r="D54" s="11" t="s">
        <v>808</v>
      </c>
      <c r="E54" s="11" t="s">
        <v>809</v>
      </c>
      <c r="F54" s="11" t="s">
        <v>810</v>
      </c>
      <c r="G54" s="11" t="s">
        <v>811</v>
      </c>
      <c r="H54" s="12" t="n">
        <v>0</v>
      </c>
      <c r="I54" s="12" t="n">
        <f aca="false">COUNTIF($B$5:$B$58,B54)</f>
        <v>3</v>
      </c>
      <c r="J54" s="11" t="str">
        <f aca="false">IF(AND(E54&lt;&gt;"",G54&lt;&gt;"",H54=0,I54=3),"OPEN / UNPROVEN","FAIL")</f>
        <v>OPEN / UNPROVEN</v>
      </c>
      <c r="K54" s="11" t="s">
        <v>568</v>
      </c>
    </row>
    <row r="55" customFormat="false" ht="15" hidden="false" customHeight="false" outlineLevel="0" collapsed="false">
      <c r="A55" s="11" t="s">
        <v>812</v>
      </c>
      <c r="B55" s="11" t="s">
        <v>41</v>
      </c>
      <c r="C55" s="11" t="s">
        <v>171</v>
      </c>
      <c r="D55" s="11" t="s">
        <v>813</v>
      </c>
      <c r="E55" s="11" t="s">
        <v>814</v>
      </c>
      <c r="F55" s="11" t="s">
        <v>815</v>
      </c>
      <c r="G55" s="11" t="s">
        <v>816</v>
      </c>
      <c r="H55" s="12" t="n">
        <v>0</v>
      </c>
      <c r="I55" s="12" t="n">
        <f aca="false">COUNTIF($B$5:$B$58,B55)</f>
        <v>3</v>
      </c>
      <c r="J55" s="11" t="str">
        <f aca="false">IF(AND(E55&lt;&gt;"",G55&lt;&gt;"",H55=0,I55=3),"OPEN / UNPROVEN","FAIL")</f>
        <v>OPEN / UNPROVEN</v>
      </c>
      <c r="K55" s="11" t="s">
        <v>568</v>
      </c>
    </row>
    <row r="56" customFormat="false" ht="15" hidden="false" customHeight="false" outlineLevel="0" collapsed="false">
      <c r="A56" s="11" t="s">
        <v>817</v>
      </c>
      <c r="B56" s="11" t="s">
        <v>42</v>
      </c>
      <c r="C56" s="11" t="s">
        <v>171</v>
      </c>
      <c r="D56" s="11" t="s">
        <v>818</v>
      </c>
      <c r="E56" s="11" t="s">
        <v>819</v>
      </c>
      <c r="F56" s="11" t="s">
        <v>820</v>
      </c>
      <c r="G56" s="11" t="s">
        <v>821</v>
      </c>
      <c r="H56" s="12" t="n">
        <v>0</v>
      </c>
      <c r="I56" s="12" t="n">
        <f aca="false">COUNTIF($B$5:$B$58,B56)</f>
        <v>3</v>
      </c>
      <c r="J56" s="11" t="str">
        <f aca="false">IF(AND(E56&lt;&gt;"",G56&lt;&gt;"",H56=0,I56=3),"OPEN / UNPROVEN","FAIL")</f>
        <v>OPEN / UNPROVEN</v>
      </c>
      <c r="K56" s="11" t="s">
        <v>568</v>
      </c>
    </row>
    <row r="57" customFormat="false" ht="23.85" hidden="false" customHeight="false" outlineLevel="0" collapsed="false">
      <c r="A57" s="11" t="s">
        <v>822</v>
      </c>
      <c r="B57" s="11" t="s">
        <v>42</v>
      </c>
      <c r="C57" s="11" t="s">
        <v>171</v>
      </c>
      <c r="D57" s="11" t="s">
        <v>823</v>
      </c>
      <c r="E57" s="11" t="s">
        <v>824</v>
      </c>
      <c r="F57" s="11" t="s">
        <v>825</v>
      </c>
      <c r="G57" s="11" t="s">
        <v>826</v>
      </c>
      <c r="H57" s="12" t="n">
        <v>0</v>
      </c>
      <c r="I57" s="12" t="n">
        <f aca="false">COUNTIF($B$5:$B$58,B57)</f>
        <v>3</v>
      </c>
      <c r="J57" s="11" t="str">
        <f aca="false">IF(AND(E57&lt;&gt;"",G57&lt;&gt;"",H57=0,I57=3),"OPEN / UNPROVEN","FAIL")</f>
        <v>OPEN / UNPROVEN</v>
      </c>
      <c r="K57" s="11" t="s">
        <v>568</v>
      </c>
    </row>
    <row r="58" customFormat="false" ht="15" hidden="false" customHeight="false" outlineLevel="0" collapsed="false">
      <c r="A58" s="13" t="s">
        <v>827</v>
      </c>
      <c r="B58" s="13" t="s">
        <v>42</v>
      </c>
      <c r="C58" s="13" t="s">
        <v>171</v>
      </c>
      <c r="D58" s="13" t="s">
        <v>828</v>
      </c>
      <c r="E58" s="13" t="s">
        <v>829</v>
      </c>
      <c r="F58" s="13" t="s">
        <v>830</v>
      </c>
      <c r="G58" s="13" t="s">
        <v>831</v>
      </c>
      <c r="H58" s="20" t="n">
        <v>0</v>
      </c>
      <c r="I58" s="20" t="n">
        <f aca="false">COUNTIF($B$5:$B$58,B58)</f>
        <v>3</v>
      </c>
      <c r="J58" s="13" t="str">
        <f aca="false">IF(AND(E58&lt;&gt;"",G58&lt;&gt;"",H58=0,I58=3),"OPEN / UNPROVEN","FAIL")</f>
        <v>OPEN / UNPROVEN</v>
      </c>
      <c r="K58" s="13" t="s">
        <v>568</v>
      </c>
    </row>
  </sheetData>
  <mergeCells count="1">
    <mergeCell ref="A2:K2"/>
  </mergeCells>
  <conditionalFormatting sqref="J5:J58">
    <cfRule type="containsText" priority="2" operator="containsText" aboveAverage="0" equalAverage="0" bottom="0" percent="0" rank="0" text="FAIL" dxfId="4">
      <formula>NOT(ISERROR(SEARCH("FAIL",J5)))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6" min="6" style="0" width="25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10" min="9" style="0" width="16"/>
  </cols>
  <sheetData>
    <row r="2" customFormat="false" ht="18.55" hidden="false" customHeight="false" outlineLevel="0" collapsed="false">
      <c r="A2" s="1" t="s">
        <v>832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3" t="s">
        <v>833</v>
      </c>
      <c r="B4" s="4" t="s">
        <v>76</v>
      </c>
      <c r="C4" s="4" t="s">
        <v>834</v>
      </c>
      <c r="D4" s="4" t="s">
        <v>835</v>
      </c>
      <c r="E4" s="4" t="s">
        <v>64</v>
      </c>
      <c r="F4" s="4" t="s">
        <v>836</v>
      </c>
      <c r="G4" s="4" t="s">
        <v>837</v>
      </c>
      <c r="H4" s="4" t="s">
        <v>838</v>
      </c>
      <c r="I4" s="4" t="s">
        <v>839</v>
      </c>
      <c r="J4" s="5" t="s">
        <v>3</v>
      </c>
    </row>
    <row r="5" customFormat="false" ht="15" hidden="false" customHeight="false" outlineLevel="0" collapsed="false">
      <c r="A5" s="7" t="s">
        <v>840</v>
      </c>
      <c r="B5" s="7" t="s">
        <v>107</v>
      </c>
      <c r="C5" s="7" t="s">
        <v>841</v>
      </c>
      <c r="D5" s="24" t="n">
        <v>0.50047461808185</v>
      </c>
      <c r="E5" s="21" t="n">
        <f aca="false">Controls!$B$13</f>
        <v>0.15</v>
      </c>
      <c r="F5" s="24" t="n">
        <f aca="false">D5*E5</f>
        <v>0.0750711927122775</v>
      </c>
      <c r="G5" s="24" t="n">
        <f aca="false">Controls!$B$17</f>
        <v>0</v>
      </c>
      <c r="H5" s="24" t="n">
        <v>0</v>
      </c>
      <c r="I5" s="24" t="n">
        <v>0</v>
      </c>
      <c r="J5" s="7" t="str">
        <f aca="false">IF(OR(G5&gt;0,H5&gt;0,I5&gt;0),"INVALID","HELD")</f>
        <v>HELD</v>
      </c>
    </row>
    <row r="6" customFormat="false" ht="15" hidden="false" customHeight="false" outlineLevel="0" collapsed="false">
      <c r="A6" s="11" t="s">
        <v>842</v>
      </c>
      <c r="B6" s="11" t="s">
        <v>123</v>
      </c>
      <c r="C6" s="11" t="s">
        <v>843</v>
      </c>
      <c r="D6" s="25" t="n">
        <v>0.51649348177396</v>
      </c>
      <c r="E6" s="22" t="n">
        <f aca="false">Controls!$B$13</f>
        <v>0.15</v>
      </c>
      <c r="F6" s="25" t="n">
        <f aca="false">D6*E6</f>
        <v>0.077474022266094</v>
      </c>
      <c r="G6" s="25" t="n">
        <f aca="false">Controls!$B$17</f>
        <v>0</v>
      </c>
      <c r="H6" s="25" t="n">
        <v>0</v>
      </c>
      <c r="I6" s="25" t="n">
        <v>0</v>
      </c>
      <c r="J6" s="11" t="str">
        <f aca="false">IF(OR(G6&gt;0,H6&gt;0,I6&gt;0),"INVALID","HELD")</f>
        <v>HELD</v>
      </c>
    </row>
    <row r="7" customFormat="false" ht="15" hidden="false" customHeight="false" outlineLevel="0" collapsed="false">
      <c r="A7" s="11" t="s">
        <v>844</v>
      </c>
      <c r="B7" s="11" t="s">
        <v>136</v>
      </c>
      <c r="C7" s="11" t="s">
        <v>845</v>
      </c>
      <c r="D7" s="25" t="n">
        <v>0.307221654067133</v>
      </c>
      <c r="E7" s="22" t="n">
        <f aca="false">Controls!$B$13</f>
        <v>0.15</v>
      </c>
      <c r="F7" s="25" t="n">
        <f aca="false">D7*E7</f>
        <v>0.0460832481100699</v>
      </c>
      <c r="G7" s="25" t="n">
        <f aca="false">Controls!$B$17</f>
        <v>0</v>
      </c>
      <c r="H7" s="25" t="n">
        <v>0</v>
      </c>
      <c r="I7" s="25" t="n">
        <v>0</v>
      </c>
      <c r="J7" s="11" t="str">
        <f aca="false">IF(OR(G7&gt;0,H7&gt;0,I7&gt;0),"INVALID","HELD")</f>
        <v>HELD</v>
      </c>
    </row>
    <row r="8" customFormat="false" ht="15" hidden="false" customHeight="false" outlineLevel="0" collapsed="false">
      <c r="A8" s="11" t="s">
        <v>846</v>
      </c>
      <c r="B8" s="11" t="s">
        <v>147</v>
      </c>
      <c r="C8" s="11" t="s">
        <v>847</v>
      </c>
      <c r="D8" s="25" t="n">
        <v>0.899412819320565</v>
      </c>
      <c r="E8" s="22" t="n">
        <f aca="false">Controls!$B$13</f>
        <v>0.15</v>
      </c>
      <c r="F8" s="25" t="n">
        <f aca="false">D8*E8</f>
        <v>0.134911922898085</v>
      </c>
      <c r="G8" s="25" t="n">
        <f aca="false">Controls!$B$17</f>
        <v>0</v>
      </c>
      <c r="H8" s="25" t="n">
        <v>0</v>
      </c>
      <c r="I8" s="25" t="n">
        <v>0</v>
      </c>
      <c r="J8" s="11" t="str">
        <f aca="false">IF(OR(G8&gt;0,H8&gt;0,I8&gt;0),"INVALID","HELD")</f>
        <v>HELD</v>
      </c>
    </row>
    <row r="9" customFormat="false" ht="15" hidden="false" customHeight="false" outlineLevel="0" collapsed="false">
      <c r="A9" s="11" t="s">
        <v>848</v>
      </c>
      <c r="B9" s="11" t="s">
        <v>160</v>
      </c>
      <c r="C9" s="11" t="s">
        <v>849</v>
      </c>
      <c r="D9" s="25" t="n">
        <v>0.860712452941095</v>
      </c>
      <c r="E9" s="22" t="n">
        <f aca="false">Controls!$B$13</f>
        <v>0.15</v>
      </c>
      <c r="F9" s="25" t="n">
        <f aca="false">D9*E9</f>
        <v>0.129106867941164</v>
      </c>
      <c r="G9" s="25" t="n">
        <f aca="false">Controls!$B$17</f>
        <v>0</v>
      </c>
      <c r="H9" s="25" t="n">
        <v>0</v>
      </c>
      <c r="I9" s="25" t="n">
        <v>0</v>
      </c>
      <c r="J9" s="11" t="str">
        <f aca="false">IF(OR(G9&gt;0,H9&gt;0,I9&gt;0),"INVALID","HELD")</f>
        <v>HELD</v>
      </c>
    </row>
    <row r="10" customFormat="false" ht="15" hidden="false" customHeight="false" outlineLevel="0" collapsed="false">
      <c r="A10" s="11" t="s">
        <v>850</v>
      </c>
      <c r="B10" s="11" t="s">
        <v>171</v>
      </c>
      <c r="C10" s="11" t="s">
        <v>851</v>
      </c>
      <c r="D10" s="25" t="n">
        <v>0.502597793135963</v>
      </c>
      <c r="E10" s="22" t="n">
        <f aca="false">Controls!$B$13</f>
        <v>0.15</v>
      </c>
      <c r="F10" s="25" t="n">
        <f aca="false">D10*E10</f>
        <v>0.0753896689703944</v>
      </c>
      <c r="G10" s="25" t="n">
        <f aca="false">Controls!$B$17</f>
        <v>0</v>
      </c>
      <c r="H10" s="25" t="n">
        <v>0</v>
      </c>
      <c r="I10" s="25" t="n">
        <v>0</v>
      </c>
      <c r="J10" s="11" t="str">
        <f aca="false">IF(OR(G10&gt;0,H10&gt;0,I10&gt;0),"INVALID","HELD")</f>
        <v>HELD</v>
      </c>
    </row>
    <row r="11" customFormat="false" ht="15" hidden="false" customHeight="false" outlineLevel="0" collapsed="false">
      <c r="A11" s="26" t="s">
        <v>852</v>
      </c>
      <c r="B11" s="26" t="s">
        <v>853</v>
      </c>
      <c r="C11" s="26" t="s">
        <v>854</v>
      </c>
      <c r="D11" s="27" t="n">
        <f aca="false">SUM(D5:D10)</f>
        <v>3.58691281932057</v>
      </c>
      <c r="E11" s="26"/>
      <c r="F11" s="28" t="n">
        <f aca="false">SUM(F5:F10)</f>
        <v>0.538036922898085</v>
      </c>
      <c r="G11" s="28" t="n">
        <f aca="false">SUM(G5:G10)</f>
        <v>0</v>
      </c>
      <c r="H11" s="28" t="n">
        <f aca="false">SUM(H5:H10)</f>
        <v>0</v>
      </c>
      <c r="I11" s="28" t="n">
        <f aca="false">SUM(I5:I10)</f>
        <v>0</v>
      </c>
      <c r="J11" s="26" t="str">
        <f aca="false">IF(COUNTIF(J5:J10,"INVALID")&gt;0,"INVALID","HELD")</f>
        <v>HELD</v>
      </c>
    </row>
  </sheetData>
  <mergeCells count="1"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48"/>
    <col collapsed="false" customWidth="true" hidden="false" outlineLevel="0" max="5" min="4" style="0" width="14"/>
  </cols>
  <sheetData>
    <row r="2" customFormat="false" ht="18.55" hidden="false" customHeight="false" outlineLevel="0" collapsed="false">
      <c r="A2" s="1" t="s">
        <v>855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856</v>
      </c>
      <c r="B4" s="4" t="s">
        <v>857</v>
      </c>
      <c r="C4" s="4" t="s">
        <v>858</v>
      </c>
      <c r="D4" s="4" t="s">
        <v>859</v>
      </c>
      <c r="E4" s="5" t="s">
        <v>860</v>
      </c>
    </row>
    <row r="5" customFormat="false" ht="15" hidden="false" customHeight="false" outlineLevel="0" collapsed="false">
      <c r="A5" s="7" t="s">
        <v>861</v>
      </c>
      <c r="B5" s="7" t="s">
        <v>862</v>
      </c>
      <c r="C5" s="7" t="s">
        <v>863</v>
      </c>
      <c r="D5" s="8" t="n">
        <v>1</v>
      </c>
      <c r="E5" s="8" t="n">
        <v>1</v>
      </c>
    </row>
    <row r="6" customFormat="false" ht="15" hidden="false" customHeight="false" outlineLevel="0" collapsed="false">
      <c r="A6" s="11" t="s">
        <v>864</v>
      </c>
      <c r="B6" s="11" t="s">
        <v>865</v>
      </c>
      <c r="C6" s="11" t="s">
        <v>863</v>
      </c>
      <c r="D6" s="12" t="n">
        <v>1</v>
      </c>
      <c r="E6" s="12" t="n">
        <v>1</v>
      </c>
    </row>
    <row r="7" customFormat="false" ht="15" hidden="false" customHeight="false" outlineLevel="0" collapsed="false">
      <c r="A7" s="11" t="s">
        <v>866</v>
      </c>
      <c r="B7" s="11" t="s">
        <v>867</v>
      </c>
      <c r="C7" s="11" t="s">
        <v>868</v>
      </c>
      <c r="D7" s="12" t="n">
        <v>1</v>
      </c>
      <c r="E7" s="12" t="n">
        <v>1</v>
      </c>
    </row>
    <row r="8" customFormat="false" ht="15" hidden="false" customHeight="false" outlineLevel="0" collapsed="false">
      <c r="A8" s="11" t="s">
        <v>869</v>
      </c>
      <c r="B8" s="11" t="s">
        <v>870</v>
      </c>
      <c r="C8" s="11" t="s">
        <v>871</v>
      </c>
      <c r="D8" s="12" t="n">
        <v>1</v>
      </c>
      <c r="E8" s="12" t="n">
        <v>1</v>
      </c>
    </row>
    <row r="9" customFormat="false" ht="15" hidden="false" customHeight="false" outlineLevel="0" collapsed="false">
      <c r="A9" s="11" t="s">
        <v>872</v>
      </c>
      <c r="B9" s="11" t="s">
        <v>873</v>
      </c>
      <c r="C9" s="11" t="s">
        <v>874</v>
      </c>
      <c r="D9" s="12" t="n">
        <v>1</v>
      </c>
      <c r="E9" s="12" t="n">
        <v>1</v>
      </c>
    </row>
    <row r="10" customFormat="false" ht="15" hidden="false" customHeight="false" outlineLevel="0" collapsed="false">
      <c r="A10" s="11" t="s">
        <v>875</v>
      </c>
      <c r="B10" s="11" t="s">
        <v>876</v>
      </c>
      <c r="C10" s="11" t="s">
        <v>877</v>
      </c>
      <c r="D10" s="12" t="n">
        <v>1</v>
      </c>
      <c r="E10" s="12" t="n">
        <v>1</v>
      </c>
    </row>
    <row r="11" customFormat="false" ht="15" hidden="false" customHeight="false" outlineLevel="0" collapsed="false">
      <c r="A11" s="11" t="s">
        <v>878</v>
      </c>
      <c r="B11" s="11" t="s">
        <v>879</v>
      </c>
      <c r="C11" s="11" t="s">
        <v>880</v>
      </c>
      <c r="D11" s="12" t="n">
        <v>1</v>
      </c>
      <c r="E11" s="12" t="n">
        <v>1</v>
      </c>
    </row>
    <row r="12" customFormat="false" ht="15" hidden="false" customHeight="false" outlineLevel="0" collapsed="false">
      <c r="A12" s="11" t="s">
        <v>881</v>
      </c>
      <c r="B12" s="11" t="s">
        <v>882</v>
      </c>
      <c r="C12" s="11" t="s">
        <v>883</v>
      </c>
      <c r="D12" s="12" t="n">
        <v>1</v>
      </c>
      <c r="E12" s="12" t="n">
        <v>1</v>
      </c>
    </row>
    <row r="13" customFormat="false" ht="15" hidden="false" customHeight="false" outlineLevel="0" collapsed="false">
      <c r="A13" s="11" t="s">
        <v>884</v>
      </c>
      <c r="B13" s="11" t="s">
        <v>885</v>
      </c>
      <c r="C13" s="11" t="s">
        <v>886</v>
      </c>
      <c r="D13" s="12" t="n">
        <v>1</v>
      </c>
      <c r="E13" s="12" t="n">
        <v>1</v>
      </c>
    </row>
    <row r="14" customFormat="false" ht="15" hidden="false" customHeight="false" outlineLevel="0" collapsed="false">
      <c r="A14" s="11" t="s">
        <v>887</v>
      </c>
      <c r="B14" s="11" t="s">
        <v>888</v>
      </c>
      <c r="C14" s="11" t="s">
        <v>889</v>
      </c>
      <c r="D14" s="12" t="n">
        <v>1</v>
      </c>
      <c r="E14" s="12" t="n">
        <v>1</v>
      </c>
    </row>
    <row r="15" customFormat="false" ht="15" hidden="false" customHeight="false" outlineLevel="0" collapsed="false">
      <c r="A15" s="11" t="s">
        <v>890</v>
      </c>
      <c r="B15" s="11" t="s">
        <v>891</v>
      </c>
      <c r="C15" s="11" t="s">
        <v>892</v>
      </c>
      <c r="D15" s="12" t="n">
        <v>1</v>
      </c>
      <c r="E15" s="12" t="n">
        <v>1</v>
      </c>
    </row>
    <row r="16" customFormat="false" ht="15" hidden="false" customHeight="false" outlineLevel="0" collapsed="false">
      <c r="A16" s="11" t="s">
        <v>893</v>
      </c>
      <c r="B16" s="11" t="s">
        <v>894</v>
      </c>
      <c r="C16" s="11" t="s">
        <v>895</v>
      </c>
      <c r="D16" s="12" t="n">
        <v>1</v>
      </c>
      <c r="E16" s="12" t="n">
        <v>1</v>
      </c>
    </row>
    <row r="17" customFormat="false" ht="15" hidden="false" customHeight="false" outlineLevel="0" collapsed="false">
      <c r="A17" s="11" t="s">
        <v>896</v>
      </c>
      <c r="B17" s="11" t="s">
        <v>897</v>
      </c>
      <c r="C17" s="11" t="s">
        <v>898</v>
      </c>
      <c r="D17" s="12" t="n">
        <v>1</v>
      </c>
      <c r="E17" s="12" t="n">
        <v>1</v>
      </c>
    </row>
    <row r="18" customFormat="false" ht="15" hidden="false" customHeight="false" outlineLevel="0" collapsed="false">
      <c r="A18" s="13" t="s">
        <v>899</v>
      </c>
      <c r="B18" s="13" t="s">
        <v>900</v>
      </c>
      <c r="C18" s="13" t="s">
        <v>901</v>
      </c>
      <c r="D18" s="20" t="n">
        <v>1</v>
      </c>
      <c r="E18" s="20" t="n">
        <v>1</v>
      </c>
    </row>
  </sheetData>
  <mergeCells count="1"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14"/>
  </cols>
  <sheetData>
    <row r="2" customFormat="false" ht="18.55" hidden="false" customHeight="false" outlineLevel="0" collapsed="false">
      <c r="A2" s="1" t="s">
        <v>902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903</v>
      </c>
      <c r="B4" s="4" t="s">
        <v>904</v>
      </c>
      <c r="C4" s="4" t="s">
        <v>905</v>
      </c>
      <c r="D4" s="4" t="s">
        <v>906</v>
      </c>
      <c r="E4" s="5" t="s">
        <v>907</v>
      </c>
    </row>
    <row r="5" customFormat="false" ht="15" hidden="false" customHeight="false" outlineLevel="0" collapsed="false">
      <c r="A5" s="7" t="s">
        <v>908</v>
      </c>
      <c r="B5" s="7" t="s">
        <v>909</v>
      </c>
      <c r="C5" s="8" t="n">
        <f aca="false">COUNTA('Coordinate Frames'!A5:A10)</f>
        <v>6</v>
      </c>
      <c r="D5" s="8" t="n">
        <v>6</v>
      </c>
      <c r="E5" s="7" t="str">
        <f aca="false">IF(ABS(C5-D5)&lt;0.0000001,"PASS","FAIL")</f>
        <v>PASS</v>
      </c>
    </row>
    <row r="6" customFormat="false" ht="15" hidden="false" customHeight="false" outlineLevel="0" collapsed="false">
      <c r="A6" s="11" t="s">
        <v>910</v>
      </c>
      <c r="B6" s="11" t="s">
        <v>911</v>
      </c>
      <c r="C6" s="12" t="n">
        <f aca="false">COUNTIF('Coordinate Frames'!I5:I10,"PASS")</f>
        <v>6</v>
      </c>
      <c r="D6" s="12" t="n">
        <v>6</v>
      </c>
      <c r="E6" s="11" t="str">
        <f aca="false">IF(ABS(C6-D6)&lt;0.0000001,"PASS","FAIL")</f>
        <v>PASS</v>
      </c>
    </row>
    <row r="7" customFormat="false" ht="15" hidden="false" customHeight="false" outlineLevel="0" collapsed="false">
      <c r="A7" s="11" t="s">
        <v>912</v>
      </c>
      <c r="B7" s="11" t="s">
        <v>913</v>
      </c>
      <c r="C7" s="12" t="n">
        <f aca="false">COUNTA('Envelope Register'!A5:A22)</f>
        <v>18</v>
      </c>
      <c r="D7" s="12" t="n">
        <v>18</v>
      </c>
      <c r="E7" s="11" t="str">
        <f aca="false">IF(ABS(C7-D7)&lt;0.0000001,"PASS","FAIL")</f>
        <v>PASS</v>
      </c>
    </row>
    <row r="8" customFormat="false" ht="15" hidden="false" customHeight="false" outlineLevel="0" collapsed="false">
      <c r="A8" s="11" t="s">
        <v>914</v>
      </c>
      <c r="B8" s="11" t="s">
        <v>915</v>
      </c>
      <c r="C8" s="12" t="n">
        <f aca="false">COUNTIF('Envelope Register'!AF5:AF22,1)</f>
        <v>18</v>
      </c>
      <c r="D8" s="12" t="n">
        <v>18</v>
      </c>
      <c r="E8" s="11" t="str">
        <f aca="false">IF(ABS(C8-D8)&lt;0.0000001,"PASS","FAIL")</f>
        <v>PASS</v>
      </c>
    </row>
    <row r="9" customFormat="false" ht="15" hidden="false" customHeight="false" outlineLevel="0" collapsed="false">
      <c r="A9" s="11" t="s">
        <v>916</v>
      </c>
      <c r="B9" s="11" t="s">
        <v>917</v>
      </c>
      <c r="C9" s="12" t="n">
        <f aca="false">COUNTIF('Envelope Register'!AC5:AC22,1)</f>
        <v>18</v>
      </c>
      <c r="D9" s="12" t="n">
        <v>18</v>
      </c>
      <c r="E9" s="11" t="str">
        <f aca="false">IF(ABS(C9-D9)&lt;0.0000001,"PASS","FAIL")</f>
        <v>PASS</v>
      </c>
    </row>
    <row r="10" customFormat="false" ht="15" hidden="false" customHeight="false" outlineLevel="0" collapsed="false">
      <c r="A10" s="11" t="s">
        <v>918</v>
      </c>
      <c r="B10" s="11" t="s">
        <v>919</v>
      </c>
      <c r="C10" s="12" t="n">
        <f aca="false">COUNTIF('Envelope Register'!AD5:AD22,"PASS")</f>
        <v>18</v>
      </c>
      <c r="D10" s="12" t="n">
        <v>18</v>
      </c>
      <c r="E10" s="11" t="str">
        <f aca="false">IF(ABS(C10-D10)&lt;0.0000001,"PASS","FAIL")</f>
        <v>PASS</v>
      </c>
    </row>
    <row r="11" customFormat="false" ht="15" hidden="false" customHeight="false" outlineLevel="0" collapsed="false">
      <c r="A11" s="11" t="s">
        <v>920</v>
      </c>
      <c r="B11" s="11" t="s">
        <v>921</v>
      </c>
      <c r="C11" s="12" t="n">
        <f aca="false">COUNTIF('Envelope Register'!AE5:AE22,"DIMENSIONED / UNSELECTED")</f>
        <v>18</v>
      </c>
      <c r="D11" s="12" t="n">
        <v>18</v>
      </c>
      <c r="E11" s="11" t="str">
        <f aca="false">IF(ABS(C11-D11)&lt;0.0000001,"PASS","FAIL")</f>
        <v>PASS</v>
      </c>
    </row>
    <row r="12" customFormat="false" ht="15" hidden="false" customHeight="false" outlineLevel="0" collapsed="false">
      <c r="A12" s="11" t="s">
        <v>922</v>
      </c>
      <c r="B12" s="11" t="s">
        <v>28</v>
      </c>
      <c r="C12" s="12" t="n">
        <f aca="false">COUNTA('Envelope Register'!Z5:Z22)</f>
        <v>0</v>
      </c>
      <c r="D12" s="12" t="n">
        <v>0</v>
      </c>
      <c r="E12" s="11" t="str">
        <f aca="false">IF(ABS(C12-D12)&lt;0.0000001,"PASS","FAIL")</f>
        <v>PASS</v>
      </c>
    </row>
    <row r="13" customFormat="false" ht="15" hidden="false" customHeight="false" outlineLevel="0" collapsed="false">
      <c r="A13" s="11" t="s">
        <v>923</v>
      </c>
      <c r="B13" s="11" t="s">
        <v>31</v>
      </c>
      <c r="C13" s="12" t="n">
        <f aca="false">SUM('Envelope Register'!AA5:AA22)</f>
        <v>0</v>
      </c>
      <c r="D13" s="12" t="n">
        <v>0</v>
      </c>
      <c r="E13" s="11" t="str">
        <f aca="false">IF(ABS(C13-D13)&lt;0.0000001,"PASS","FAIL")</f>
        <v>PASS</v>
      </c>
    </row>
    <row r="14" customFormat="false" ht="15" hidden="false" customHeight="false" outlineLevel="0" collapsed="false">
      <c r="A14" s="11" t="s">
        <v>924</v>
      </c>
      <c r="B14" s="11" t="s">
        <v>925</v>
      </c>
      <c r="C14" s="12" t="n">
        <f aca="false">SUM('Envelope Register'!AB5:AB22)</f>
        <v>0</v>
      </c>
      <c r="D14" s="12" t="n">
        <v>0</v>
      </c>
      <c r="E14" s="11" t="str">
        <f aca="false">IF(ABS(C14-D14)&lt;0.0000001,"PASS","FAIL")</f>
        <v>PASS</v>
      </c>
    </row>
    <row r="15" customFormat="false" ht="15" hidden="false" customHeight="false" outlineLevel="0" collapsed="false">
      <c r="A15" s="11" t="s">
        <v>926</v>
      </c>
      <c r="B15" s="11" t="s">
        <v>927</v>
      </c>
      <c r="C15" s="12" t="n">
        <f aca="false">COUNTA('Interface Zones'!A5:A112)</f>
        <v>108</v>
      </c>
      <c r="D15" s="12" t="n">
        <v>108</v>
      </c>
      <c r="E15" s="11" t="str">
        <f aca="false">IF(ABS(C15-D15)&lt;0.0000001,"PASS","FAIL")</f>
        <v>PASS</v>
      </c>
    </row>
    <row r="16" customFormat="false" ht="15" hidden="false" customHeight="false" outlineLevel="0" collapsed="false">
      <c r="A16" s="11" t="s">
        <v>928</v>
      </c>
      <c r="B16" s="11" t="s">
        <v>929</v>
      </c>
      <c r="C16" s="12" t="n">
        <f aca="false">COUNTIF('Interface Zones'!U5:U112,1)</f>
        <v>108</v>
      </c>
      <c r="D16" s="12" t="n">
        <v>108</v>
      </c>
      <c r="E16" s="11" t="str">
        <f aca="false">IF(ABS(C16-D16)&lt;0.0000001,"PASS","FAIL")</f>
        <v>PASS</v>
      </c>
    </row>
    <row r="17" customFormat="false" ht="15" hidden="false" customHeight="false" outlineLevel="0" collapsed="false">
      <c r="A17" s="11" t="s">
        <v>930</v>
      </c>
      <c r="B17" s="11" t="s">
        <v>931</v>
      </c>
      <c r="C17" s="12" t="n">
        <f aca="false">COUNTIF('Interface Zones'!S5:S112,"PASS")</f>
        <v>108</v>
      </c>
      <c r="D17" s="12" t="n">
        <v>108</v>
      </c>
      <c r="E17" s="11" t="str">
        <f aca="false">IF(ABS(C17-D17)&lt;0.0000001,"PASS","FAIL")</f>
        <v>PASS</v>
      </c>
    </row>
    <row r="18" customFormat="false" ht="15" hidden="false" customHeight="false" outlineLevel="0" collapsed="false">
      <c r="A18" s="11" t="s">
        <v>932</v>
      </c>
      <c r="B18" s="11" t="s">
        <v>933</v>
      </c>
      <c r="C18" s="12" t="n">
        <f aca="false">COUNTIF('Interface Zones'!R5:R112,1)/6</f>
        <v>18</v>
      </c>
      <c r="D18" s="12" t="n">
        <v>18</v>
      </c>
      <c r="E18" s="11" t="str">
        <f aca="false">IF(ABS(C18-D18)&lt;0.0000001,"PASS","FAIL")</f>
        <v>PASS</v>
      </c>
    </row>
    <row r="19" customFormat="false" ht="15" hidden="false" customHeight="false" outlineLevel="0" collapsed="false">
      <c r="A19" s="11" t="s">
        <v>934</v>
      </c>
      <c r="B19" s="11" t="s">
        <v>20</v>
      </c>
      <c r="C19" s="12" t="n">
        <f aca="false">COUNTA('Section Carryover'!A5:A112)</f>
        <v>108</v>
      </c>
      <c r="D19" s="12" t="n">
        <v>108</v>
      </c>
      <c r="E19" s="11" t="str">
        <f aca="false">IF(ABS(C19-D19)&lt;0.0000001,"PASS","FAIL")</f>
        <v>PASS</v>
      </c>
    </row>
    <row r="20" customFormat="false" ht="15" hidden="false" customHeight="false" outlineLevel="0" collapsed="false">
      <c r="A20" s="11" t="s">
        <v>935</v>
      </c>
      <c r="B20" s="11" t="s">
        <v>936</v>
      </c>
      <c r="C20" s="12" t="n">
        <f aca="false">COUNTIF('Section Carryover'!I5:I112,"PASS")</f>
        <v>108</v>
      </c>
      <c r="D20" s="12" t="n">
        <v>108</v>
      </c>
      <c r="E20" s="11" t="str">
        <f aca="false">IF(ABS(C20-D20)&lt;0.0000001,"PASS","FAIL")</f>
        <v>PASS</v>
      </c>
    </row>
    <row r="21" customFormat="false" ht="15" hidden="false" customHeight="false" outlineLevel="0" collapsed="false">
      <c r="A21" s="11" t="s">
        <v>937</v>
      </c>
      <c r="B21" s="11" t="s">
        <v>938</v>
      </c>
      <c r="C21" s="12" t="n">
        <f aca="false">COUNTIF('Section Carryover'!J5:J112,"UNOBSERVED")</f>
        <v>108</v>
      </c>
      <c r="D21" s="12" t="n">
        <v>108</v>
      </c>
      <c r="E21" s="11" t="str">
        <f aca="false">IF(ABS(C21-D21)&lt;0.0000001,"PASS","FAIL")</f>
        <v>PASS</v>
      </c>
    </row>
    <row r="22" customFormat="false" ht="15" hidden="false" customHeight="false" outlineLevel="0" collapsed="false">
      <c r="A22" s="11" t="s">
        <v>939</v>
      </c>
      <c r="B22" s="11" t="s">
        <v>22</v>
      </c>
      <c r="C22" s="12" t="n">
        <f aca="false">COUNTIF('Section Carryover'!K5:K112,"DESIGN-CLOSE / TEST OPEN")</f>
        <v>108</v>
      </c>
      <c r="D22" s="12" t="n">
        <v>108</v>
      </c>
      <c r="E22" s="11" t="str">
        <f aca="false">IF(ABS(C22-D22)&lt;0.0000001,"PASS","FAIL")</f>
        <v>PASS</v>
      </c>
    </row>
    <row r="23" customFormat="false" ht="15" hidden="false" customHeight="false" outlineLevel="0" collapsed="false">
      <c r="A23" s="11" t="s">
        <v>940</v>
      </c>
      <c r="B23" s="11" t="s">
        <v>25</v>
      </c>
      <c r="C23" s="12" t="n">
        <f aca="false">COUNTA('Technology Demands'!A5:A58)</f>
        <v>54</v>
      </c>
      <c r="D23" s="12" t="n">
        <v>54</v>
      </c>
      <c r="E23" s="11" t="str">
        <f aca="false">IF(ABS(C23-D23)&lt;0.0000001,"PASS","FAIL")</f>
        <v>PASS</v>
      </c>
    </row>
    <row r="24" customFormat="false" ht="15" hidden="false" customHeight="false" outlineLevel="0" collapsed="false">
      <c r="A24" s="11" t="s">
        <v>941</v>
      </c>
      <c r="B24" s="11" t="s">
        <v>942</v>
      </c>
      <c r="C24" s="12" t="n">
        <f aca="false">COUNTIF('Technology Demands'!I5:I58,3)/3</f>
        <v>18</v>
      </c>
      <c r="D24" s="12" t="n">
        <v>18</v>
      </c>
      <c r="E24" s="11" t="str">
        <f aca="false">IF(ABS(C24-D24)&lt;0.0000001,"PASS","FAIL")</f>
        <v>PASS</v>
      </c>
    </row>
    <row r="25" customFormat="false" ht="15" hidden="false" customHeight="false" outlineLevel="0" collapsed="false">
      <c r="A25" s="11" t="s">
        <v>943</v>
      </c>
      <c r="B25" s="11" t="s">
        <v>944</v>
      </c>
      <c r="C25" s="12" t="n">
        <f aca="false">COUNTIF('Technology Demands'!J5:J58,"OPEN / UNPROVEN")</f>
        <v>54</v>
      </c>
      <c r="D25" s="12" t="n">
        <v>54</v>
      </c>
      <c r="E25" s="11" t="str">
        <f aca="false">IF(ABS(C25-D25)&lt;0.0000001,"PASS","FAIL")</f>
        <v>PASS</v>
      </c>
    </row>
    <row r="26" customFormat="false" ht="15" hidden="false" customHeight="false" outlineLevel="0" collapsed="false">
      <c r="A26" s="11" t="s">
        <v>945</v>
      </c>
      <c r="B26" s="11" t="s">
        <v>946</v>
      </c>
      <c r="C26" s="29" t="n">
        <f aca="false">Finance!D11</f>
        <v>3.58691281932057</v>
      </c>
      <c r="D26" s="29" t="n">
        <v>3.58691281932057</v>
      </c>
      <c r="E26" s="11" t="str">
        <f aca="false">IF(ABS(C26-D26)&lt;0.0000001,"PASS","FAIL")</f>
        <v>PASS</v>
      </c>
    </row>
    <row r="27" customFormat="false" ht="15" hidden="false" customHeight="false" outlineLevel="0" collapsed="false">
      <c r="A27" s="11" t="s">
        <v>947</v>
      </c>
      <c r="B27" s="11" t="s">
        <v>948</v>
      </c>
      <c r="C27" s="25" t="n">
        <f aca="false">Finance!F11</f>
        <v>0.538036922898085</v>
      </c>
      <c r="D27" s="25" t="n">
        <v>0.538036922898085</v>
      </c>
      <c r="E27" s="11" t="str">
        <f aca="false">IF(ABS(C27-D27)&lt;0.0000001,"PASS","FAIL")</f>
        <v>PASS</v>
      </c>
    </row>
    <row r="28" customFormat="false" ht="15" hidden="false" customHeight="false" outlineLevel="0" collapsed="false">
      <c r="A28" s="11" t="s">
        <v>949</v>
      </c>
      <c r="B28" s="11" t="s">
        <v>950</v>
      </c>
      <c r="C28" s="25" t="n">
        <f aca="false">Finance!G11</f>
        <v>0</v>
      </c>
      <c r="D28" s="25" t="n">
        <v>0</v>
      </c>
      <c r="E28" s="11" t="str">
        <f aca="false">IF(ABS(C28-D28)&lt;0.0000001,"PASS","FAIL")</f>
        <v>PASS</v>
      </c>
    </row>
    <row r="29" customFormat="false" ht="15" hidden="false" customHeight="false" outlineLevel="0" collapsed="false">
      <c r="A29" s="11" t="s">
        <v>951</v>
      </c>
      <c r="B29" s="11" t="s">
        <v>952</v>
      </c>
      <c r="C29" s="25" t="n">
        <f aca="false">Finance!H11</f>
        <v>0</v>
      </c>
      <c r="D29" s="25" t="n">
        <v>0</v>
      </c>
      <c r="E29" s="11" t="str">
        <f aca="false">IF(ABS(C29-D29)&lt;0.0000001,"PASS","FAIL")</f>
        <v>PASS</v>
      </c>
    </row>
    <row r="30" customFormat="false" ht="15" hidden="false" customHeight="false" outlineLevel="0" collapsed="false">
      <c r="A30" s="11" t="s">
        <v>953</v>
      </c>
      <c r="B30" s="11" t="s">
        <v>954</v>
      </c>
      <c r="C30" s="25" t="n">
        <f aca="false">Finance!I11</f>
        <v>0</v>
      </c>
      <c r="D30" s="25" t="n">
        <v>0</v>
      </c>
      <c r="E30" s="11" t="str">
        <f aca="false">IF(ABS(C30-D30)&lt;0.0000001,"PASS","FAIL")</f>
        <v>PASS</v>
      </c>
    </row>
    <row r="31" customFormat="false" ht="15" hidden="false" customHeight="false" outlineLevel="0" collapsed="false">
      <c r="A31" s="11" t="s">
        <v>955</v>
      </c>
      <c r="B31" s="11" t="s">
        <v>956</v>
      </c>
      <c r="C31" s="12" t="n">
        <f aca="false">COUNTIF(Finance!J5:J10,"HELD")</f>
        <v>6</v>
      </c>
      <c r="D31" s="12" t="n">
        <v>6</v>
      </c>
      <c r="E31" s="11" t="str">
        <f aca="false">IF(ABS(C31-D31)&lt;0.0000001,"PASS","FAIL")</f>
        <v>PASS</v>
      </c>
    </row>
    <row r="32" customFormat="false" ht="15" hidden="false" customHeight="false" outlineLevel="0" collapsed="false">
      <c r="A32" s="11" t="s">
        <v>957</v>
      </c>
      <c r="B32" s="11" t="s">
        <v>958</v>
      </c>
      <c r="C32" s="12" t="n">
        <f aca="false">SUM(Mutations!D5:D18)</f>
        <v>14</v>
      </c>
      <c r="D32" s="12" t="n">
        <v>14</v>
      </c>
      <c r="E32" s="11" t="str">
        <f aca="false">IF(ABS(C32-D32)&lt;0.0000001,"PASS","FAIL")</f>
        <v>PASS</v>
      </c>
    </row>
    <row r="33" customFormat="false" ht="15" hidden="false" customHeight="false" outlineLevel="0" collapsed="false">
      <c r="A33" s="11" t="s">
        <v>959</v>
      </c>
      <c r="B33" s="11" t="s">
        <v>960</v>
      </c>
      <c r="C33" s="12" t="n">
        <f aca="false">SUM(Mutations!E5:E18)</f>
        <v>14</v>
      </c>
      <c r="D33" s="12" t="n">
        <v>14</v>
      </c>
      <c r="E33" s="11" t="str">
        <f aca="false">IF(ABS(C33-D33)&lt;0.0000001,"PASS","FAIL")</f>
        <v>PASS</v>
      </c>
    </row>
    <row r="34" customFormat="false" ht="15" hidden="false" customHeight="false" outlineLevel="0" collapsed="false">
      <c r="A34" s="13" t="s">
        <v>961</v>
      </c>
      <c r="B34" s="13" t="s">
        <v>69</v>
      </c>
      <c r="C34" s="20" t="n">
        <f aca="false">Controls!B16</f>
        <v>0</v>
      </c>
      <c r="D34" s="20" t="n">
        <v>0</v>
      </c>
      <c r="E34" s="13" t="str">
        <f aca="false">IF(ABS(C34-D34)&lt;0.0000001,"PASS","FAIL")</f>
        <v>PASS</v>
      </c>
    </row>
  </sheetData>
  <mergeCells count="1">
    <mergeCell ref="A2:E2"/>
  </mergeCells>
  <conditionalFormatting sqref="E5:E34">
    <cfRule type="containsText" priority="2" operator="containsText" aboveAverage="0" equalAverage="0" bottom="0" percent="0" rank="0" text="FAIL" dxfId="5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60"/>
  </cols>
  <sheetData>
    <row r="2" customFormat="false" ht="18.55" hidden="false" customHeight="false" outlineLevel="0" collapsed="false">
      <c r="A2" s="1" t="s">
        <v>962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3" t="s">
        <v>405</v>
      </c>
      <c r="B4" s="4" t="s">
        <v>963</v>
      </c>
      <c r="C4" s="4" t="s">
        <v>964</v>
      </c>
      <c r="D4" s="5" t="s">
        <v>965</v>
      </c>
    </row>
    <row r="5" customFormat="false" ht="15" hidden="false" customHeight="false" outlineLevel="0" collapsed="false">
      <c r="A5" s="7" t="s">
        <v>966</v>
      </c>
      <c r="B5" s="7" t="s">
        <v>967</v>
      </c>
      <c r="C5" s="7" t="s">
        <v>968</v>
      </c>
      <c r="D5" s="7" t="s">
        <v>969</v>
      </c>
    </row>
    <row r="6" customFormat="false" ht="15" hidden="false" customHeight="false" outlineLevel="0" collapsed="false">
      <c r="A6" s="11" t="s">
        <v>970</v>
      </c>
      <c r="B6" s="11" t="s">
        <v>971</v>
      </c>
      <c r="C6" s="11" t="s">
        <v>972</v>
      </c>
      <c r="D6" s="11" t="s">
        <v>973</v>
      </c>
    </row>
    <row r="7" customFormat="false" ht="15" hidden="false" customHeight="false" outlineLevel="0" collapsed="false">
      <c r="A7" s="11" t="s">
        <v>974</v>
      </c>
      <c r="B7" s="11" t="s">
        <v>975</v>
      </c>
      <c r="C7" s="11" t="s">
        <v>976</v>
      </c>
      <c r="D7" s="11" t="s">
        <v>977</v>
      </c>
    </row>
    <row r="8" customFormat="false" ht="15" hidden="false" customHeight="false" outlineLevel="0" collapsed="false">
      <c r="A8" s="11" t="s">
        <v>978</v>
      </c>
      <c r="B8" s="11" t="s">
        <v>979</v>
      </c>
      <c r="C8" s="11" t="s">
        <v>980</v>
      </c>
      <c r="D8" s="11" t="s">
        <v>981</v>
      </c>
    </row>
    <row r="9" customFormat="false" ht="15" hidden="false" customHeight="false" outlineLevel="0" collapsed="false">
      <c r="A9" s="11" t="s">
        <v>982</v>
      </c>
      <c r="B9" s="11" t="s">
        <v>983</v>
      </c>
      <c r="C9" s="11" t="s">
        <v>984</v>
      </c>
      <c r="D9" s="11" t="s">
        <v>985</v>
      </c>
    </row>
    <row r="10" customFormat="false" ht="15" hidden="false" customHeight="false" outlineLevel="0" collapsed="false">
      <c r="A10" s="13" t="s">
        <v>986</v>
      </c>
      <c r="B10" s="13" t="s">
        <v>987</v>
      </c>
      <c r="C10" s="13" t="s">
        <v>988</v>
      </c>
      <c r="D10" s="13" t="s">
        <v>989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